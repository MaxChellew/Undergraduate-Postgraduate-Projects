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168332f47bd9e0/Desktop/Year 3 Moduels/Trading^J Market Design and Application/Project 1/"/>
    </mc:Choice>
  </mc:AlternateContent>
  <xr:revisionPtr revIDLastSave="93" documentId="8_{C0C425C2-8695-43E7-9EC0-45BF5D29A733}" xr6:coauthVersionLast="47" xr6:coauthVersionMax="47" xr10:uidLastSave="{0C6A8F3E-307E-4A9A-831A-89A5E0B6D8C3}"/>
  <bookViews>
    <workbookView xWindow="-98" yWindow="-98" windowWidth="20715" windowHeight="13155" xr2:uid="{00000000-000D-0000-FFFF-FFFF00000000}"/>
  </bookViews>
  <sheets>
    <sheet name="Blotter" sheetId="21" r:id="rId1"/>
    <sheet name="Mar-07" sheetId="26" r:id="rId2"/>
    <sheet name="Mar-02" sheetId="24" r:id="rId3"/>
    <sheet name="Feb-28" sheetId="23" r:id="rId4"/>
    <sheet name="Feb-21" sheetId="18" r:id="rId5"/>
    <sheet name="Feb-17" sheetId="16" r:id="rId6"/>
    <sheet name="Gral Instructions" sheetId="17" r:id="rId7"/>
  </sheets>
  <functionGroups builtInGroupCount="19"/>
  <definedNames>
    <definedName name="SpotToday" localSheetId="0">Blotter!#REF!</definedName>
    <definedName name="SpotToday" localSheetId="5">'Feb-17'!#REF!</definedName>
    <definedName name="SpotToday" localSheetId="4">'Feb-21'!#REF!</definedName>
    <definedName name="SpotToday" localSheetId="3">'Feb-28'!#REF!</definedName>
    <definedName name="SpotToday" localSheetId="6">'Gral Instructions'!#REF!</definedName>
    <definedName name="SpotToday" localSheetId="2">'Mar-02'!#REF!</definedName>
    <definedName name="SpotToday" localSheetId="1">'Mar-07'!#REF!</definedName>
    <definedName name="SpotToday">#REF!</definedName>
    <definedName name="SpotToday2" localSheetId="0">#REF!</definedName>
    <definedName name="SpotToday2" localSheetId="5">#REF!</definedName>
    <definedName name="SpotToday2" localSheetId="4">#REF!</definedName>
    <definedName name="SpotToday2" localSheetId="3">#REF!</definedName>
    <definedName name="SpotToday2" localSheetId="6">#REF!</definedName>
    <definedName name="SpotToday2" localSheetId="2">#REF!</definedName>
    <definedName name="SpotToday2" localSheetId="1">#REF!</definedName>
    <definedName name="SpotToday2">#REF!</definedName>
    <definedName name="Today" localSheetId="0">Blotter!#REF!</definedName>
    <definedName name="Today" localSheetId="5">'Feb-17'!$H$2</definedName>
    <definedName name="Today" localSheetId="4">'Feb-21'!$H$2</definedName>
    <definedName name="Today" localSheetId="3">'Feb-28'!$H$2</definedName>
    <definedName name="Today" localSheetId="6">'Gral Instructions'!$H$2</definedName>
    <definedName name="Today" localSheetId="2">'Mar-02'!$H$2</definedName>
    <definedName name="Today" localSheetId="1">'Mar-07'!$H$2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8" i="26" l="1"/>
  <c r="M39" i="26"/>
  <c r="N39" i="26"/>
  <c r="M27" i="23"/>
  <c r="M26" i="23"/>
  <c r="N27" i="23" s="1"/>
  <c r="M30" i="23"/>
  <c r="I10" i="24"/>
  <c r="N35" i="24" s="1"/>
  <c r="O25" i="18"/>
  <c r="M24" i="18"/>
  <c r="M33" i="24"/>
  <c r="N33" i="24" s="1"/>
  <c r="O31" i="23"/>
  <c r="I11" i="26"/>
  <c r="N37" i="24"/>
  <c r="N32" i="24"/>
  <c r="N34" i="24"/>
  <c r="M35" i="24"/>
  <c r="M36" i="24"/>
  <c r="N36" i="24"/>
  <c r="N28" i="23"/>
  <c r="I10" i="26"/>
  <c r="Y20" i="26"/>
  <c r="Y21" i="26" s="1"/>
  <c r="Y22" i="26" s="1"/>
  <c r="Y23" i="26" s="1"/>
  <c r="Y24" i="26" s="1"/>
  <c r="Y25" i="26" s="1"/>
  <c r="Y26" i="26" s="1"/>
  <c r="Y27" i="26" s="1"/>
  <c r="Y28" i="26" s="1"/>
  <c r="Y29" i="26" s="1"/>
  <c r="Y30" i="26" s="1"/>
  <c r="Y31" i="26" s="1"/>
  <c r="Y32" i="26" s="1"/>
  <c r="Y33" i="26" s="1"/>
  <c r="Y34" i="26" s="1"/>
  <c r="Y35" i="26" s="1"/>
  <c r="Y36" i="26" s="1"/>
  <c r="Y37" i="26" s="1"/>
  <c r="Y38" i="26" s="1"/>
  <c r="Y39" i="26" s="1"/>
  <c r="Y40" i="26" s="1"/>
  <c r="Y41" i="26" s="1"/>
  <c r="Y42" i="26" s="1"/>
  <c r="Y43" i="26" s="1"/>
  <c r="Y44" i="26" s="1"/>
  <c r="Y45" i="26" s="1"/>
  <c r="Y46" i="26" s="1"/>
  <c r="Y47" i="26" s="1"/>
  <c r="Y48" i="26" s="1"/>
  <c r="Y49" i="26" s="1"/>
  <c r="Y50" i="26" s="1"/>
  <c r="Y51" i="26" s="1"/>
  <c r="Y52" i="26" s="1"/>
  <c r="Y53" i="26" s="1"/>
  <c r="Y54" i="26" s="1"/>
  <c r="Y55" i="26" s="1"/>
  <c r="Y56" i="26" s="1"/>
  <c r="Y57" i="26" s="1"/>
  <c r="Y58" i="26" s="1"/>
  <c r="Y59" i="26" s="1"/>
  <c r="Y60" i="26" s="1"/>
  <c r="Y61" i="26" s="1"/>
  <c r="Y62" i="26" s="1"/>
  <c r="Y63" i="26" s="1"/>
  <c r="Y64" i="26" s="1"/>
  <c r="Y65" i="26" s="1"/>
  <c r="Y66" i="26" s="1"/>
  <c r="Y67" i="26" s="1"/>
  <c r="Y68" i="26" s="1"/>
  <c r="Y69" i="26" s="1"/>
  <c r="Y70" i="26" s="1"/>
  <c r="Y71" i="26" s="1"/>
  <c r="Y72" i="26" s="1"/>
  <c r="Y73" i="26" s="1"/>
  <c r="Y74" i="26" s="1"/>
  <c r="Y75" i="26" s="1"/>
  <c r="Y76" i="26" s="1"/>
  <c r="Y77" i="26" s="1"/>
  <c r="Y78" i="26" s="1"/>
  <c r="Y79" i="26" s="1"/>
  <c r="Y80" i="26" s="1"/>
  <c r="Y81" i="26" s="1"/>
  <c r="Y82" i="26" s="1"/>
  <c r="Y83" i="26" s="1"/>
  <c r="Y84" i="26" s="1"/>
  <c r="Y85" i="26" s="1"/>
  <c r="Y86" i="26" s="1"/>
  <c r="Y87" i="26" s="1"/>
  <c r="Y88" i="26" s="1"/>
  <c r="Y89" i="26" s="1"/>
  <c r="Y90" i="26" s="1"/>
  <c r="Y91" i="26" s="1"/>
  <c r="Y92" i="26" s="1"/>
  <c r="Y93" i="26" s="1"/>
  <c r="Y94" i="26" s="1"/>
  <c r="Y95" i="26" s="1"/>
  <c r="Y96" i="26" s="1"/>
  <c r="Y97" i="26" s="1"/>
  <c r="Y98" i="26" s="1"/>
  <c r="Y99" i="26" s="1"/>
  <c r="Y100" i="26" s="1"/>
  <c r="Y101" i="26" s="1"/>
  <c r="Y102" i="26" s="1"/>
  <c r="Y103" i="26" s="1"/>
  <c r="Y104" i="26" s="1"/>
  <c r="Y105" i="26" s="1"/>
  <c r="Y106" i="26" s="1"/>
  <c r="Y107" i="26" s="1"/>
  <c r="Y108" i="26" s="1"/>
  <c r="Y109" i="26" s="1"/>
  <c r="Y110" i="26" s="1"/>
  <c r="M21" i="16"/>
  <c r="M33" i="26"/>
  <c r="M36" i="26"/>
  <c r="N34" i="26"/>
  <c r="N36" i="26"/>
  <c r="M37" i="26"/>
  <c r="M32" i="26"/>
  <c r="M35" i="26"/>
  <c r="N35" i="26"/>
  <c r="N33" i="26"/>
  <c r="N32" i="26"/>
  <c r="M34" i="26"/>
  <c r="N37" i="26"/>
  <c r="N26" i="23" l="1"/>
  <c r="S28" i="23"/>
  <c r="R28" i="23"/>
  <c r="E28" i="23"/>
  <c r="E23" i="18"/>
  <c r="F34" i="26"/>
  <c r="F37" i="26"/>
  <c r="X39" i="26" l="1"/>
  <c r="X40" i="26"/>
  <c r="X41" i="26"/>
  <c r="X42" i="26"/>
  <c r="X43" i="26"/>
  <c r="X44" i="26"/>
  <c r="X45" i="26"/>
  <c r="X46" i="26"/>
  <c r="X47" i="26"/>
  <c r="X48" i="26"/>
  <c r="X49" i="26"/>
  <c r="X50" i="26"/>
  <c r="X51" i="26"/>
  <c r="X52" i="26"/>
  <c r="X53" i="26"/>
  <c r="X54" i="26"/>
  <c r="X55" i="26"/>
  <c r="X56" i="26"/>
  <c r="X57" i="26"/>
  <c r="X58" i="26"/>
  <c r="X59" i="26"/>
  <c r="X60" i="26"/>
  <c r="X61" i="26"/>
  <c r="X62" i="26"/>
  <c r="X63" i="26"/>
  <c r="X64" i="26"/>
  <c r="X65" i="26"/>
  <c r="X66" i="26"/>
  <c r="X67" i="26"/>
  <c r="X68" i="26"/>
  <c r="X69" i="26"/>
  <c r="X70" i="26"/>
  <c r="X71" i="26"/>
  <c r="X72" i="26"/>
  <c r="X73" i="26"/>
  <c r="X74" i="26"/>
  <c r="X75" i="26"/>
  <c r="X76" i="26"/>
  <c r="X77" i="26"/>
  <c r="X78" i="26"/>
  <c r="X79" i="26"/>
  <c r="X80" i="26"/>
  <c r="X81" i="26"/>
  <c r="X82" i="26"/>
  <c r="X83" i="26"/>
  <c r="X84" i="26"/>
  <c r="X85" i="26"/>
  <c r="X86" i="26"/>
  <c r="X87" i="26"/>
  <c r="X88" i="26"/>
  <c r="X89" i="26"/>
  <c r="X90" i="26"/>
  <c r="X91" i="26"/>
  <c r="X92" i="26"/>
  <c r="X93" i="26"/>
  <c r="X94" i="26"/>
  <c r="X95" i="26"/>
  <c r="X96" i="26"/>
  <c r="X97" i="26"/>
  <c r="X98" i="26"/>
  <c r="X99" i="26"/>
  <c r="X100" i="26"/>
  <c r="X101" i="26"/>
  <c r="X102" i="26"/>
  <c r="X103" i="26"/>
  <c r="X104" i="26"/>
  <c r="X105" i="26"/>
  <c r="X106" i="26"/>
  <c r="X107" i="26"/>
  <c r="X108" i="26"/>
  <c r="X109" i="26"/>
  <c r="X110" i="26"/>
  <c r="X38" i="26"/>
  <c r="X37" i="26"/>
  <c r="X33" i="26"/>
  <c r="X34" i="26"/>
  <c r="X35" i="26"/>
  <c r="X36" i="26"/>
  <c r="X32" i="26"/>
  <c r="X31" i="26"/>
  <c r="X29" i="26"/>
  <c r="X30" i="26"/>
  <c r="X39" i="24"/>
  <c r="X40" i="24"/>
  <c r="X41" i="24"/>
  <c r="X42" i="24"/>
  <c r="X43" i="24"/>
  <c r="X44" i="24"/>
  <c r="X45" i="24"/>
  <c r="X46" i="24"/>
  <c r="X47" i="24"/>
  <c r="X48" i="24"/>
  <c r="X49" i="24"/>
  <c r="X50" i="24"/>
  <c r="X51" i="24"/>
  <c r="X52" i="24"/>
  <c r="X53" i="24"/>
  <c r="X54" i="24"/>
  <c r="X55" i="24"/>
  <c r="X56" i="24"/>
  <c r="X57" i="24"/>
  <c r="X58" i="24"/>
  <c r="X59" i="24"/>
  <c r="X60" i="24"/>
  <c r="X61" i="24"/>
  <c r="X62" i="24"/>
  <c r="X63" i="24"/>
  <c r="X64" i="24"/>
  <c r="X65" i="24"/>
  <c r="X66" i="24"/>
  <c r="X67" i="24"/>
  <c r="X68" i="24"/>
  <c r="X69" i="24"/>
  <c r="X70" i="24"/>
  <c r="X71" i="24"/>
  <c r="X72" i="24"/>
  <c r="X73" i="24"/>
  <c r="X74" i="24"/>
  <c r="X75" i="24"/>
  <c r="X76" i="24"/>
  <c r="X77" i="24"/>
  <c r="X78" i="24"/>
  <c r="X79" i="24"/>
  <c r="X80" i="24"/>
  <c r="X81" i="24"/>
  <c r="X82" i="24"/>
  <c r="X83" i="24"/>
  <c r="X84" i="24"/>
  <c r="X85" i="24"/>
  <c r="X86" i="24"/>
  <c r="X87" i="24"/>
  <c r="X88" i="24"/>
  <c r="X89" i="24"/>
  <c r="X90" i="24"/>
  <c r="X91" i="24"/>
  <c r="X92" i="24"/>
  <c r="X93" i="24"/>
  <c r="X94" i="24"/>
  <c r="X95" i="24"/>
  <c r="X96" i="24"/>
  <c r="X97" i="24"/>
  <c r="X98" i="24"/>
  <c r="X99" i="24"/>
  <c r="X100" i="24"/>
  <c r="X101" i="24"/>
  <c r="X102" i="24"/>
  <c r="X103" i="24"/>
  <c r="X104" i="24"/>
  <c r="X105" i="24"/>
  <c r="X106" i="24"/>
  <c r="X107" i="24"/>
  <c r="X108" i="24"/>
  <c r="X109" i="24"/>
  <c r="X110" i="24"/>
  <c r="X38" i="24"/>
  <c r="X37" i="24"/>
  <c r="X33" i="24"/>
  <c r="X34" i="24"/>
  <c r="X35" i="24"/>
  <c r="X36" i="24"/>
  <c r="X32" i="24"/>
  <c r="X31" i="24"/>
  <c r="X29" i="24"/>
  <c r="X30" i="24"/>
  <c r="X33" i="23"/>
  <c r="X34" i="23"/>
  <c r="X35" i="23"/>
  <c r="X36" i="23"/>
  <c r="X37" i="23"/>
  <c r="X38" i="23"/>
  <c r="X39" i="23"/>
  <c r="X40" i="23"/>
  <c r="X41" i="23"/>
  <c r="X42" i="23"/>
  <c r="X43" i="23"/>
  <c r="X44" i="23"/>
  <c r="X45" i="23"/>
  <c r="X46" i="23"/>
  <c r="X47" i="23"/>
  <c r="X48" i="23"/>
  <c r="X49" i="23"/>
  <c r="X50" i="23"/>
  <c r="X51" i="23"/>
  <c r="X52" i="23"/>
  <c r="X53" i="23"/>
  <c r="X54" i="23"/>
  <c r="X55" i="23"/>
  <c r="X56" i="23"/>
  <c r="X57" i="23"/>
  <c r="X58" i="23"/>
  <c r="X59" i="23"/>
  <c r="X60" i="23"/>
  <c r="X61" i="23"/>
  <c r="X62" i="23"/>
  <c r="X63" i="23"/>
  <c r="X64" i="23"/>
  <c r="X65" i="23"/>
  <c r="X66" i="23"/>
  <c r="X67" i="23"/>
  <c r="X68" i="23"/>
  <c r="X69" i="23"/>
  <c r="X70" i="23"/>
  <c r="X71" i="23"/>
  <c r="X72" i="23"/>
  <c r="X73" i="23"/>
  <c r="X74" i="23"/>
  <c r="X75" i="23"/>
  <c r="X76" i="23"/>
  <c r="X77" i="23"/>
  <c r="X78" i="23"/>
  <c r="X79" i="23"/>
  <c r="X80" i="23"/>
  <c r="X81" i="23"/>
  <c r="X82" i="23"/>
  <c r="X83" i="23"/>
  <c r="X84" i="23"/>
  <c r="X85" i="23"/>
  <c r="X86" i="23"/>
  <c r="X87" i="23"/>
  <c r="X88" i="23"/>
  <c r="X89" i="23"/>
  <c r="X90" i="23"/>
  <c r="X91" i="23"/>
  <c r="X92" i="23"/>
  <c r="X93" i="23"/>
  <c r="X94" i="23"/>
  <c r="X95" i="23"/>
  <c r="X96" i="23"/>
  <c r="X97" i="23"/>
  <c r="X98" i="23"/>
  <c r="X99" i="23"/>
  <c r="X100" i="23"/>
  <c r="X101" i="23"/>
  <c r="X102" i="23"/>
  <c r="X103" i="23"/>
  <c r="X104" i="23"/>
  <c r="X105" i="23"/>
  <c r="X106" i="23"/>
  <c r="X107" i="23"/>
  <c r="X108" i="23"/>
  <c r="X109" i="23"/>
  <c r="X110" i="23"/>
  <c r="X32" i="23"/>
  <c r="X31" i="23"/>
  <c r="X28" i="23"/>
  <c r="X29" i="23"/>
  <c r="X30" i="23"/>
  <c r="X27" i="18"/>
  <c r="X28" i="18"/>
  <c r="X29" i="18"/>
  <c r="X30" i="18"/>
  <c r="X31" i="18"/>
  <c r="X32" i="18"/>
  <c r="X33" i="18"/>
  <c r="X34" i="18"/>
  <c r="X35" i="18"/>
  <c r="X36" i="18"/>
  <c r="X37" i="18"/>
  <c r="X38" i="18"/>
  <c r="X39" i="18"/>
  <c r="X40" i="18"/>
  <c r="X41" i="18"/>
  <c r="X42" i="18"/>
  <c r="X43" i="18"/>
  <c r="X44" i="18"/>
  <c r="X45" i="18"/>
  <c r="X46" i="18"/>
  <c r="X47" i="18"/>
  <c r="X48" i="18"/>
  <c r="X49" i="18"/>
  <c r="X50" i="18"/>
  <c r="X51" i="18"/>
  <c r="X52" i="18"/>
  <c r="X53" i="18"/>
  <c r="X54" i="18"/>
  <c r="X55" i="18"/>
  <c r="X56" i="18"/>
  <c r="X57" i="18"/>
  <c r="X58" i="18"/>
  <c r="X59" i="18"/>
  <c r="X60" i="18"/>
  <c r="X61" i="18"/>
  <c r="X62" i="18"/>
  <c r="X63" i="18"/>
  <c r="X64" i="18"/>
  <c r="X65" i="18"/>
  <c r="X66" i="18"/>
  <c r="X67" i="18"/>
  <c r="X68" i="18"/>
  <c r="X69" i="18"/>
  <c r="X70" i="18"/>
  <c r="X71" i="18"/>
  <c r="X72" i="18"/>
  <c r="X73" i="18"/>
  <c r="X74" i="18"/>
  <c r="X75" i="18"/>
  <c r="X76" i="18"/>
  <c r="X77" i="18"/>
  <c r="X78" i="18"/>
  <c r="X79" i="18"/>
  <c r="X80" i="18"/>
  <c r="X81" i="18"/>
  <c r="X82" i="18"/>
  <c r="X83" i="18"/>
  <c r="X84" i="18"/>
  <c r="X85" i="18"/>
  <c r="X86" i="18"/>
  <c r="X87" i="18"/>
  <c r="X88" i="18"/>
  <c r="X89" i="18"/>
  <c r="X90" i="18"/>
  <c r="X91" i="18"/>
  <c r="X92" i="18"/>
  <c r="X93" i="18"/>
  <c r="X94" i="18"/>
  <c r="X95" i="18"/>
  <c r="X96" i="18"/>
  <c r="X97" i="18"/>
  <c r="X98" i="18"/>
  <c r="X99" i="18"/>
  <c r="X100" i="18"/>
  <c r="X101" i="18"/>
  <c r="X102" i="18"/>
  <c r="X103" i="18"/>
  <c r="X104" i="18"/>
  <c r="X105" i="18"/>
  <c r="X106" i="18"/>
  <c r="X107" i="18"/>
  <c r="X108" i="18"/>
  <c r="X109" i="18"/>
  <c r="X110" i="18"/>
  <c r="AL39" i="26" l="1"/>
  <c r="AL40" i="26"/>
  <c r="AL41" i="26"/>
  <c r="AL42" i="26"/>
  <c r="AL43" i="26"/>
  <c r="AL44" i="26"/>
  <c r="AL45" i="26"/>
  <c r="AL46" i="26"/>
  <c r="AL47" i="26"/>
  <c r="AL48" i="26"/>
  <c r="AL49" i="26"/>
  <c r="AL50" i="26"/>
  <c r="AL51" i="26"/>
  <c r="AL52" i="26"/>
  <c r="AL53" i="26"/>
  <c r="AL54" i="26"/>
  <c r="AL55" i="26"/>
  <c r="AL56" i="26"/>
  <c r="AL57" i="26"/>
  <c r="AL58" i="26"/>
  <c r="AL59" i="26"/>
  <c r="AL60" i="26"/>
  <c r="AL61" i="26"/>
  <c r="AL62" i="26"/>
  <c r="AL63" i="26"/>
  <c r="AL64" i="26"/>
  <c r="AL65" i="26"/>
  <c r="AL66" i="26"/>
  <c r="AL67" i="26"/>
  <c r="AL68" i="26"/>
  <c r="AL69" i="26"/>
  <c r="AL70" i="26"/>
  <c r="AL71" i="26"/>
  <c r="AL72" i="26"/>
  <c r="AL73" i="26"/>
  <c r="AL74" i="26"/>
  <c r="AL75" i="26"/>
  <c r="AL76" i="26"/>
  <c r="AL77" i="26"/>
  <c r="AL78" i="26"/>
  <c r="AL79" i="26"/>
  <c r="AL80" i="26"/>
  <c r="AL81" i="26"/>
  <c r="AL82" i="26"/>
  <c r="AL83" i="26"/>
  <c r="AL84" i="26"/>
  <c r="AL85" i="26"/>
  <c r="AL86" i="26"/>
  <c r="AL87" i="26"/>
  <c r="AL88" i="26"/>
  <c r="AL89" i="26"/>
  <c r="AL90" i="26"/>
  <c r="AL91" i="26"/>
  <c r="AL92" i="26"/>
  <c r="AL93" i="26"/>
  <c r="AL94" i="26"/>
  <c r="AL95" i="26"/>
  <c r="AL96" i="26"/>
  <c r="AL97" i="26"/>
  <c r="AL98" i="26"/>
  <c r="AL99" i="26"/>
  <c r="AL100" i="26"/>
  <c r="AL101" i="26"/>
  <c r="AL102" i="26"/>
  <c r="AL103" i="26"/>
  <c r="AL104" i="26"/>
  <c r="AL105" i="26"/>
  <c r="AL106" i="26"/>
  <c r="AL107" i="26"/>
  <c r="AL108" i="26"/>
  <c r="AL109" i="26"/>
  <c r="AL110" i="26"/>
  <c r="AL38" i="26"/>
  <c r="M29" i="23" l="1"/>
  <c r="T37" i="26"/>
  <c r="N25" i="18"/>
  <c r="S37" i="24"/>
  <c r="Q110" i="26"/>
  <c r="Q109" i="26"/>
  <c r="Q108" i="26"/>
  <c r="Q107" i="26"/>
  <c r="Q106" i="26"/>
  <c r="Q105" i="26"/>
  <c r="Q104" i="26"/>
  <c r="Q103" i="26"/>
  <c r="Q102" i="26"/>
  <c r="Q101" i="26"/>
  <c r="Q100" i="26"/>
  <c r="Q99" i="26"/>
  <c r="Q98" i="26"/>
  <c r="Q97" i="26"/>
  <c r="Q96" i="26"/>
  <c r="Q95" i="26"/>
  <c r="Q94" i="26"/>
  <c r="Q93" i="26"/>
  <c r="Q92" i="26"/>
  <c r="Q91" i="26"/>
  <c r="Q90" i="26"/>
  <c r="Q89" i="26"/>
  <c r="Q88" i="26"/>
  <c r="Q87" i="26"/>
  <c r="Q86" i="26"/>
  <c r="Q85" i="26"/>
  <c r="Q84" i="26"/>
  <c r="Q83" i="26"/>
  <c r="Q82" i="26"/>
  <c r="Q81" i="26"/>
  <c r="Q80" i="26"/>
  <c r="Q79" i="26"/>
  <c r="Q78" i="26"/>
  <c r="Q77" i="26"/>
  <c r="Q76" i="26"/>
  <c r="Q75" i="26"/>
  <c r="Q74" i="26"/>
  <c r="Q73" i="26"/>
  <c r="Q72" i="26"/>
  <c r="Q71" i="26"/>
  <c r="Q70" i="26"/>
  <c r="Q69" i="26"/>
  <c r="Q68" i="26"/>
  <c r="Q67" i="26"/>
  <c r="Q66" i="26"/>
  <c r="Q65" i="26"/>
  <c r="Q64" i="26"/>
  <c r="Q63" i="26"/>
  <c r="Q62" i="26"/>
  <c r="Q61" i="26"/>
  <c r="Q60" i="26"/>
  <c r="Q59" i="26"/>
  <c r="Q58" i="26"/>
  <c r="Q57" i="26"/>
  <c r="Q56" i="26"/>
  <c r="Q55" i="26"/>
  <c r="Q54" i="26"/>
  <c r="Q53" i="26"/>
  <c r="Q52" i="26"/>
  <c r="Q51" i="26"/>
  <c r="Q50" i="26"/>
  <c r="Q49" i="26"/>
  <c r="Q48" i="26"/>
  <c r="Q47" i="26"/>
  <c r="Q46" i="26"/>
  <c r="Q45" i="26"/>
  <c r="Q44" i="26"/>
  <c r="Q43" i="26"/>
  <c r="Q42" i="26"/>
  <c r="Q41" i="26"/>
  <c r="Q40" i="26"/>
  <c r="Q39" i="26"/>
  <c r="Q38" i="26"/>
  <c r="Q37" i="26"/>
  <c r="Q36" i="26"/>
  <c r="S35" i="26"/>
  <c r="R35" i="26"/>
  <c r="Q35" i="26"/>
  <c r="Q34" i="26"/>
  <c r="Q33" i="26"/>
  <c r="S32" i="26"/>
  <c r="R32" i="26"/>
  <c r="Q32" i="26"/>
  <c r="Q31" i="26"/>
  <c r="Q30" i="26"/>
  <c r="S29" i="26"/>
  <c r="R29" i="26"/>
  <c r="Q29" i="26"/>
  <c r="Q28" i="26"/>
  <c r="Q27" i="26"/>
  <c r="S26" i="26"/>
  <c r="R26" i="26"/>
  <c r="Q26" i="26"/>
  <c r="Q25" i="26"/>
  <c r="Q24" i="26"/>
  <c r="Q23" i="26"/>
  <c r="B22" i="26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21" i="26"/>
  <c r="AB16" i="26"/>
  <c r="Q10" i="26"/>
  <c r="O10" i="26"/>
  <c r="O15" i="26" s="1"/>
  <c r="X28" i="26"/>
  <c r="O9" i="26"/>
  <c r="O14" i="26" s="1"/>
  <c r="O8" i="26"/>
  <c r="O13" i="26" s="1"/>
  <c r="I7" i="26"/>
  <c r="I6" i="26"/>
  <c r="R37" i="26" s="1"/>
  <c r="R5" i="26"/>
  <c r="R10" i="26" s="1"/>
  <c r="Q5" i="26"/>
  <c r="P5" i="26"/>
  <c r="P10" i="26" s="1"/>
  <c r="R4" i="26"/>
  <c r="Q4" i="26"/>
  <c r="P4" i="26"/>
  <c r="P9" i="26" s="1"/>
  <c r="R3" i="26"/>
  <c r="Q3" i="26"/>
  <c r="P3" i="26"/>
  <c r="Q8" i="26" s="1"/>
  <c r="Q32" i="24"/>
  <c r="Q20" i="16"/>
  <c r="Q26" i="24"/>
  <c r="Q110" i="24"/>
  <c r="Q109" i="24"/>
  <c r="Q108" i="24"/>
  <c r="Q107" i="24"/>
  <c r="Q106" i="24"/>
  <c r="Q105" i="24"/>
  <c r="Q104" i="24"/>
  <c r="Q103" i="24"/>
  <c r="Q102" i="24"/>
  <c r="Q101" i="24"/>
  <c r="Q100" i="24"/>
  <c r="Q99" i="24"/>
  <c r="Q98" i="24"/>
  <c r="Q97" i="24"/>
  <c r="Q96" i="24"/>
  <c r="Q95" i="24"/>
  <c r="Q94" i="24"/>
  <c r="Q93" i="24"/>
  <c r="Q92" i="24"/>
  <c r="Q91" i="24"/>
  <c r="Q90" i="24"/>
  <c r="Q89" i="24"/>
  <c r="Q88" i="24"/>
  <c r="Q87" i="24"/>
  <c r="Q86" i="24"/>
  <c r="Q85" i="24"/>
  <c r="Q84" i="24"/>
  <c r="Q83" i="24"/>
  <c r="Q82" i="24"/>
  <c r="Q81" i="24"/>
  <c r="Q80" i="24"/>
  <c r="Q79" i="24"/>
  <c r="Q78" i="24"/>
  <c r="Q77" i="24"/>
  <c r="Q76" i="24"/>
  <c r="Q75" i="24"/>
  <c r="Q74" i="24"/>
  <c r="Q73" i="24"/>
  <c r="Q72" i="24"/>
  <c r="Q71" i="24"/>
  <c r="Q70" i="24"/>
  <c r="Q69" i="24"/>
  <c r="Q68" i="24"/>
  <c r="Q67" i="24"/>
  <c r="Q66" i="24"/>
  <c r="Q65" i="24"/>
  <c r="Q64" i="24"/>
  <c r="Q63" i="24"/>
  <c r="Q62" i="24"/>
  <c r="Q61" i="24"/>
  <c r="Q60" i="24"/>
  <c r="Q59" i="24"/>
  <c r="Q58" i="24"/>
  <c r="Q57" i="24"/>
  <c r="Q56" i="24"/>
  <c r="Q55" i="24"/>
  <c r="Q54" i="24"/>
  <c r="Q53" i="24"/>
  <c r="Q52" i="24"/>
  <c r="Q51" i="24"/>
  <c r="Q50" i="24"/>
  <c r="Q49" i="24"/>
  <c r="Q48" i="24"/>
  <c r="Q47" i="24"/>
  <c r="Q46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1" i="24"/>
  <c r="Q30" i="24"/>
  <c r="S29" i="24"/>
  <c r="R29" i="24"/>
  <c r="Q29" i="24"/>
  <c r="Q28" i="24"/>
  <c r="Q27" i="24"/>
  <c r="S26" i="24"/>
  <c r="R26" i="24"/>
  <c r="Q25" i="24"/>
  <c r="Q24" i="24"/>
  <c r="Q23" i="24"/>
  <c r="B21" i="24"/>
  <c r="B22" i="24" s="1"/>
  <c r="B23" i="24" s="1"/>
  <c r="B24" i="24" s="1"/>
  <c r="B25" i="24" s="1"/>
  <c r="B26" i="24" s="1"/>
  <c r="B27" i="24" s="1"/>
  <c r="B28" i="24" s="1"/>
  <c r="B29" i="24" s="1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47" i="24" s="1"/>
  <c r="B48" i="24" s="1"/>
  <c r="B49" i="24" s="1"/>
  <c r="B50" i="24" s="1"/>
  <c r="B51" i="24" s="1"/>
  <c r="B52" i="24" s="1"/>
  <c r="B53" i="24" s="1"/>
  <c r="B54" i="24" s="1"/>
  <c r="B55" i="24" s="1"/>
  <c r="B56" i="24" s="1"/>
  <c r="B57" i="24" s="1"/>
  <c r="B58" i="24" s="1"/>
  <c r="B59" i="24" s="1"/>
  <c r="B60" i="24" s="1"/>
  <c r="B61" i="24" s="1"/>
  <c r="B62" i="24" s="1"/>
  <c r="B63" i="24" s="1"/>
  <c r="B64" i="24" s="1"/>
  <c r="B65" i="24" s="1"/>
  <c r="B66" i="24" s="1"/>
  <c r="B67" i="24" s="1"/>
  <c r="B68" i="24" s="1"/>
  <c r="B69" i="24" s="1"/>
  <c r="B70" i="24" s="1"/>
  <c r="B71" i="24" s="1"/>
  <c r="B72" i="24" s="1"/>
  <c r="B73" i="24" s="1"/>
  <c r="B74" i="24" s="1"/>
  <c r="B75" i="24" s="1"/>
  <c r="B76" i="24" s="1"/>
  <c r="B77" i="24" s="1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B92" i="24" s="1"/>
  <c r="B93" i="24" s="1"/>
  <c r="B94" i="24" s="1"/>
  <c r="B95" i="24" s="1"/>
  <c r="B96" i="24" s="1"/>
  <c r="B97" i="24" s="1"/>
  <c r="B98" i="24" s="1"/>
  <c r="B99" i="24" s="1"/>
  <c r="B100" i="24" s="1"/>
  <c r="B101" i="24" s="1"/>
  <c r="B102" i="24" s="1"/>
  <c r="B103" i="24" s="1"/>
  <c r="B104" i="24" s="1"/>
  <c r="B105" i="24" s="1"/>
  <c r="B106" i="24" s="1"/>
  <c r="B107" i="24" s="1"/>
  <c r="B108" i="24" s="1"/>
  <c r="B109" i="24" s="1"/>
  <c r="B110" i="24" s="1"/>
  <c r="Y20" i="24"/>
  <c r="Y21" i="24" s="1"/>
  <c r="Y22" i="24" s="1"/>
  <c r="Y23" i="24" s="1"/>
  <c r="Y24" i="24" s="1"/>
  <c r="Y25" i="24" s="1"/>
  <c r="Y26" i="24" s="1"/>
  <c r="Y27" i="24" s="1"/>
  <c r="Y28" i="24" s="1"/>
  <c r="Y29" i="24" s="1"/>
  <c r="Y30" i="24" s="1"/>
  <c r="Y31" i="24" s="1"/>
  <c r="Y32" i="24" s="1"/>
  <c r="Y33" i="24" s="1"/>
  <c r="Y34" i="24" s="1"/>
  <c r="Y35" i="24" s="1"/>
  <c r="Y36" i="24" s="1"/>
  <c r="Y37" i="24" s="1"/>
  <c r="Y38" i="24" s="1"/>
  <c r="Y39" i="24" s="1"/>
  <c r="Y40" i="24" s="1"/>
  <c r="Y41" i="24" s="1"/>
  <c r="Y42" i="24" s="1"/>
  <c r="Y43" i="24" s="1"/>
  <c r="Y44" i="24" s="1"/>
  <c r="Y45" i="24" s="1"/>
  <c r="Y46" i="24" s="1"/>
  <c r="Y47" i="24" s="1"/>
  <c r="Y48" i="24" s="1"/>
  <c r="Y49" i="24" s="1"/>
  <c r="Y50" i="24" s="1"/>
  <c r="Y51" i="24" s="1"/>
  <c r="Y52" i="24" s="1"/>
  <c r="Y53" i="24" s="1"/>
  <c r="Y54" i="24" s="1"/>
  <c r="Y55" i="24" s="1"/>
  <c r="Y56" i="24" s="1"/>
  <c r="Y57" i="24" s="1"/>
  <c r="Y58" i="24" s="1"/>
  <c r="Y59" i="24" s="1"/>
  <c r="Y60" i="24" s="1"/>
  <c r="Y61" i="24" s="1"/>
  <c r="Y62" i="24" s="1"/>
  <c r="Y63" i="24" s="1"/>
  <c r="Y64" i="24" s="1"/>
  <c r="Y65" i="24" s="1"/>
  <c r="Y66" i="24" s="1"/>
  <c r="Y67" i="24" s="1"/>
  <c r="Y68" i="24" s="1"/>
  <c r="Y69" i="24" s="1"/>
  <c r="Y70" i="24" s="1"/>
  <c r="Y71" i="24" s="1"/>
  <c r="Y72" i="24" s="1"/>
  <c r="Y73" i="24" s="1"/>
  <c r="Y74" i="24" s="1"/>
  <c r="Y75" i="24" s="1"/>
  <c r="Y76" i="24" s="1"/>
  <c r="Y77" i="24" s="1"/>
  <c r="Y78" i="24" s="1"/>
  <c r="Y79" i="24" s="1"/>
  <c r="Y80" i="24" s="1"/>
  <c r="Y81" i="24" s="1"/>
  <c r="Y82" i="24" s="1"/>
  <c r="Y83" i="24" s="1"/>
  <c r="Y84" i="24" s="1"/>
  <c r="Y85" i="24" s="1"/>
  <c r="Y86" i="24" s="1"/>
  <c r="Y87" i="24" s="1"/>
  <c r="Y88" i="24" s="1"/>
  <c r="Y89" i="24" s="1"/>
  <c r="Y90" i="24" s="1"/>
  <c r="Y91" i="24" s="1"/>
  <c r="Y92" i="24" s="1"/>
  <c r="Y93" i="24" s="1"/>
  <c r="Y94" i="24" s="1"/>
  <c r="Y95" i="24" s="1"/>
  <c r="Y96" i="24" s="1"/>
  <c r="Y97" i="24" s="1"/>
  <c r="Y98" i="24" s="1"/>
  <c r="Y99" i="24" s="1"/>
  <c r="Y100" i="24" s="1"/>
  <c r="Y101" i="24" s="1"/>
  <c r="Y102" i="24" s="1"/>
  <c r="Y103" i="24" s="1"/>
  <c r="Y104" i="24" s="1"/>
  <c r="Y105" i="24" s="1"/>
  <c r="Y106" i="24" s="1"/>
  <c r="Y107" i="24" s="1"/>
  <c r="Y108" i="24" s="1"/>
  <c r="Y109" i="24" s="1"/>
  <c r="Y110" i="24" s="1"/>
  <c r="AB16" i="24"/>
  <c r="I11" i="24"/>
  <c r="R10" i="24"/>
  <c r="O10" i="24"/>
  <c r="O15" i="24" s="1"/>
  <c r="R9" i="24"/>
  <c r="O9" i="24"/>
  <c r="O14" i="24" s="1"/>
  <c r="O8" i="24"/>
  <c r="O13" i="24" s="1"/>
  <c r="I7" i="24"/>
  <c r="I6" i="24"/>
  <c r="R28" i="24" s="1"/>
  <c r="R5" i="24"/>
  <c r="Q5" i="24"/>
  <c r="P5" i="24"/>
  <c r="Q10" i="24" s="1"/>
  <c r="R4" i="24"/>
  <c r="Q4" i="24"/>
  <c r="P4" i="24"/>
  <c r="Q9" i="24" s="1"/>
  <c r="R3" i="24"/>
  <c r="Q3" i="24"/>
  <c r="P3" i="24"/>
  <c r="P8" i="24" s="1"/>
  <c r="N29" i="23"/>
  <c r="N23" i="18"/>
  <c r="N24" i="18"/>
  <c r="H32" i="26"/>
  <c r="H35" i="26"/>
  <c r="AP83" i="24"/>
  <c r="N28" i="24"/>
  <c r="AR94" i="24"/>
  <c r="AR22" i="24"/>
  <c r="AS34" i="24"/>
  <c r="N23" i="23"/>
  <c r="AP20" i="24"/>
  <c r="AU48" i="24"/>
  <c r="AS36" i="26"/>
  <c r="AP22" i="24"/>
  <c r="AP50" i="24"/>
  <c r="AS45" i="26"/>
  <c r="AS24" i="24"/>
  <c r="AT29" i="26"/>
  <c r="AQ40" i="24"/>
  <c r="AQ27" i="24"/>
  <c r="AQ38" i="24"/>
  <c r="AT38" i="24"/>
  <c r="AP32" i="24"/>
  <c r="AU46" i="24"/>
  <c r="AR57" i="24"/>
  <c r="AU73" i="26"/>
  <c r="O25" i="23"/>
  <c r="O28" i="24"/>
  <c r="AT56" i="24"/>
  <c r="AP23" i="26"/>
  <c r="AS29" i="24"/>
  <c r="AR27" i="24"/>
  <c r="AT34" i="24"/>
  <c r="M25" i="23"/>
  <c r="AP68" i="24"/>
  <c r="AU31" i="24"/>
  <c r="N26" i="24"/>
  <c r="AQ34" i="24"/>
  <c r="AS40" i="24"/>
  <c r="AS20" i="26"/>
  <c r="AQ21" i="24"/>
  <c r="M28" i="24"/>
  <c r="AQ52" i="24"/>
  <c r="AT48" i="24"/>
  <c r="M23" i="23"/>
  <c r="AR23" i="24"/>
  <c r="AP105" i="24"/>
  <c r="AU56" i="24"/>
  <c r="AQ20" i="24"/>
  <c r="AQ50" i="24"/>
  <c r="M29" i="24"/>
  <c r="AU55" i="24"/>
  <c r="M24" i="23"/>
  <c r="AR25" i="24"/>
  <c r="AS45" i="24"/>
  <c r="O31" i="24"/>
  <c r="AU32" i="24"/>
  <c r="AQ58" i="24"/>
  <c r="AS55" i="26"/>
  <c r="AS37" i="26"/>
  <c r="M26" i="24"/>
  <c r="AR45" i="24"/>
  <c r="AQ22" i="24"/>
  <c r="AR34" i="24"/>
  <c r="AU24" i="24"/>
  <c r="AT29" i="24"/>
  <c r="AU41" i="24"/>
  <c r="AS23" i="24"/>
  <c r="AP30" i="24"/>
  <c r="M31" i="24"/>
  <c r="AQ25" i="26"/>
  <c r="AT24" i="24"/>
  <c r="AR40" i="24"/>
  <c r="AQ30" i="24"/>
  <c r="AP49" i="26"/>
  <c r="AS61" i="24"/>
  <c r="AU29" i="24"/>
  <c r="AQ75" i="24"/>
  <c r="AS27" i="24"/>
  <c r="AT41" i="24"/>
  <c r="AQ24" i="26"/>
  <c r="AQ44" i="26"/>
  <c r="AQ47" i="24"/>
  <c r="AR26" i="26"/>
  <c r="AT23" i="24"/>
  <c r="N29" i="24"/>
  <c r="AR66" i="24"/>
  <c r="AP52" i="24"/>
  <c r="AP21" i="24"/>
  <c r="AP47" i="24"/>
  <c r="R8" i="26" l="1"/>
  <c r="P8" i="26"/>
  <c r="Q9" i="26"/>
  <c r="R9" i="26"/>
  <c r="R28" i="26"/>
  <c r="S28" i="26" s="1"/>
  <c r="X26" i="26"/>
  <c r="X27" i="26"/>
  <c r="X23" i="26"/>
  <c r="X21" i="26"/>
  <c r="X25" i="26"/>
  <c r="X22" i="26"/>
  <c r="S4" i="26"/>
  <c r="Q14" i="26" s="1"/>
  <c r="X20" i="26"/>
  <c r="X24" i="26"/>
  <c r="R34" i="26"/>
  <c r="S34" i="26" s="1"/>
  <c r="S37" i="26"/>
  <c r="S3" i="26"/>
  <c r="Q13" i="26" s="1"/>
  <c r="S5" i="26"/>
  <c r="Q15" i="26" s="1"/>
  <c r="Q8" i="24"/>
  <c r="R8" i="24"/>
  <c r="S4" i="24"/>
  <c r="Q14" i="24" s="1"/>
  <c r="X23" i="24"/>
  <c r="X27" i="24"/>
  <c r="S28" i="24"/>
  <c r="X25" i="24"/>
  <c r="X24" i="24"/>
  <c r="X20" i="24"/>
  <c r="S5" i="24"/>
  <c r="Q15" i="24" s="1"/>
  <c r="S3" i="24"/>
  <c r="Q13" i="24" s="1"/>
  <c r="X21" i="24"/>
  <c r="X28" i="24"/>
  <c r="X22" i="24"/>
  <c r="P10" i="24"/>
  <c r="X26" i="24"/>
  <c r="P9" i="24"/>
  <c r="I10" i="18"/>
  <c r="I10" i="23"/>
  <c r="X25" i="23" s="1"/>
  <c r="Q110" i="23"/>
  <c r="Q109" i="23"/>
  <c r="Q108" i="23"/>
  <c r="Q107" i="23"/>
  <c r="Q106" i="23"/>
  <c r="Q105" i="23"/>
  <c r="Q104" i="23"/>
  <c r="Q103" i="23"/>
  <c r="Q102" i="23"/>
  <c r="Q101" i="23"/>
  <c r="Q100" i="23"/>
  <c r="Q99" i="23"/>
  <c r="Q98" i="23"/>
  <c r="Q97" i="23"/>
  <c r="Q96" i="23"/>
  <c r="Q95" i="23"/>
  <c r="Q94" i="23"/>
  <c r="Q93" i="23"/>
  <c r="Q92" i="23"/>
  <c r="Q91" i="23"/>
  <c r="Q90" i="23"/>
  <c r="Q89" i="23"/>
  <c r="Q88" i="23"/>
  <c r="Q87" i="23"/>
  <c r="Q86" i="23"/>
  <c r="Q85" i="23"/>
  <c r="Q84" i="23"/>
  <c r="Q83" i="23"/>
  <c r="Q82" i="23"/>
  <c r="Q81" i="23"/>
  <c r="Q80" i="23"/>
  <c r="Q79" i="23"/>
  <c r="Q78" i="23"/>
  <c r="Q77" i="23"/>
  <c r="Q76" i="23"/>
  <c r="Q75" i="23"/>
  <c r="Q74" i="23"/>
  <c r="Q73" i="23"/>
  <c r="Q72" i="23"/>
  <c r="Q71" i="23"/>
  <c r="Q70" i="23"/>
  <c r="Q69" i="23"/>
  <c r="Q68" i="23"/>
  <c r="Q67" i="23"/>
  <c r="Q66" i="23"/>
  <c r="Q65" i="23"/>
  <c r="Q64" i="23"/>
  <c r="Q63" i="23"/>
  <c r="Q62" i="23"/>
  <c r="Q61" i="23"/>
  <c r="Q60" i="23"/>
  <c r="Q59" i="23"/>
  <c r="Q58" i="23"/>
  <c r="Q57" i="23"/>
  <c r="Q56" i="23"/>
  <c r="Q55" i="23"/>
  <c r="Q54" i="23"/>
  <c r="Q53" i="23"/>
  <c r="Q52" i="23"/>
  <c r="Q51" i="23"/>
  <c r="Q50" i="23"/>
  <c r="Q49" i="23"/>
  <c r="Q48" i="23"/>
  <c r="Q47" i="23"/>
  <c r="Q46" i="23"/>
  <c r="Q45" i="23"/>
  <c r="Q44" i="23"/>
  <c r="Q43" i="23"/>
  <c r="Q42" i="23"/>
  <c r="Q41" i="23"/>
  <c r="Q40" i="23"/>
  <c r="Q39" i="23"/>
  <c r="Q38" i="23"/>
  <c r="Q37" i="23"/>
  <c r="Q36" i="23"/>
  <c r="Q35" i="23"/>
  <c r="Q34" i="23"/>
  <c r="Q33" i="23"/>
  <c r="Q32" i="23"/>
  <c r="Q31" i="23"/>
  <c r="N31" i="23" s="1"/>
  <c r="Q30" i="23"/>
  <c r="Q29" i="23"/>
  <c r="Q28" i="23"/>
  <c r="Q27" i="23"/>
  <c r="X26" i="23"/>
  <c r="Q26" i="23"/>
  <c r="Q25" i="23"/>
  <c r="Q24" i="23"/>
  <c r="X23" i="23"/>
  <c r="Q23" i="23"/>
  <c r="B23" i="23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Y21" i="23"/>
  <c r="Y22" i="23" s="1"/>
  <c r="Y23" i="23" s="1"/>
  <c r="Y24" i="23" s="1"/>
  <c r="Y25" i="23" s="1"/>
  <c r="Y26" i="23" s="1"/>
  <c r="Y27" i="23" s="1"/>
  <c r="Y28" i="23" s="1"/>
  <c r="Y29" i="23" s="1"/>
  <c r="Y30" i="23" s="1"/>
  <c r="Y31" i="23" s="1"/>
  <c r="Y32" i="23" s="1"/>
  <c r="Y33" i="23" s="1"/>
  <c r="Y34" i="23" s="1"/>
  <c r="Y35" i="23" s="1"/>
  <c r="Y36" i="23" s="1"/>
  <c r="Y37" i="23" s="1"/>
  <c r="Y38" i="23" s="1"/>
  <c r="Y39" i="23" s="1"/>
  <c r="Y40" i="23" s="1"/>
  <c r="Y41" i="23" s="1"/>
  <c r="Y42" i="23" s="1"/>
  <c r="Y43" i="23" s="1"/>
  <c r="Y44" i="23" s="1"/>
  <c r="Y45" i="23" s="1"/>
  <c r="Y46" i="23" s="1"/>
  <c r="Y47" i="23" s="1"/>
  <c r="Y48" i="23" s="1"/>
  <c r="Y49" i="23" s="1"/>
  <c r="Y50" i="23" s="1"/>
  <c r="Y51" i="23" s="1"/>
  <c r="Y52" i="23" s="1"/>
  <c r="Y53" i="23" s="1"/>
  <c r="Y54" i="23" s="1"/>
  <c r="Y55" i="23" s="1"/>
  <c r="Y56" i="23" s="1"/>
  <c r="Y57" i="23" s="1"/>
  <c r="Y58" i="23" s="1"/>
  <c r="Y59" i="23" s="1"/>
  <c r="Y60" i="23" s="1"/>
  <c r="Y61" i="23" s="1"/>
  <c r="Y62" i="23" s="1"/>
  <c r="Y63" i="23" s="1"/>
  <c r="Y64" i="23" s="1"/>
  <c r="Y65" i="23" s="1"/>
  <c r="Y66" i="23" s="1"/>
  <c r="Y67" i="23" s="1"/>
  <c r="Y68" i="23" s="1"/>
  <c r="Y69" i="23" s="1"/>
  <c r="Y70" i="23" s="1"/>
  <c r="Y71" i="23" s="1"/>
  <c r="Y72" i="23" s="1"/>
  <c r="Y73" i="23" s="1"/>
  <c r="Y74" i="23" s="1"/>
  <c r="Y75" i="23" s="1"/>
  <c r="Y76" i="23" s="1"/>
  <c r="Y77" i="23" s="1"/>
  <c r="Y78" i="23" s="1"/>
  <c r="Y79" i="23" s="1"/>
  <c r="Y80" i="23" s="1"/>
  <c r="Y81" i="23" s="1"/>
  <c r="Y82" i="23" s="1"/>
  <c r="Y83" i="23" s="1"/>
  <c r="Y84" i="23" s="1"/>
  <c r="Y85" i="23" s="1"/>
  <c r="Y86" i="23" s="1"/>
  <c r="Y87" i="23" s="1"/>
  <c r="Y88" i="23" s="1"/>
  <c r="Y89" i="23" s="1"/>
  <c r="Y90" i="23" s="1"/>
  <c r="Y91" i="23" s="1"/>
  <c r="Y92" i="23" s="1"/>
  <c r="Y93" i="23" s="1"/>
  <c r="Y94" i="23" s="1"/>
  <c r="Y95" i="23" s="1"/>
  <c r="Y96" i="23" s="1"/>
  <c r="Y97" i="23" s="1"/>
  <c r="Y98" i="23" s="1"/>
  <c r="Y99" i="23" s="1"/>
  <c r="Y100" i="23" s="1"/>
  <c r="Y101" i="23" s="1"/>
  <c r="Y102" i="23" s="1"/>
  <c r="Y103" i="23" s="1"/>
  <c r="Y104" i="23" s="1"/>
  <c r="Y105" i="23" s="1"/>
  <c r="Y106" i="23" s="1"/>
  <c r="Y107" i="23" s="1"/>
  <c r="Y108" i="23" s="1"/>
  <c r="Y109" i="23" s="1"/>
  <c r="Y110" i="23" s="1"/>
  <c r="X21" i="23"/>
  <c r="B21" i="23"/>
  <c r="B22" i="23" s="1"/>
  <c r="Y20" i="23"/>
  <c r="X20" i="23"/>
  <c r="AB16" i="23"/>
  <c r="O15" i="23"/>
  <c r="I11" i="23"/>
  <c r="O10" i="23"/>
  <c r="O9" i="23"/>
  <c r="O14" i="23" s="1"/>
  <c r="O8" i="23"/>
  <c r="O13" i="23" s="1"/>
  <c r="I7" i="23"/>
  <c r="I6" i="23"/>
  <c r="S4" i="23" s="1"/>
  <c r="Q14" i="23" s="1"/>
  <c r="R5" i="23"/>
  <c r="Q5" i="23"/>
  <c r="R10" i="23" s="1"/>
  <c r="P5" i="23"/>
  <c r="Q10" i="23" s="1"/>
  <c r="R4" i="23"/>
  <c r="Q4" i="23"/>
  <c r="P4" i="23"/>
  <c r="R3" i="23"/>
  <c r="Q3" i="23"/>
  <c r="P3" i="23"/>
  <c r="Q8" i="23" s="1"/>
  <c r="G28" i="24"/>
  <c r="G35" i="26"/>
  <c r="E28" i="24"/>
  <c r="J28" i="24"/>
  <c r="H34" i="26"/>
  <c r="F26" i="24"/>
  <c r="J26" i="24"/>
  <c r="H37" i="26"/>
  <c r="K26" i="24"/>
  <c r="K28" i="24"/>
  <c r="H28" i="24"/>
  <c r="I28" i="24"/>
  <c r="E26" i="24"/>
  <c r="H26" i="24"/>
  <c r="I26" i="24"/>
  <c r="F28" i="24"/>
  <c r="G26" i="24"/>
  <c r="M27" i="24"/>
  <c r="M30" i="24"/>
  <c r="AT27" i="26"/>
  <c r="N30" i="23" l="1"/>
  <c r="AL26" i="24"/>
  <c r="AL28" i="24"/>
  <c r="R9" i="23"/>
  <c r="Q9" i="23"/>
  <c r="R8" i="23"/>
  <c r="X27" i="23"/>
  <c r="X24" i="23"/>
  <c r="X22" i="23"/>
  <c r="S5" i="23"/>
  <c r="Q15" i="23" s="1"/>
  <c r="S3" i="23"/>
  <c r="Q13" i="23" s="1"/>
  <c r="P9" i="23"/>
  <c r="P10" i="23"/>
  <c r="P8" i="23"/>
  <c r="I37" i="26"/>
  <c r="K35" i="26"/>
  <c r="I29" i="24"/>
  <c r="K37" i="26"/>
  <c r="G29" i="24"/>
  <c r="I35" i="26"/>
  <c r="J34" i="26"/>
  <c r="F32" i="26"/>
  <c r="K29" i="24"/>
  <c r="G34" i="26"/>
  <c r="J35" i="26"/>
  <c r="E34" i="26"/>
  <c r="E29" i="24"/>
  <c r="F35" i="26"/>
  <c r="E37" i="26"/>
  <c r="K32" i="26"/>
  <c r="H29" i="24"/>
  <c r="G37" i="26"/>
  <c r="J32" i="26"/>
  <c r="E35" i="26"/>
  <c r="K34" i="26"/>
  <c r="E32" i="26"/>
  <c r="J37" i="26"/>
  <c r="I34" i="26"/>
  <c r="J29" i="24"/>
  <c r="I32" i="26"/>
  <c r="F29" i="24"/>
  <c r="G32" i="26"/>
  <c r="AS81" i="24"/>
  <c r="AP72" i="24"/>
  <c r="AU85" i="24"/>
  <c r="AU84" i="26"/>
  <c r="AQ78" i="24"/>
  <c r="AU21" i="24"/>
  <c r="AQ69" i="24"/>
  <c r="AQ63" i="24"/>
  <c r="AR80" i="24"/>
  <c r="AS51" i="24"/>
  <c r="AU97" i="24"/>
  <c r="AU32" i="26"/>
  <c r="AP38" i="26"/>
  <c r="AP73" i="24"/>
  <c r="AU104" i="24"/>
  <c r="AU63" i="24"/>
  <c r="AP65" i="26"/>
  <c r="AQ22" i="26"/>
  <c r="AR42" i="26"/>
  <c r="AP108" i="24"/>
  <c r="AP51" i="24"/>
  <c r="AP76" i="24"/>
  <c r="AT26" i="24"/>
  <c r="AR24" i="24"/>
  <c r="AU74" i="24"/>
  <c r="AS74" i="26"/>
  <c r="AP83" i="26"/>
  <c r="AQ42" i="24"/>
  <c r="AU24" i="26"/>
  <c r="AR97" i="26"/>
  <c r="AU31" i="26"/>
  <c r="AQ79" i="24"/>
  <c r="AT40" i="26"/>
  <c r="AP31" i="24"/>
  <c r="AR96" i="24"/>
  <c r="AS56" i="24"/>
  <c r="AP34" i="26"/>
  <c r="AP103" i="26"/>
  <c r="AT39" i="26"/>
  <c r="AR92" i="26"/>
  <c r="N30" i="24"/>
  <c r="AT94" i="26"/>
  <c r="AS51" i="26"/>
  <c r="AU59" i="26"/>
  <c r="AP54" i="24"/>
  <c r="AQ103" i="24"/>
  <c r="AT71" i="26"/>
  <c r="AS72" i="26"/>
  <c r="AQ74" i="24"/>
  <c r="AS60" i="24"/>
  <c r="AP93" i="24"/>
  <c r="AS86" i="26"/>
  <c r="AT83" i="24"/>
  <c r="AT98" i="24"/>
  <c r="AS31" i="24"/>
  <c r="AU110" i="24"/>
  <c r="AP46" i="26"/>
  <c r="AS62" i="24"/>
  <c r="AT44" i="24"/>
  <c r="AS67" i="24"/>
  <c r="AT49" i="26"/>
  <c r="AR45" i="26"/>
  <c r="AS87" i="26"/>
  <c r="AQ67" i="26"/>
  <c r="AR60" i="26"/>
  <c r="AU25" i="24"/>
  <c r="AP78" i="26"/>
  <c r="AR34" i="26"/>
  <c r="AR57" i="26"/>
  <c r="AP32" i="26"/>
  <c r="AS76" i="24"/>
  <c r="AT36" i="26"/>
  <c r="AU46" i="26"/>
  <c r="AT73" i="26"/>
  <c r="AS100" i="26"/>
  <c r="AS35" i="24"/>
  <c r="AQ85" i="26"/>
  <c r="AS98" i="26"/>
  <c r="AP94" i="26"/>
  <c r="AS99" i="24"/>
  <c r="AU92" i="26"/>
  <c r="AQ92" i="24"/>
  <c r="AS57" i="26"/>
  <c r="AP102" i="26"/>
  <c r="AU26" i="26"/>
  <c r="AR28" i="26"/>
  <c r="AR53" i="26"/>
  <c r="AP67" i="26"/>
  <c r="AP25" i="24"/>
  <c r="AP58" i="26"/>
  <c r="AQ70" i="24"/>
  <c r="AP61" i="26"/>
  <c r="AQ40" i="26"/>
  <c r="AP71" i="26"/>
  <c r="AS63" i="24"/>
  <c r="AS49" i="24"/>
  <c r="AP98" i="26"/>
  <c r="AS46" i="26"/>
  <c r="M25" i="24"/>
  <c r="AT98" i="26"/>
  <c r="AR68" i="24"/>
  <c r="AP109" i="26"/>
  <c r="AS52" i="26"/>
  <c r="AR86" i="26"/>
  <c r="AT47" i="26"/>
  <c r="AP106" i="24"/>
  <c r="AU67" i="26"/>
  <c r="AT20" i="24"/>
  <c r="AP77" i="26"/>
  <c r="AR67" i="24"/>
  <c r="AP55" i="26"/>
  <c r="AS61" i="26"/>
  <c r="AS86" i="24"/>
  <c r="AQ96" i="24"/>
  <c r="AR94" i="26"/>
  <c r="AU22" i="24"/>
  <c r="AR91" i="24"/>
  <c r="AR22" i="26"/>
  <c r="AT65" i="24"/>
  <c r="AU108" i="26"/>
  <c r="AR58" i="26"/>
  <c r="AQ74" i="26"/>
  <c r="AS33" i="24"/>
  <c r="AQ58" i="26"/>
  <c r="AT47" i="24"/>
  <c r="AU65" i="24"/>
  <c r="AP62" i="24"/>
  <c r="AP84" i="24"/>
  <c r="AP67" i="24"/>
  <c r="AT72" i="26"/>
  <c r="AR103" i="26"/>
  <c r="AQ55" i="26"/>
  <c r="AQ57" i="24"/>
  <c r="AT84" i="26"/>
  <c r="AS49" i="26"/>
  <c r="AS53" i="24"/>
  <c r="AU96" i="24"/>
  <c r="AP37" i="24"/>
  <c r="AT42" i="24"/>
  <c r="AU58" i="26"/>
  <c r="AT90" i="26"/>
  <c r="AQ41" i="24"/>
  <c r="AS40" i="26"/>
  <c r="AR36" i="26"/>
  <c r="AR44" i="26"/>
  <c r="AP77" i="24"/>
  <c r="AS76" i="26"/>
  <c r="AR20" i="26"/>
  <c r="AU102" i="24"/>
  <c r="AN29" i="26"/>
  <c r="AS66" i="24"/>
  <c r="AT50" i="26"/>
  <c r="AP24" i="24"/>
  <c r="AR64" i="26"/>
  <c r="AT92" i="26"/>
  <c r="AU77" i="24"/>
  <c r="AP40" i="26"/>
  <c r="AT110" i="26"/>
  <c r="AS56" i="26"/>
  <c r="AU60" i="24"/>
  <c r="AU26" i="24"/>
  <c r="AQ104" i="24"/>
  <c r="AR56" i="26"/>
  <c r="AR86" i="24"/>
  <c r="AP65" i="24"/>
  <c r="AP96" i="24"/>
  <c r="AU57" i="24"/>
  <c r="AU51" i="24"/>
  <c r="AS101" i="26"/>
  <c r="AU90" i="26"/>
  <c r="AU66" i="26"/>
  <c r="AP29" i="26"/>
  <c r="AS25" i="24"/>
  <c r="AU82" i="26"/>
  <c r="AT63" i="26"/>
  <c r="AP22" i="26"/>
  <c r="AP61" i="24"/>
  <c r="AP38" i="24"/>
  <c r="AT94" i="24"/>
  <c r="AS93" i="26"/>
  <c r="AR29" i="24"/>
  <c r="AS107" i="26"/>
  <c r="AP110" i="26"/>
  <c r="AU98" i="24"/>
  <c r="AR90" i="24"/>
  <c r="AP24" i="26"/>
  <c r="AQ105" i="24"/>
  <c r="AQ106" i="26"/>
  <c r="AR104" i="26"/>
  <c r="AS59" i="24"/>
  <c r="AU87" i="24"/>
  <c r="AT101" i="26"/>
  <c r="AQ35" i="24"/>
  <c r="AU101" i="24"/>
  <c r="AT54" i="24"/>
  <c r="AR109" i="24"/>
  <c r="AT96" i="24"/>
  <c r="AR38" i="24"/>
  <c r="AS38" i="24"/>
  <c r="AP108" i="26"/>
  <c r="AN26" i="26"/>
  <c r="AP41" i="26"/>
  <c r="AR38" i="26"/>
  <c r="AT20" i="26"/>
  <c r="AQ75" i="26"/>
  <c r="AP39" i="26"/>
  <c r="AT37" i="26"/>
  <c r="AT69" i="26"/>
  <c r="AP68" i="26"/>
  <c r="AQ81" i="24"/>
  <c r="AQ32" i="24"/>
  <c r="AP35" i="24"/>
  <c r="AP64" i="26"/>
  <c r="AS53" i="26"/>
  <c r="AS90" i="24"/>
  <c r="AU105" i="24"/>
  <c r="AS105" i="24"/>
  <c r="AR67" i="26"/>
  <c r="AQ66" i="24"/>
  <c r="AP63" i="24"/>
  <c r="AS106" i="26"/>
  <c r="AP28" i="26"/>
  <c r="AT79" i="24"/>
  <c r="AS47" i="24"/>
  <c r="AU74" i="26"/>
  <c r="AQ81" i="26"/>
  <c r="AR24" i="26"/>
  <c r="AR97" i="24"/>
  <c r="AR74" i="26"/>
  <c r="AU80" i="26"/>
  <c r="AP87" i="26"/>
  <c r="AQ97" i="26"/>
  <c r="AS57" i="24"/>
  <c r="AQ36" i="24"/>
  <c r="AP59" i="24"/>
  <c r="AR100" i="24"/>
  <c r="AT26" i="26"/>
  <c r="AP54" i="26"/>
  <c r="AR31" i="24"/>
  <c r="AU83" i="24"/>
  <c r="AP85" i="26"/>
  <c r="AQ80" i="26"/>
  <c r="AS75" i="26"/>
  <c r="AU107" i="24"/>
  <c r="AS22" i="26"/>
  <c r="AR40" i="26"/>
  <c r="AU110" i="26"/>
  <c r="AQ97" i="24"/>
  <c r="AT85" i="26"/>
  <c r="AR30" i="26"/>
  <c r="AT57" i="24"/>
  <c r="AQ49" i="24"/>
  <c r="AT49" i="24"/>
  <c r="AS54" i="26"/>
  <c r="AP23" i="24"/>
  <c r="AR107" i="24"/>
  <c r="AS110" i="26"/>
  <c r="AR62" i="26"/>
  <c r="AS33" i="26"/>
  <c r="AP89" i="24"/>
  <c r="AT38" i="26"/>
  <c r="AU109" i="26"/>
  <c r="AU81" i="26"/>
  <c r="AS78" i="26"/>
  <c r="AR21" i="26"/>
  <c r="AT78" i="26"/>
  <c r="AT68" i="26"/>
  <c r="AU47" i="24"/>
  <c r="AQ110" i="26"/>
  <c r="AQ72" i="24"/>
  <c r="AT88" i="24"/>
  <c r="AS110" i="24"/>
  <c r="AU96" i="26"/>
  <c r="AR88" i="26"/>
  <c r="AP85" i="24"/>
  <c r="AS88" i="24"/>
  <c r="AP99" i="24"/>
  <c r="AQ76" i="24"/>
  <c r="AQ37" i="26"/>
  <c r="AT55" i="26"/>
  <c r="AT91" i="24"/>
  <c r="AQ93" i="26"/>
  <c r="AP90" i="24"/>
  <c r="AP95" i="26"/>
  <c r="AP70" i="26"/>
  <c r="AS95" i="24"/>
  <c r="AS44" i="24"/>
  <c r="AS64" i="26"/>
  <c r="AQ107" i="24"/>
  <c r="AU49" i="26"/>
  <c r="AR87" i="24"/>
  <c r="AP89" i="26"/>
  <c r="AP100" i="26"/>
  <c r="AS94" i="26"/>
  <c r="AS105" i="26"/>
  <c r="AU44" i="26"/>
  <c r="AS108" i="26"/>
  <c r="AQ30" i="26"/>
  <c r="AT107" i="26"/>
  <c r="AT60" i="26"/>
  <c r="AU103" i="24"/>
  <c r="AP75" i="26"/>
  <c r="AS94" i="24"/>
  <c r="AQ87" i="24"/>
  <c r="AP101" i="24"/>
  <c r="AU79" i="24"/>
  <c r="AU48" i="26"/>
  <c r="AQ93" i="24"/>
  <c r="AQ99" i="24"/>
  <c r="AU101" i="26"/>
  <c r="AR39" i="24"/>
  <c r="AT76" i="26"/>
  <c r="AP99" i="26"/>
  <c r="AU50" i="24"/>
  <c r="AR110" i="24"/>
  <c r="AP82" i="24"/>
  <c r="AU66" i="24"/>
  <c r="AR55" i="26"/>
  <c r="AP21" i="26"/>
  <c r="AP69" i="24"/>
  <c r="AR58" i="24"/>
  <c r="AQ27" i="26"/>
  <c r="AU106" i="24"/>
  <c r="AT88" i="26"/>
  <c r="AR106" i="26"/>
  <c r="AT109" i="26"/>
  <c r="AR47" i="24"/>
  <c r="AR66" i="26"/>
  <c r="AR77" i="26"/>
  <c r="AP72" i="26"/>
  <c r="AU86" i="26"/>
  <c r="AR43" i="26"/>
  <c r="AR20" i="24"/>
  <c r="AS29" i="26"/>
  <c r="AT77" i="24"/>
  <c r="AU57" i="26"/>
  <c r="AP42" i="26"/>
  <c r="AP48" i="26"/>
  <c r="AU100" i="24"/>
  <c r="AS93" i="24"/>
  <c r="AT48" i="26"/>
  <c r="AR75" i="26"/>
  <c r="AP91" i="26"/>
  <c r="AP45" i="26"/>
  <c r="AP28" i="24"/>
  <c r="AQ78" i="26"/>
  <c r="AT52" i="24"/>
  <c r="AU88" i="24"/>
  <c r="AQ108" i="26"/>
  <c r="AQ56" i="24"/>
  <c r="AR60" i="24"/>
  <c r="AU49" i="24"/>
  <c r="AT97" i="24"/>
  <c r="AU83" i="26"/>
  <c r="AU70" i="26"/>
  <c r="AT32" i="24"/>
  <c r="AP81" i="26"/>
  <c r="AR35" i="24"/>
  <c r="AQ59" i="26"/>
  <c r="AS101" i="24"/>
  <c r="AP101" i="26"/>
  <c r="AS103" i="26"/>
  <c r="AQ89" i="24"/>
  <c r="AS65" i="26"/>
  <c r="AR73" i="24"/>
  <c r="AU34" i="24"/>
  <c r="AU109" i="24"/>
  <c r="AU106" i="26"/>
  <c r="AT109" i="24"/>
  <c r="AS20" i="24"/>
  <c r="AQ45" i="26"/>
  <c r="AR103" i="24"/>
  <c r="AO26" i="26"/>
  <c r="AQ91" i="24"/>
  <c r="AR36" i="24"/>
  <c r="AR109" i="26"/>
  <c r="AS77" i="26"/>
  <c r="AP97" i="24"/>
  <c r="AR105" i="24"/>
  <c r="AR76" i="26"/>
  <c r="AT53" i="26"/>
  <c r="AU35" i="26"/>
  <c r="AP62" i="26"/>
  <c r="AP44" i="26"/>
  <c r="AS107" i="24"/>
  <c r="AT66" i="24"/>
  <c r="AP36" i="26"/>
  <c r="AU43" i="26"/>
  <c r="AS32" i="26"/>
  <c r="AS42" i="26"/>
  <c r="N27" i="24"/>
  <c r="AS63" i="26"/>
  <c r="AQ99" i="26"/>
  <c r="AT83" i="26"/>
  <c r="AR78" i="24"/>
  <c r="AR26" i="24"/>
  <c r="AT32" i="26"/>
  <c r="AT30" i="24"/>
  <c r="AT97" i="26"/>
  <c r="AS89" i="24"/>
  <c r="AQ100" i="26"/>
  <c r="AT81" i="24"/>
  <c r="AQ94" i="26"/>
  <c r="AP74" i="26"/>
  <c r="AS74" i="24"/>
  <c r="AS97" i="26"/>
  <c r="AR61" i="26"/>
  <c r="AT106" i="26"/>
  <c r="AR106" i="24"/>
  <c r="AP98" i="24"/>
  <c r="AQ48" i="24"/>
  <c r="AU53" i="26"/>
  <c r="AP75" i="24"/>
  <c r="AS64" i="24"/>
  <c r="AU102" i="26"/>
  <c r="AR28" i="24"/>
  <c r="AP26" i="24"/>
  <c r="AU86" i="24"/>
  <c r="AR64" i="24"/>
  <c r="AS62" i="26"/>
  <c r="AT80" i="26"/>
  <c r="AU39" i="26"/>
  <c r="AS58" i="24"/>
  <c r="AR73" i="26"/>
  <c r="AU39" i="24"/>
  <c r="AT87" i="26"/>
  <c r="AS65" i="24"/>
  <c r="AQ103" i="26"/>
  <c r="AT43" i="24"/>
  <c r="AS21" i="24"/>
  <c r="AT104" i="24"/>
  <c r="AU69" i="26"/>
  <c r="AT103" i="26"/>
  <c r="AT40" i="24"/>
  <c r="AT73" i="24"/>
  <c r="AS85" i="24"/>
  <c r="AT91" i="26"/>
  <c r="AR68" i="26"/>
  <c r="AQ73" i="24"/>
  <c r="AR70" i="24"/>
  <c r="AT65" i="26"/>
  <c r="AR101" i="26"/>
  <c r="AT62" i="24"/>
  <c r="AP71" i="24"/>
  <c r="AQ62" i="24"/>
  <c r="AQ52" i="26"/>
  <c r="AT61" i="24"/>
  <c r="AQ69" i="26"/>
  <c r="AO28" i="26"/>
  <c r="AT67" i="26"/>
  <c r="AS37" i="24"/>
  <c r="AT95" i="24"/>
  <c r="AU65" i="26"/>
  <c r="AT104" i="26"/>
  <c r="AQ37" i="24"/>
  <c r="AQ42" i="26"/>
  <c r="AQ71" i="26"/>
  <c r="AP25" i="26"/>
  <c r="AT42" i="26"/>
  <c r="AR21" i="24"/>
  <c r="M23" i="24"/>
  <c r="AT36" i="24"/>
  <c r="AT70" i="26"/>
  <c r="AQ90" i="26"/>
  <c r="AP86" i="24"/>
  <c r="AR82" i="24"/>
  <c r="AQ110" i="24"/>
  <c r="AP81" i="24"/>
  <c r="AQ82" i="26"/>
  <c r="AS39" i="24"/>
  <c r="AR29" i="26"/>
  <c r="AR93" i="26"/>
  <c r="AQ80" i="24"/>
  <c r="AS39" i="26"/>
  <c r="AQ45" i="24"/>
  <c r="AT51" i="24"/>
  <c r="AT52" i="26"/>
  <c r="AQ109" i="24"/>
  <c r="AQ55" i="24"/>
  <c r="AP49" i="24"/>
  <c r="AQ23" i="26"/>
  <c r="AR30" i="24"/>
  <c r="AT50" i="24"/>
  <c r="AQ29" i="26"/>
  <c r="AQ49" i="26"/>
  <c r="AP34" i="24"/>
  <c r="AS59" i="26"/>
  <c r="AS95" i="26"/>
  <c r="AR31" i="26"/>
  <c r="AT46" i="26"/>
  <c r="AR71" i="24"/>
  <c r="AU93" i="26"/>
  <c r="AQ65" i="26"/>
  <c r="AS84" i="26"/>
  <c r="AS22" i="24"/>
  <c r="AR33" i="26"/>
  <c r="AS73" i="24"/>
  <c r="AP43" i="24"/>
  <c r="AT59" i="24"/>
  <c r="AP59" i="26"/>
  <c r="AR48" i="26"/>
  <c r="AS34" i="26"/>
  <c r="AQ85" i="24"/>
  <c r="AU47" i="26"/>
  <c r="AS52" i="24"/>
  <c r="AQ68" i="24"/>
  <c r="AU54" i="24"/>
  <c r="AU87" i="26"/>
  <c r="AU23" i="24"/>
  <c r="AP51" i="26"/>
  <c r="AP95" i="24"/>
  <c r="AU37" i="24"/>
  <c r="AT59" i="26"/>
  <c r="AU30" i="24"/>
  <c r="AQ72" i="26"/>
  <c r="AU72" i="26"/>
  <c r="AT58" i="26"/>
  <c r="AR95" i="24"/>
  <c r="AR102" i="24"/>
  <c r="AT53" i="24"/>
  <c r="AP63" i="26"/>
  <c r="AT102" i="26"/>
  <c r="AQ51" i="26"/>
  <c r="AP33" i="26"/>
  <c r="AQ87" i="26"/>
  <c r="AQ67" i="24"/>
  <c r="AT31" i="24"/>
  <c r="AP29" i="24"/>
  <c r="AU36" i="24"/>
  <c r="AQ66" i="26"/>
  <c r="AU20" i="26"/>
  <c r="AU76" i="26"/>
  <c r="AQ70" i="26"/>
  <c r="AS24" i="26"/>
  <c r="AU100" i="26"/>
  <c r="AR25" i="26"/>
  <c r="AT74" i="26"/>
  <c r="AP90" i="26"/>
  <c r="AU93" i="24"/>
  <c r="AQ83" i="24"/>
  <c r="AS89" i="26"/>
  <c r="AQ86" i="26"/>
  <c r="AU38" i="26"/>
  <c r="AP70" i="24"/>
  <c r="AU108" i="24"/>
  <c r="AU80" i="24"/>
  <c r="AR32" i="24"/>
  <c r="AU75" i="26"/>
  <c r="AT66" i="26"/>
  <c r="AT84" i="24"/>
  <c r="AU90" i="24"/>
  <c r="AP84" i="26"/>
  <c r="AU78" i="26"/>
  <c r="AU41" i="26"/>
  <c r="AP91" i="24"/>
  <c r="AR88" i="24"/>
  <c r="AT76" i="24"/>
  <c r="AQ53" i="24"/>
  <c r="AT60" i="24"/>
  <c r="AS79" i="24"/>
  <c r="AU61" i="26"/>
  <c r="AU68" i="26"/>
  <c r="AQ25" i="24"/>
  <c r="AP57" i="24"/>
  <c r="AT68" i="24"/>
  <c r="AP52" i="26"/>
  <c r="AT45" i="24"/>
  <c r="AT25" i="26"/>
  <c r="AT64" i="26"/>
  <c r="AT110" i="24"/>
  <c r="AP73" i="26"/>
  <c r="AU82" i="24"/>
  <c r="AQ43" i="24"/>
  <c r="AS102" i="24"/>
  <c r="AQ82" i="24"/>
  <c r="AU56" i="26"/>
  <c r="AP36" i="24"/>
  <c r="AS50" i="26"/>
  <c r="AQ64" i="26"/>
  <c r="AT35" i="24"/>
  <c r="AQ84" i="24"/>
  <c r="AS81" i="26"/>
  <c r="AT44" i="26"/>
  <c r="AP94" i="24"/>
  <c r="AQ61" i="24"/>
  <c r="AU33" i="26"/>
  <c r="AR99" i="26"/>
  <c r="AT54" i="26"/>
  <c r="AS92" i="26"/>
  <c r="AR107" i="26"/>
  <c r="AT63" i="24"/>
  <c r="AR102" i="26"/>
  <c r="AT24" i="26"/>
  <c r="AP93" i="26"/>
  <c r="AU75" i="24"/>
  <c r="AR33" i="24"/>
  <c r="AT92" i="24"/>
  <c r="AS30" i="24"/>
  <c r="AT21" i="26"/>
  <c r="AQ73" i="26"/>
  <c r="AR99" i="24"/>
  <c r="AQ36" i="26"/>
  <c r="AP104" i="26"/>
  <c r="AS70" i="26"/>
  <c r="AU63" i="26"/>
  <c r="AU98" i="26"/>
  <c r="AU94" i="24"/>
  <c r="AS42" i="24"/>
  <c r="AT89" i="26"/>
  <c r="AP82" i="26"/>
  <c r="AS58" i="26"/>
  <c r="AR54" i="26"/>
  <c r="AS104" i="26"/>
  <c r="AP109" i="24"/>
  <c r="AQ48" i="26"/>
  <c r="AS32" i="24"/>
  <c r="AP53" i="24"/>
  <c r="AT21" i="24"/>
  <c r="AT30" i="26"/>
  <c r="AQ23" i="24"/>
  <c r="AR81" i="26"/>
  <c r="AQ46" i="24"/>
  <c r="AU34" i="26"/>
  <c r="AT86" i="24"/>
  <c r="AU68" i="24"/>
  <c r="AP92" i="24"/>
  <c r="AP74" i="24"/>
  <c r="AN28" i="26"/>
  <c r="AQ26" i="24"/>
  <c r="AT72" i="24"/>
  <c r="AP103" i="24"/>
  <c r="AQ98" i="24"/>
  <c r="AS109" i="24"/>
  <c r="AR41" i="24"/>
  <c r="AT75" i="24"/>
  <c r="AS102" i="26"/>
  <c r="AT64" i="24"/>
  <c r="AS98" i="24"/>
  <c r="AQ41" i="26"/>
  <c r="AR83" i="24"/>
  <c r="AT35" i="26"/>
  <c r="AQ26" i="26"/>
  <c r="AP58" i="24"/>
  <c r="AU97" i="26"/>
  <c r="AR54" i="24"/>
  <c r="AQ54" i="24"/>
  <c r="AU62" i="26"/>
  <c r="AP37" i="26"/>
  <c r="AR63" i="24"/>
  <c r="AR63" i="26"/>
  <c r="AR70" i="26"/>
  <c r="AT61" i="26"/>
  <c r="AP26" i="26"/>
  <c r="AT33" i="26"/>
  <c r="AT28" i="26"/>
  <c r="AQ31" i="26"/>
  <c r="AT105" i="26"/>
  <c r="AT100" i="26"/>
  <c r="AU95" i="24"/>
  <c r="AP27" i="26"/>
  <c r="AR69" i="24"/>
  <c r="AS72" i="24"/>
  <c r="AR52" i="26"/>
  <c r="AQ108" i="24"/>
  <c r="AR35" i="26"/>
  <c r="AT41" i="26"/>
  <c r="AU94" i="26"/>
  <c r="AR47" i="26"/>
  <c r="AP86" i="26"/>
  <c r="AS35" i="26"/>
  <c r="AT70" i="24"/>
  <c r="AS109" i="26"/>
  <c r="AS97" i="24"/>
  <c r="AU61" i="24"/>
  <c r="AP55" i="24"/>
  <c r="AS23" i="26"/>
  <c r="AR27" i="26"/>
  <c r="AP40" i="24"/>
  <c r="AP33" i="24"/>
  <c r="AU33" i="24"/>
  <c r="AU59" i="24"/>
  <c r="AU64" i="24"/>
  <c r="AT27" i="24"/>
  <c r="AQ54" i="26"/>
  <c r="AU51" i="26"/>
  <c r="AS55" i="24"/>
  <c r="AT102" i="24"/>
  <c r="AP50" i="26"/>
  <c r="AU40" i="26"/>
  <c r="N31" i="24"/>
  <c r="AQ60" i="26"/>
  <c r="AS82" i="24"/>
  <c r="AT74" i="24"/>
  <c r="AP41" i="24"/>
  <c r="AU60" i="26"/>
  <c r="AQ83" i="26"/>
  <c r="AR39" i="26"/>
  <c r="AT93" i="24"/>
  <c r="AR55" i="24"/>
  <c r="AT95" i="26"/>
  <c r="AT39" i="24"/>
  <c r="AR104" i="24"/>
  <c r="AU107" i="26"/>
  <c r="AQ20" i="26"/>
  <c r="AO29" i="26"/>
  <c r="AU40" i="24"/>
  <c r="AQ104" i="26"/>
  <c r="AR98" i="24"/>
  <c r="AR89" i="26"/>
  <c r="AR59" i="26"/>
  <c r="AR105" i="26"/>
  <c r="AQ102" i="26"/>
  <c r="AS88" i="26"/>
  <c r="AS36" i="24"/>
  <c r="AQ88" i="26"/>
  <c r="AP56" i="24"/>
  <c r="AQ32" i="26"/>
  <c r="AQ95" i="26"/>
  <c r="AU71" i="24"/>
  <c r="AT77" i="26"/>
  <c r="AU35" i="24"/>
  <c r="AQ44" i="24"/>
  <c r="AS47" i="26"/>
  <c r="AQ91" i="26"/>
  <c r="AT46" i="24"/>
  <c r="AR79" i="26"/>
  <c r="AU79" i="26"/>
  <c r="AQ60" i="24"/>
  <c r="AQ24" i="24"/>
  <c r="AQ94" i="24"/>
  <c r="AQ29" i="24"/>
  <c r="AS69" i="26"/>
  <c r="AU81" i="24"/>
  <c r="AU62" i="24"/>
  <c r="AP107" i="26"/>
  <c r="AU28" i="24"/>
  <c r="AU104" i="26"/>
  <c r="AP106" i="26"/>
  <c r="AS83" i="26"/>
  <c r="AQ100" i="24"/>
  <c r="AQ96" i="26"/>
  <c r="AU91" i="24"/>
  <c r="AU22" i="26"/>
  <c r="AS50" i="24"/>
  <c r="AU45" i="26"/>
  <c r="AP45" i="24"/>
  <c r="AS67" i="26"/>
  <c r="AS92" i="24"/>
  <c r="AP79" i="24"/>
  <c r="AP87" i="24"/>
  <c r="AT87" i="24"/>
  <c r="AQ89" i="26"/>
  <c r="AR61" i="24"/>
  <c r="AT105" i="24"/>
  <c r="AQ53" i="26"/>
  <c r="AT107" i="24"/>
  <c r="AR85" i="26"/>
  <c r="AQ59" i="24"/>
  <c r="AR108" i="26"/>
  <c r="AU37" i="26"/>
  <c r="AQ43" i="26"/>
  <c r="AS48" i="26"/>
  <c r="AT34" i="26"/>
  <c r="AP20" i="26"/>
  <c r="AT62" i="26"/>
  <c r="AT31" i="26"/>
  <c r="AR98" i="26"/>
  <c r="AT45" i="26"/>
  <c r="AR77" i="24"/>
  <c r="AT93" i="26"/>
  <c r="AR83" i="26"/>
  <c r="AU54" i="26"/>
  <c r="AS103" i="24"/>
  <c r="AP27" i="24"/>
  <c r="AS90" i="26"/>
  <c r="AQ39" i="24"/>
  <c r="AU44" i="24"/>
  <c r="AU89" i="24"/>
  <c r="AP39" i="24"/>
  <c r="AR81" i="24"/>
  <c r="AP110" i="24"/>
  <c r="AS80" i="26"/>
  <c r="AP100" i="24"/>
  <c r="AP88" i="26"/>
  <c r="AU53" i="24"/>
  <c r="AT89" i="24"/>
  <c r="AT99" i="26"/>
  <c r="AR95" i="26"/>
  <c r="AS26" i="26"/>
  <c r="AQ88" i="24"/>
  <c r="N23" i="24"/>
  <c r="AP104" i="24"/>
  <c r="AR37" i="24"/>
  <c r="AS68" i="26"/>
  <c r="AQ47" i="26"/>
  <c r="AR75" i="24"/>
  <c r="AU105" i="26"/>
  <c r="AU76" i="24"/>
  <c r="AQ101" i="24"/>
  <c r="AQ62" i="26"/>
  <c r="AT80" i="24"/>
  <c r="AS28" i="24"/>
  <c r="AR101" i="24"/>
  <c r="AQ71" i="24"/>
  <c r="AQ63" i="26"/>
  <c r="AQ51" i="24"/>
  <c r="AP57" i="26"/>
  <c r="AP56" i="26"/>
  <c r="AR100" i="26"/>
  <c r="AR48" i="24"/>
  <c r="AQ34" i="26"/>
  <c r="AP53" i="26"/>
  <c r="AQ84" i="26"/>
  <c r="AR50" i="26"/>
  <c r="AR92" i="24"/>
  <c r="AU29" i="26"/>
  <c r="AR85" i="24"/>
  <c r="AR108" i="24"/>
  <c r="AQ28" i="24"/>
  <c r="AP43" i="26"/>
  <c r="AP69" i="26"/>
  <c r="AS87" i="24"/>
  <c r="AU58" i="24"/>
  <c r="AP30" i="26"/>
  <c r="AR50" i="24"/>
  <c r="AP96" i="26"/>
  <c r="AR76" i="24"/>
  <c r="AR59" i="24"/>
  <c r="AT101" i="24"/>
  <c r="AS41" i="24"/>
  <c r="AT82" i="24"/>
  <c r="AT22" i="24"/>
  <c r="AP78" i="24"/>
  <c r="AR56" i="24"/>
  <c r="AQ107" i="26"/>
  <c r="AT51" i="26"/>
  <c r="AR43" i="24"/>
  <c r="AR72" i="26"/>
  <c r="AS82" i="26"/>
  <c r="AQ39" i="26"/>
  <c r="AU103" i="26"/>
  <c r="AT75" i="26"/>
  <c r="AQ28" i="26"/>
  <c r="AU36" i="26"/>
  <c r="AQ77" i="24"/>
  <c r="AS28" i="26"/>
  <c r="AT79" i="26"/>
  <c r="AP66" i="26"/>
  <c r="AR42" i="24"/>
  <c r="AR87" i="26"/>
  <c r="AR79" i="24"/>
  <c r="AP88" i="24"/>
  <c r="AT37" i="24"/>
  <c r="AQ38" i="26"/>
  <c r="AT69" i="24"/>
  <c r="AP46" i="24"/>
  <c r="AU91" i="26"/>
  <c r="AT33" i="24"/>
  <c r="AR71" i="26"/>
  <c r="AQ68" i="26"/>
  <c r="AU84" i="24"/>
  <c r="AQ65" i="24"/>
  <c r="AQ56" i="26"/>
  <c r="AU42" i="24"/>
  <c r="AR89" i="24"/>
  <c r="AU21" i="26"/>
  <c r="AS78" i="24"/>
  <c r="AP42" i="24"/>
  <c r="AU69" i="24"/>
  <c r="AU50" i="26"/>
  <c r="AT90" i="24"/>
  <c r="AR46" i="24"/>
  <c r="AQ92" i="26"/>
  <c r="AP102" i="24"/>
  <c r="AS108" i="24"/>
  <c r="AT57" i="26"/>
  <c r="AS71" i="24"/>
  <c r="AT100" i="24"/>
  <c r="AS43" i="26"/>
  <c r="AT28" i="24"/>
  <c r="AR72" i="24"/>
  <c r="AU64" i="26"/>
  <c r="AQ106" i="24"/>
  <c r="AT85" i="24"/>
  <c r="AT96" i="26"/>
  <c r="AR91" i="26"/>
  <c r="AS75" i="24"/>
  <c r="AS60" i="26"/>
  <c r="AP60" i="24"/>
  <c r="AS27" i="26"/>
  <c r="AU27" i="24"/>
  <c r="AR78" i="26"/>
  <c r="AU71" i="26"/>
  <c r="AQ86" i="24"/>
  <c r="AQ61" i="26"/>
  <c r="AR23" i="26"/>
  <c r="AS48" i="24"/>
  <c r="AS41" i="26"/>
  <c r="AP47" i="26"/>
  <c r="AU38" i="24"/>
  <c r="AR84" i="26"/>
  <c r="AU23" i="26"/>
  <c r="AU99" i="24"/>
  <c r="AS68" i="24"/>
  <c r="AQ102" i="24"/>
  <c r="AS79" i="26"/>
  <c r="AS38" i="26"/>
  <c r="AR84" i="24"/>
  <c r="AU67" i="24"/>
  <c r="AR62" i="24"/>
  <c r="AU28" i="26"/>
  <c r="AP107" i="24"/>
  <c r="AS31" i="26"/>
  <c r="AU30" i="26"/>
  <c r="AR90" i="26"/>
  <c r="AT82" i="26"/>
  <c r="AU43" i="24"/>
  <c r="AP64" i="24"/>
  <c r="AP80" i="26"/>
  <c r="AT25" i="24"/>
  <c r="AR41" i="26"/>
  <c r="AQ95" i="24"/>
  <c r="AS84" i="24"/>
  <c r="AS21" i="26"/>
  <c r="AQ21" i="26"/>
  <c r="AS70" i="24"/>
  <c r="AP66" i="24"/>
  <c r="AS96" i="24"/>
  <c r="AP97" i="26"/>
  <c r="AS25" i="26"/>
  <c r="AR37" i="26"/>
  <c r="AR53" i="24"/>
  <c r="AR110" i="26"/>
  <c r="AP48" i="24"/>
  <c r="AR65" i="26"/>
  <c r="AU89" i="26"/>
  <c r="AQ77" i="26"/>
  <c r="AU78" i="24"/>
  <c r="AR69" i="26"/>
  <c r="AT55" i="24"/>
  <c r="AQ109" i="26"/>
  <c r="AS100" i="24"/>
  <c r="AT67" i="24"/>
  <c r="AS80" i="24"/>
  <c r="AR32" i="26"/>
  <c r="AS69" i="24"/>
  <c r="AQ57" i="26"/>
  <c r="AS85" i="26"/>
  <c r="AU45" i="24"/>
  <c r="AS46" i="24"/>
  <c r="AQ90" i="24"/>
  <c r="AS54" i="24"/>
  <c r="AS91" i="26"/>
  <c r="AU42" i="26"/>
  <c r="AP105" i="26"/>
  <c r="AS66" i="26"/>
  <c r="AP80" i="24"/>
  <c r="AU55" i="26"/>
  <c r="AS99" i="26"/>
  <c r="AT23" i="26"/>
  <c r="AS30" i="26"/>
  <c r="AU20" i="24"/>
  <c r="AS43" i="24"/>
  <c r="AU70" i="24"/>
  <c r="AT78" i="24"/>
  <c r="AR93" i="24"/>
  <c r="AT43" i="26"/>
  <c r="AU85" i="26"/>
  <c r="AS44" i="26"/>
  <c r="AQ79" i="26"/>
  <c r="AQ35" i="26"/>
  <c r="AR96" i="26"/>
  <c r="AU99" i="26"/>
  <c r="AQ46" i="26"/>
  <c r="AQ33" i="26"/>
  <c r="AU52" i="26"/>
  <c r="AU72" i="24"/>
  <c r="AR51" i="24"/>
  <c r="AP60" i="26"/>
  <c r="AT108" i="26"/>
  <c r="AR49" i="24"/>
  <c r="AS83" i="24"/>
  <c r="AT71" i="24"/>
  <c r="AU52" i="24"/>
  <c r="AT81" i="26"/>
  <c r="AR52" i="24"/>
  <c r="AR44" i="24"/>
  <c r="AQ33" i="24"/>
  <c r="O25" i="24"/>
  <c r="AT56" i="26"/>
  <c r="AU73" i="24"/>
  <c r="AP44" i="24"/>
  <c r="AR80" i="26"/>
  <c r="AR65" i="24"/>
  <c r="AU95" i="26"/>
  <c r="AT108" i="24"/>
  <c r="AQ64" i="24"/>
  <c r="AU27" i="26"/>
  <c r="AS106" i="24"/>
  <c r="AS26" i="24"/>
  <c r="AT103" i="24"/>
  <c r="AU25" i="26"/>
  <c r="AQ101" i="26"/>
  <c r="M24" i="24"/>
  <c r="AU77" i="26"/>
  <c r="AP31" i="26"/>
  <c r="AQ105" i="26"/>
  <c r="AS71" i="26"/>
  <c r="AR51" i="26"/>
  <c r="AU88" i="26"/>
  <c r="AQ31" i="24"/>
  <c r="AS91" i="24"/>
  <c r="AQ76" i="26"/>
  <c r="AQ50" i="26"/>
  <c r="AT22" i="26"/>
  <c r="AT86" i="26"/>
  <c r="AT58" i="24"/>
  <c r="AP79" i="26"/>
  <c r="AR74" i="24"/>
  <c r="AP92" i="26"/>
  <c r="AS96" i="26"/>
  <c r="AT106" i="24"/>
  <c r="AR82" i="26"/>
  <c r="AS77" i="24"/>
  <c r="AU92" i="24"/>
  <c r="AR49" i="26"/>
  <c r="AS104" i="24"/>
  <c r="AP35" i="26"/>
  <c r="AP76" i="26"/>
  <c r="AT99" i="24"/>
  <c r="AQ98" i="26"/>
  <c r="AR46" i="26"/>
  <c r="AS73" i="26"/>
  <c r="AL32" i="26" l="1"/>
  <c r="AL35" i="26"/>
  <c r="AL34" i="26"/>
  <c r="AL37" i="26"/>
  <c r="AL29" i="24"/>
  <c r="O10" i="18"/>
  <c r="O15" i="18" s="1"/>
  <c r="O9" i="18"/>
  <c r="O14" i="18" s="1"/>
  <c r="O8" i="18"/>
  <c r="O13" i="18" s="1"/>
  <c r="R5" i="18"/>
  <c r="Q5" i="18"/>
  <c r="P5" i="18"/>
  <c r="Q10" i="18" s="1"/>
  <c r="R4" i="18"/>
  <c r="Q4" i="18"/>
  <c r="P4" i="18"/>
  <c r="P9" i="18" s="1"/>
  <c r="R3" i="18"/>
  <c r="Q3" i="18"/>
  <c r="P3" i="18"/>
  <c r="Q5" i="16"/>
  <c r="P5" i="16"/>
  <c r="P4" i="16"/>
  <c r="Q4" i="16"/>
  <c r="R4" i="16"/>
  <c r="R3" i="16"/>
  <c r="P3" i="16"/>
  <c r="Q3" i="16"/>
  <c r="R9" i="18" l="1"/>
  <c r="R8" i="18"/>
  <c r="Q9" i="18"/>
  <c r="P8" i="18"/>
  <c r="R10" i="18"/>
  <c r="Q8" i="18"/>
  <c r="P10" i="18"/>
  <c r="AT83" i="23"/>
  <c r="AQ27" i="23"/>
  <c r="AQ100" i="23"/>
  <c r="AR39" i="23"/>
  <c r="AT99" i="23"/>
  <c r="AR67" i="23"/>
  <c r="AT74" i="23"/>
  <c r="AQ38" i="23"/>
  <c r="AS56" i="23"/>
  <c r="AR78" i="23"/>
  <c r="AQ63" i="23"/>
  <c r="AT71" i="23"/>
  <c r="AQ101" i="23"/>
  <c r="AU100" i="23"/>
  <c r="AT81" i="23"/>
  <c r="AS61" i="23"/>
  <c r="AP47" i="23"/>
  <c r="AQ97" i="23"/>
  <c r="AR100" i="23"/>
  <c r="AS43" i="23"/>
  <c r="AQ29" i="23"/>
  <c r="AP87" i="23"/>
  <c r="AT107" i="23"/>
  <c r="AS46" i="23"/>
  <c r="AR60" i="23"/>
  <c r="AP94" i="23"/>
  <c r="AU40" i="23"/>
  <c r="AQ42" i="23"/>
  <c r="AS99" i="23"/>
  <c r="AQ41" i="23"/>
  <c r="AP99" i="23"/>
  <c r="AQ35" i="23"/>
  <c r="AT88" i="23"/>
  <c r="AU34" i="23"/>
  <c r="AR40" i="23"/>
  <c r="AR70" i="23"/>
  <c r="AR52" i="23"/>
  <c r="AT108" i="23"/>
  <c r="AS96" i="23"/>
  <c r="AS82" i="23"/>
  <c r="AR109" i="23"/>
  <c r="AP88" i="23"/>
  <c r="AP69" i="23"/>
  <c r="AS57" i="23"/>
  <c r="AU30" i="23"/>
  <c r="AS36" i="23"/>
  <c r="AT110" i="23"/>
  <c r="AS79" i="23"/>
  <c r="AU31" i="23"/>
  <c r="AS98" i="23"/>
  <c r="AU92" i="23"/>
  <c r="AT42" i="23"/>
  <c r="AP108" i="23"/>
  <c r="AP22" i="23"/>
  <c r="AR21" i="23"/>
  <c r="AR50" i="23"/>
  <c r="AR80" i="23"/>
  <c r="AR103" i="23"/>
  <c r="AS31" i="23"/>
  <c r="AU52" i="23"/>
  <c r="AQ72" i="23"/>
  <c r="AS28" i="23"/>
  <c r="AP104" i="23"/>
  <c r="AT85" i="23"/>
  <c r="AQ22" i="23"/>
  <c r="AR69" i="23"/>
  <c r="AQ79" i="23"/>
  <c r="AP23" i="23"/>
  <c r="AS97" i="23"/>
  <c r="AT64" i="23"/>
  <c r="AP83" i="23"/>
  <c r="AS30" i="23"/>
  <c r="AT53" i="23"/>
  <c r="AP39" i="23"/>
  <c r="AQ51" i="23"/>
  <c r="AR97" i="23"/>
  <c r="AU23" i="23"/>
  <c r="AS62" i="23"/>
  <c r="AS68" i="23"/>
  <c r="AP92" i="23"/>
  <c r="AR106" i="23"/>
  <c r="AP60" i="23"/>
  <c r="AS90" i="23"/>
  <c r="AP34" i="23"/>
  <c r="AU24" i="23"/>
  <c r="AT48" i="23"/>
  <c r="AQ39" i="23"/>
  <c r="AU106" i="23"/>
  <c r="AR57" i="23"/>
  <c r="AU76" i="23"/>
  <c r="AS39" i="23"/>
  <c r="AS34" i="23"/>
  <c r="AR41" i="23"/>
  <c r="AU94" i="23"/>
  <c r="AR74" i="23"/>
  <c r="AR56" i="23"/>
  <c r="AP80" i="23"/>
  <c r="AS108" i="23"/>
  <c r="AT58" i="23"/>
  <c r="AP91" i="23"/>
  <c r="AR55" i="23"/>
  <c r="AP75" i="23"/>
  <c r="AR71" i="23"/>
  <c r="AU97" i="23"/>
  <c r="AR68" i="23"/>
  <c r="AT60" i="23"/>
  <c r="AT91" i="23"/>
  <c r="AS94" i="23"/>
  <c r="AP100" i="23"/>
  <c r="AU69" i="23"/>
  <c r="AR24" i="23"/>
  <c r="AT70" i="23"/>
  <c r="AQ45" i="23"/>
  <c r="AS22" i="23"/>
  <c r="AQ59" i="23"/>
  <c r="AP105" i="23"/>
  <c r="AU103" i="23"/>
  <c r="AU22" i="23"/>
  <c r="AT44" i="23"/>
  <c r="AR95" i="23"/>
  <c r="AU73" i="23"/>
  <c r="AQ23" i="23"/>
  <c r="AT56" i="23"/>
  <c r="AU41" i="23"/>
  <c r="AQ32" i="23"/>
  <c r="AP84" i="23"/>
  <c r="AS55" i="23"/>
  <c r="AS49" i="23"/>
  <c r="AS84" i="23"/>
  <c r="AQ88" i="23"/>
  <c r="AQ66" i="23"/>
  <c r="AQ82" i="23"/>
  <c r="AU95" i="23"/>
  <c r="AP32" i="23"/>
  <c r="AU86" i="23"/>
  <c r="AT67" i="23"/>
  <c r="AQ49" i="23"/>
  <c r="AQ68" i="23"/>
  <c r="AP21" i="23"/>
  <c r="AU20" i="23"/>
  <c r="AQ94" i="23"/>
  <c r="AS33" i="23"/>
  <c r="AS64" i="23"/>
  <c r="AQ95" i="23"/>
  <c r="AU89" i="23"/>
  <c r="AU37" i="23"/>
  <c r="AU50" i="23"/>
  <c r="AQ75" i="23"/>
  <c r="AP72" i="23"/>
  <c r="AP52" i="23"/>
  <c r="AU58" i="23"/>
  <c r="AR26" i="23"/>
  <c r="AU70" i="23"/>
  <c r="AT57" i="23"/>
  <c r="AT43" i="23"/>
  <c r="AR105" i="23"/>
  <c r="AS54" i="23"/>
  <c r="AU45" i="23"/>
  <c r="AP27" i="23"/>
  <c r="AR36" i="23"/>
  <c r="AS91" i="23"/>
  <c r="AQ98" i="23"/>
  <c r="AS37" i="23"/>
  <c r="AQ70" i="23"/>
  <c r="AP59" i="23"/>
  <c r="AP82" i="23"/>
  <c r="AQ43" i="23"/>
  <c r="AT29" i="23"/>
  <c r="AU99" i="23"/>
  <c r="AQ62" i="23"/>
  <c r="AR44" i="23"/>
  <c r="AR53" i="23"/>
  <c r="AP68" i="23"/>
  <c r="AR38" i="23"/>
  <c r="AU93" i="23"/>
  <c r="AU54" i="23"/>
  <c r="AS45" i="23"/>
  <c r="AR73" i="23"/>
  <c r="AS47" i="23"/>
  <c r="AQ77" i="23"/>
  <c r="AR93" i="23"/>
  <c r="AT55" i="23"/>
  <c r="AU74" i="23"/>
  <c r="AQ106" i="23"/>
  <c r="AR22" i="23"/>
  <c r="AS25" i="23"/>
  <c r="AU102" i="23"/>
  <c r="AP66" i="23"/>
  <c r="AP102" i="23"/>
  <c r="AT38" i="23"/>
  <c r="AQ83" i="23"/>
  <c r="AS106" i="23"/>
  <c r="AS109" i="23"/>
  <c r="AU68" i="23"/>
  <c r="AS100" i="23"/>
  <c r="AP28" i="23"/>
  <c r="AT68" i="23"/>
  <c r="AQ110" i="23"/>
  <c r="AS53" i="23"/>
  <c r="AS92" i="23"/>
  <c r="AT86" i="23"/>
  <c r="AS74" i="23"/>
  <c r="AP43" i="23"/>
  <c r="AS60" i="23"/>
  <c r="AT41" i="23"/>
  <c r="AR28" i="23"/>
  <c r="AR76" i="23"/>
  <c r="AU59" i="23"/>
  <c r="AR84" i="23"/>
  <c r="AS24" i="23"/>
  <c r="AR25" i="23"/>
  <c r="AS59" i="23"/>
  <c r="AQ105" i="23"/>
  <c r="AQ73" i="23"/>
  <c r="AP109" i="23"/>
  <c r="AR64" i="23"/>
  <c r="AU84" i="23"/>
  <c r="AP25" i="23"/>
  <c r="AR102" i="23"/>
  <c r="AP33" i="23"/>
  <c r="AT75" i="23"/>
  <c r="AT82" i="23"/>
  <c r="AT96" i="23"/>
  <c r="AQ65" i="23"/>
  <c r="AP76" i="23"/>
  <c r="AQ31" i="23"/>
  <c r="AP67" i="23"/>
  <c r="AR110" i="23"/>
  <c r="AR29" i="23"/>
  <c r="AU61" i="23"/>
  <c r="AR75" i="23"/>
  <c r="AS101" i="23"/>
  <c r="AS85" i="23"/>
  <c r="AR23" i="23"/>
  <c r="AR20" i="23"/>
  <c r="AQ67" i="23"/>
  <c r="AP86" i="23"/>
  <c r="AT59" i="23"/>
  <c r="AU46" i="23"/>
  <c r="AU96" i="23"/>
  <c r="AS20" i="23"/>
  <c r="AP44" i="23"/>
  <c r="AR96" i="23"/>
  <c r="AQ46" i="23"/>
  <c r="AP49" i="23"/>
  <c r="AQ103" i="23"/>
  <c r="AS52" i="23"/>
  <c r="AU108" i="23"/>
  <c r="AS42" i="23"/>
  <c r="AP65" i="23"/>
  <c r="AR27" i="23"/>
  <c r="AU56" i="23"/>
  <c r="AP31" i="23"/>
  <c r="AS71" i="23"/>
  <c r="AS95" i="23"/>
  <c r="AQ26" i="23"/>
  <c r="AQ37" i="23"/>
  <c r="AS107" i="23"/>
  <c r="AS110" i="23"/>
  <c r="AP95" i="23"/>
  <c r="AS86" i="23"/>
  <c r="AT72" i="23"/>
  <c r="AT69" i="23"/>
  <c r="AP24" i="23"/>
  <c r="AS67" i="23"/>
  <c r="AR82" i="23"/>
  <c r="AU87" i="23"/>
  <c r="AQ92" i="23"/>
  <c r="AQ108" i="23"/>
  <c r="AR104" i="23"/>
  <c r="AU91" i="23"/>
  <c r="AU107" i="23"/>
  <c r="AT100" i="23"/>
  <c r="AT49" i="23"/>
  <c r="AT95" i="23"/>
  <c r="AT66" i="23"/>
  <c r="AQ90" i="23"/>
  <c r="AQ71" i="23"/>
  <c r="AQ89" i="23"/>
  <c r="AT45" i="23"/>
  <c r="AR35" i="23"/>
  <c r="AP63" i="23"/>
  <c r="AT76" i="23"/>
  <c r="AT87" i="23"/>
  <c r="AU48" i="23"/>
  <c r="AP93" i="23"/>
  <c r="AQ109" i="23"/>
  <c r="AU25" i="23"/>
  <c r="AS105" i="23"/>
  <c r="AU80" i="23"/>
  <c r="AQ78" i="23"/>
  <c r="AT36" i="23"/>
  <c r="AR101" i="23"/>
  <c r="AQ85" i="23"/>
  <c r="AU33" i="23"/>
  <c r="AQ48" i="23"/>
  <c r="AT73" i="23"/>
  <c r="AU43" i="23"/>
  <c r="AQ93" i="23"/>
  <c r="AU110" i="23"/>
  <c r="AT77" i="23"/>
  <c r="AS48" i="23"/>
  <c r="AT102" i="23"/>
  <c r="AS78" i="23"/>
  <c r="AR107" i="23"/>
  <c r="AU49" i="23"/>
  <c r="AP56" i="23"/>
  <c r="AP103" i="23"/>
  <c r="AS70" i="23"/>
  <c r="AS44" i="23"/>
  <c r="AP70" i="23"/>
  <c r="AS63" i="23"/>
  <c r="AP74" i="23"/>
  <c r="AR92" i="23"/>
  <c r="AT109" i="23"/>
  <c r="AT90" i="23"/>
  <c r="AS72" i="23"/>
  <c r="AS51" i="23"/>
  <c r="AT61" i="23"/>
  <c r="AT105" i="23"/>
  <c r="AR62" i="23"/>
  <c r="AU27" i="23"/>
  <c r="AT65" i="23"/>
  <c r="AS69" i="23"/>
  <c r="AS77" i="23"/>
  <c r="AP30" i="23"/>
  <c r="AS75" i="23"/>
  <c r="AR43" i="23"/>
  <c r="AQ52" i="23"/>
  <c r="AS35" i="23"/>
  <c r="AT80" i="23"/>
  <c r="AU71" i="23"/>
  <c r="AR88" i="23"/>
  <c r="AR99" i="23"/>
  <c r="AU62" i="23"/>
  <c r="AU42" i="23"/>
  <c r="AU79" i="23"/>
  <c r="AS80" i="23"/>
  <c r="AU32" i="23"/>
  <c r="AT84" i="23"/>
  <c r="AS83" i="23"/>
  <c r="AR49" i="23"/>
  <c r="AT30" i="23"/>
  <c r="AP101" i="23"/>
  <c r="AS27" i="23"/>
  <c r="AP64" i="23"/>
  <c r="AT50" i="23"/>
  <c r="AU39" i="23"/>
  <c r="AT63" i="23"/>
  <c r="AT33" i="23"/>
  <c r="AT47" i="23"/>
  <c r="AR85" i="23"/>
  <c r="AT51" i="23"/>
  <c r="AU28" i="23"/>
  <c r="AP48" i="23"/>
  <c r="AQ34" i="23"/>
  <c r="AQ25" i="23"/>
  <c r="AT104" i="23"/>
  <c r="AP51" i="23"/>
  <c r="AQ96" i="23"/>
  <c r="AT103" i="23"/>
  <c r="AQ76" i="23"/>
  <c r="AQ80" i="23"/>
  <c r="AT32" i="23"/>
  <c r="AT93" i="23"/>
  <c r="AS32" i="23"/>
  <c r="AT34" i="23"/>
  <c r="AQ74" i="23"/>
  <c r="AU29" i="23"/>
  <c r="AP61" i="23"/>
  <c r="AU26" i="23"/>
  <c r="AP110" i="23"/>
  <c r="AU57" i="23"/>
  <c r="AS23" i="23"/>
  <c r="AU35" i="23"/>
  <c r="AQ33" i="23"/>
  <c r="AS102" i="23"/>
  <c r="AQ57" i="23"/>
  <c r="AU78" i="23"/>
  <c r="AU63" i="23"/>
  <c r="AQ24" i="23"/>
  <c r="AQ58" i="23"/>
  <c r="AR30" i="23"/>
  <c r="AS89" i="23"/>
  <c r="AQ64" i="23"/>
  <c r="AU60" i="23"/>
  <c r="AR90" i="23"/>
  <c r="AS81" i="23"/>
  <c r="AQ84" i="23"/>
  <c r="AU44" i="23"/>
  <c r="AP77" i="23"/>
  <c r="AQ69" i="23"/>
  <c r="AS65" i="23"/>
  <c r="AQ21" i="23"/>
  <c r="AT37" i="23"/>
  <c r="AT31" i="23"/>
  <c r="AQ54" i="23"/>
  <c r="AP90" i="23"/>
  <c r="AR33" i="23"/>
  <c r="AR83" i="23"/>
  <c r="AU65" i="23"/>
  <c r="AS66" i="23"/>
  <c r="AP73" i="23"/>
  <c r="AU47" i="23"/>
  <c r="AU64" i="23"/>
  <c r="AQ104" i="23"/>
  <c r="AR65" i="23"/>
  <c r="AP20" i="23"/>
  <c r="AR51" i="23"/>
  <c r="AT79" i="23"/>
  <c r="AQ86" i="23"/>
  <c r="AU53" i="23"/>
  <c r="AU55" i="23"/>
  <c r="AQ53" i="23"/>
  <c r="AS41" i="23"/>
  <c r="AQ44" i="23"/>
  <c r="AP41" i="23"/>
  <c r="AR34" i="23"/>
  <c r="AP106" i="23"/>
  <c r="AQ81" i="23"/>
  <c r="AQ107" i="23"/>
  <c r="AT40" i="23"/>
  <c r="AP50" i="23"/>
  <c r="AQ61" i="23"/>
  <c r="AT46" i="23"/>
  <c r="AU67" i="23"/>
  <c r="AU98" i="23"/>
  <c r="AU83" i="23"/>
  <c r="AP71" i="23"/>
  <c r="AQ40" i="23"/>
  <c r="AT62" i="23"/>
  <c r="AT39" i="23"/>
  <c r="AP98" i="23"/>
  <c r="AS38" i="23"/>
  <c r="AP79" i="23"/>
  <c r="AU105" i="23"/>
  <c r="N25" i="23"/>
  <c r="AR54" i="23"/>
  <c r="AS58" i="23"/>
  <c r="AR46" i="23"/>
  <c r="AT94" i="23"/>
  <c r="AP96" i="23"/>
  <c r="AR63" i="23"/>
  <c r="AU21" i="23"/>
  <c r="AS29" i="23"/>
  <c r="AR89" i="23"/>
  <c r="AP42" i="23"/>
  <c r="AQ87" i="23"/>
  <c r="AU75" i="23"/>
  <c r="AT35" i="23"/>
  <c r="AU101" i="23"/>
  <c r="AU88" i="23"/>
  <c r="AP55" i="23"/>
  <c r="AP40" i="23"/>
  <c r="AQ47" i="23"/>
  <c r="AR77" i="23"/>
  <c r="AP58" i="23"/>
  <c r="AR72" i="23"/>
  <c r="AQ20" i="23"/>
  <c r="AP26" i="23"/>
  <c r="AP97" i="23"/>
  <c r="AQ102" i="23"/>
  <c r="AU90" i="23"/>
  <c r="AQ60" i="23"/>
  <c r="AR47" i="23"/>
  <c r="AT52" i="23"/>
  <c r="AQ30" i="23"/>
  <c r="AS73" i="23"/>
  <c r="AP54" i="23"/>
  <c r="AR86" i="23"/>
  <c r="AP89" i="23"/>
  <c r="L23" i="23"/>
  <c r="L23" i="24" s="1"/>
  <c r="AS21" i="23"/>
  <c r="AQ55" i="23"/>
  <c r="AS87" i="23"/>
  <c r="AQ36" i="23"/>
  <c r="AR58" i="23"/>
  <c r="AT106" i="23"/>
  <c r="AT78" i="23"/>
  <c r="AU51" i="23"/>
  <c r="AP57" i="23"/>
  <c r="AR108" i="23"/>
  <c r="AU104" i="23"/>
  <c r="AR91" i="23"/>
  <c r="AR59" i="23"/>
  <c r="AT101" i="23"/>
  <c r="AR66" i="23"/>
  <c r="AQ56" i="23"/>
  <c r="AU85" i="23"/>
  <c r="AU38" i="23"/>
  <c r="AR98" i="23"/>
  <c r="AP35" i="23"/>
  <c r="AP107" i="23"/>
  <c r="AT97" i="23"/>
  <c r="AQ28" i="23"/>
  <c r="AS76" i="23"/>
  <c r="AP81" i="23"/>
  <c r="AQ99" i="23"/>
  <c r="AU72" i="23"/>
  <c r="AP37" i="23"/>
  <c r="AS104" i="23"/>
  <c r="AP29" i="23"/>
  <c r="AP38" i="23"/>
  <c r="AP62" i="23"/>
  <c r="AU66" i="23"/>
  <c r="AR79" i="23"/>
  <c r="AR31" i="23"/>
  <c r="AS26" i="23"/>
  <c r="AR42" i="23"/>
  <c r="AQ91" i="23"/>
  <c r="AS93" i="23"/>
  <c r="AR61" i="23"/>
  <c r="AP78" i="23"/>
  <c r="AP36" i="23"/>
  <c r="AU81" i="23"/>
  <c r="AP46" i="23"/>
  <c r="AS103" i="23"/>
  <c r="AR81" i="23"/>
  <c r="AQ50" i="23"/>
  <c r="AT54" i="23"/>
  <c r="AR94" i="23"/>
  <c r="AU82" i="23"/>
  <c r="AT89" i="23"/>
  <c r="AR32" i="23"/>
  <c r="AS50" i="23"/>
  <c r="AR37" i="23"/>
  <c r="AR48" i="23"/>
  <c r="AR45" i="23"/>
  <c r="AU109" i="23"/>
  <c r="AS88" i="23"/>
  <c r="AR87" i="23"/>
  <c r="AT98" i="23"/>
  <c r="AP53" i="23"/>
  <c r="AS40" i="23"/>
  <c r="AU77" i="23"/>
  <c r="AU36" i="23"/>
  <c r="AP85" i="23"/>
  <c r="AP45" i="23"/>
  <c r="AT92" i="23"/>
  <c r="R23" i="23" l="1"/>
  <c r="R23" i="24"/>
  <c r="S23" i="24"/>
  <c r="S23" i="23"/>
  <c r="B21" i="16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1" i="18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B81" i="18" s="1"/>
  <c r="B82" i="18" s="1"/>
  <c r="B83" i="18" s="1"/>
  <c r="B84" i="18" s="1"/>
  <c r="B85" i="18" s="1"/>
  <c r="B86" i="18" s="1"/>
  <c r="B87" i="18" s="1"/>
  <c r="B88" i="18" s="1"/>
  <c r="B89" i="18" s="1"/>
  <c r="B90" i="18" s="1"/>
  <c r="B91" i="18" s="1"/>
  <c r="B92" i="18" s="1"/>
  <c r="B93" i="18" s="1"/>
  <c r="B94" i="18" s="1"/>
  <c r="B95" i="18" s="1"/>
  <c r="B96" i="18" s="1"/>
  <c r="B97" i="18" s="1"/>
  <c r="B98" i="18" s="1"/>
  <c r="B99" i="18" s="1"/>
  <c r="B100" i="18" s="1"/>
  <c r="B101" i="18" s="1"/>
  <c r="B102" i="18" s="1"/>
  <c r="B103" i="18" s="1"/>
  <c r="B104" i="18" s="1"/>
  <c r="B105" i="18" s="1"/>
  <c r="B106" i="18" s="1"/>
  <c r="B107" i="18" s="1"/>
  <c r="B108" i="18" s="1"/>
  <c r="B109" i="18" s="1"/>
  <c r="B110" i="18" s="1"/>
  <c r="B21" i="21"/>
  <c r="G23" i="23"/>
  <c r="AO23" i="24"/>
  <c r="N25" i="24"/>
  <c r="AN23" i="24"/>
  <c r="B22" i="21" l="1"/>
  <c r="B23" i="21" s="1"/>
  <c r="B24" i="21" s="1"/>
  <c r="B25" i="21" s="1"/>
  <c r="B26" i="21" s="1"/>
  <c r="B27" i="21" s="1"/>
  <c r="B28" i="21" s="1"/>
  <c r="B29" i="21" s="1"/>
  <c r="B30" i="21" s="1"/>
  <c r="B31" i="21" s="1"/>
  <c r="B32" i="21" s="1"/>
  <c r="B33" i="21" s="1"/>
  <c r="B34" i="21" s="1"/>
  <c r="B35" i="21" s="1"/>
  <c r="B36" i="21" s="1"/>
  <c r="B37" i="21" s="1"/>
  <c r="B38" i="21" s="1"/>
  <c r="B39" i="21" s="1"/>
  <c r="R24" i="16"/>
  <c r="E23" i="24"/>
  <c r="H23" i="23"/>
  <c r="F23" i="23"/>
  <c r="I23" i="24"/>
  <c r="H23" i="24"/>
  <c r="F23" i="24"/>
  <c r="J23" i="23"/>
  <c r="J23" i="24"/>
  <c r="G23" i="24"/>
  <c r="K23" i="24"/>
  <c r="I23" i="23"/>
  <c r="K23" i="23"/>
  <c r="E23" i="23"/>
  <c r="AL23" i="24" l="1"/>
  <c r="AL23" i="23"/>
  <c r="Q260" i="16"/>
  <c r="C260" i="16"/>
  <c r="Q259" i="16"/>
  <c r="C259" i="16"/>
  <c r="Q258" i="16"/>
  <c r="C258" i="16"/>
  <c r="Q257" i="16"/>
  <c r="C257" i="16"/>
  <c r="Q256" i="16"/>
  <c r="C256" i="16"/>
  <c r="Q255" i="16"/>
  <c r="C255" i="16"/>
  <c r="Q254" i="16"/>
  <c r="C254" i="16"/>
  <c r="Q253" i="16"/>
  <c r="C253" i="16"/>
  <c r="Q252" i="16"/>
  <c r="C252" i="16"/>
  <c r="Q251" i="16"/>
  <c r="C251" i="16"/>
  <c r="Q250" i="16"/>
  <c r="C250" i="16"/>
  <c r="Q249" i="16"/>
  <c r="C249" i="16"/>
  <c r="Q248" i="16"/>
  <c r="C248" i="16"/>
  <c r="Q247" i="16"/>
  <c r="C247" i="16"/>
  <c r="Q246" i="16"/>
  <c r="C246" i="16"/>
  <c r="Q245" i="16"/>
  <c r="C245" i="16"/>
  <c r="Q244" i="16"/>
  <c r="C244" i="16"/>
  <c r="Q243" i="16"/>
  <c r="C243" i="16"/>
  <c r="Q242" i="16"/>
  <c r="C242" i="16"/>
  <c r="Q241" i="16"/>
  <c r="C241" i="16"/>
  <c r="Q240" i="16"/>
  <c r="C240" i="16"/>
  <c r="Q239" i="16"/>
  <c r="C239" i="16"/>
  <c r="Q238" i="16"/>
  <c r="C238" i="16"/>
  <c r="Q237" i="16"/>
  <c r="C237" i="16"/>
  <c r="Q236" i="16"/>
  <c r="C236" i="16"/>
  <c r="Q235" i="16"/>
  <c r="C235" i="16"/>
  <c r="Q234" i="16"/>
  <c r="C234" i="16"/>
  <c r="Q233" i="16"/>
  <c r="C233" i="16"/>
  <c r="Q232" i="16"/>
  <c r="C232" i="16"/>
  <c r="Q231" i="16"/>
  <c r="C231" i="16"/>
  <c r="Q230" i="16"/>
  <c r="C230" i="16"/>
  <c r="Q229" i="16"/>
  <c r="C229" i="16"/>
  <c r="Q228" i="16"/>
  <c r="C228" i="16"/>
  <c r="Q227" i="16"/>
  <c r="C227" i="16"/>
  <c r="Q226" i="16"/>
  <c r="C226" i="16"/>
  <c r="Q225" i="16"/>
  <c r="C225" i="16"/>
  <c r="Q224" i="16"/>
  <c r="C224" i="16"/>
  <c r="Q223" i="16"/>
  <c r="C223" i="16"/>
  <c r="Q222" i="16"/>
  <c r="C222" i="16"/>
  <c r="Q221" i="16"/>
  <c r="C221" i="16"/>
  <c r="Q220" i="16"/>
  <c r="C220" i="16"/>
  <c r="Q219" i="16"/>
  <c r="C219" i="16"/>
  <c r="Q218" i="16"/>
  <c r="C218" i="16"/>
  <c r="Q217" i="16"/>
  <c r="C217" i="16"/>
  <c r="Q216" i="16"/>
  <c r="C216" i="16"/>
  <c r="Q215" i="16"/>
  <c r="C215" i="16"/>
  <c r="Q214" i="16"/>
  <c r="C214" i="16"/>
  <c r="Q213" i="16"/>
  <c r="C213" i="16"/>
  <c r="Q212" i="16"/>
  <c r="C212" i="16"/>
  <c r="Q211" i="16"/>
  <c r="C211" i="16"/>
  <c r="Q210" i="16"/>
  <c r="C210" i="16"/>
  <c r="Q209" i="16"/>
  <c r="C209" i="16"/>
  <c r="Q208" i="16"/>
  <c r="C208" i="16"/>
  <c r="Q207" i="16"/>
  <c r="C207" i="16"/>
  <c r="Q206" i="16"/>
  <c r="C206" i="16"/>
  <c r="Q205" i="16"/>
  <c r="C205" i="16"/>
  <c r="Q204" i="16"/>
  <c r="C204" i="16"/>
  <c r="Q203" i="16"/>
  <c r="C203" i="16"/>
  <c r="Q202" i="16"/>
  <c r="C202" i="16"/>
  <c r="Q201" i="16"/>
  <c r="C201" i="16"/>
  <c r="Q200" i="16"/>
  <c r="C200" i="16"/>
  <c r="Q199" i="16"/>
  <c r="C199" i="16"/>
  <c r="Q198" i="16"/>
  <c r="C198" i="16"/>
  <c r="Q197" i="16"/>
  <c r="C197" i="16"/>
  <c r="Q196" i="16"/>
  <c r="C196" i="16"/>
  <c r="Q195" i="16"/>
  <c r="C195" i="16"/>
  <c r="Q194" i="16"/>
  <c r="C194" i="16"/>
  <c r="Q193" i="16"/>
  <c r="C193" i="16"/>
  <c r="Q192" i="16"/>
  <c r="C192" i="16"/>
  <c r="Q191" i="16"/>
  <c r="C191" i="16"/>
  <c r="Q190" i="16"/>
  <c r="C190" i="16"/>
  <c r="Q189" i="16"/>
  <c r="C189" i="16"/>
  <c r="Q188" i="16"/>
  <c r="C188" i="16"/>
  <c r="Q187" i="16"/>
  <c r="C187" i="16"/>
  <c r="Q186" i="16"/>
  <c r="C186" i="16"/>
  <c r="Q185" i="16"/>
  <c r="C185" i="16"/>
  <c r="Q184" i="16"/>
  <c r="C184" i="16"/>
  <c r="Q183" i="16"/>
  <c r="C183" i="16"/>
  <c r="Q182" i="16"/>
  <c r="C182" i="16"/>
  <c r="Q181" i="16"/>
  <c r="C181" i="16"/>
  <c r="Q180" i="16"/>
  <c r="C180" i="16"/>
  <c r="Q179" i="16"/>
  <c r="C179" i="16"/>
  <c r="Q178" i="16"/>
  <c r="C178" i="16"/>
  <c r="Q177" i="16"/>
  <c r="C177" i="16"/>
  <c r="Q176" i="16"/>
  <c r="C176" i="16"/>
  <c r="Q175" i="16"/>
  <c r="C175" i="16"/>
  <c r="Q174" i="16"/>
  <c r="C174" i="16"/>
  <c r="Q173" i="16"/>
  <c r="C173" i="16"/>
  <c r="Q172" i="16"/>
  <c r="C172" i="16"/>
  <c r="Q171" i="16"/>
  <c r="C171" i="16"/>
  <c r="Q170" i="16"/>
  <c r="C170" i="16"/>
  <c r="Q169" i="16"/>
  <c r="C169" i="16"/>
  <c r="Q168" i="16"/>
  <c r="C168" i="16"/>
  <c r="Q167" i="16"/>
  <c r="C167" i="16"/>
  <c r="Q166" i="16"/>
  <c r="C166" i="16"/>
  <c r="Q165" i="16"/>
  <c r="C165" i="16"/>
  <c r="Q164" i="16"/>
  <c r="C164" i="16"/>
  <c r="Q163" i="16"/>
  <c r="C163" i="16"/>
  <c r="Q162" i="16"/>
  <c r="C162" i="16"/>
  <c r="Q161" i="16"/>
  <c r="C161" i="16"/>
  <c r="Q160" i="16"/>
  <c r="C160" i="16"/>
  <c r="Q159" i="16"/>
  <c r="C159" i="16"/>
  <c r="Q158" i="16"/>
  <c r="C158" i="16"/>
  <c r="Q157" i="16"/>
  <c r="C157" i="16"/>
  <c r="Q156" i="16"/>
  <c r="C156" i="16"/>
  <c r="Q155" i="16"/>
  <c r="C155" i="16"/>
  <c r="Q154" i="16"/>
  <c r="C154" i="16"/>
  <c r="Q153" i="16"/>
  <c r="C153" i="16"/>
  <c r="Q152" i="16"/>
  <c r="C152" i="16"/>
  <c r="Q151" i="16"/>
  <c r="C151" i="16"/>
  <c r="Q150" i="16"/>
  <c r="C150" i="16"/>
  <c r="Q149" i="16"/>
  <c r="C149" i="16"/>
  <c r="Q148" i="16"/>
  <c r="C148" i="16"/>
  <c r="Q147" i="16"/>
  <c r="C147" i="16"/>
  <c r="Q146" i="16"/>
  <c r="C146" i="16"/>
  <c r="Q145" i="16"/>
  <c r="C145" i="16"/>
  <c r="Q144" i="16"/>
  <c r="C144" i="16"/>
  <c r="Q143" i="16"/>
  <c r="C143" i="16"/>
  <c r="Q142" i="16"/>
  <c r="C142" i="16"/>
  <c r="Q141" i="16"/>
  <c r="C141" i="16"/>
  <c r="Q140" i="16"/>
  <c r="C140" i="16"/>
  <c r="Q139" i="16"/>
  <c r="C139" i="16"/>
  <c r="Q138" i="16"/>
  <c r="C138" i="16"/>
  <c r="Q137" i="16"/>
  <c r="C137" i="16"/>
  <c r="Q136" i="16"/>
  <c r="C136" i="16"/>
  <c r="Q135" i="16"/>
  <c r="C135" i="16"/>
  <c r="Q134" i="16"/>
  <c r="C134" i="16"/>
  <c r="Q133" i="16"/>
  <c r="C133" i="16"/>
  <c r="Q132" i="16"/>
  <c r="C132" i="16"/>
  <c r="Q131" i="16"/>
  <c r="C131" i="16"/>
  <c r="Q130" i="16"/>
  <c r="C130" i="16"/>
  <c r="Q129" i="16"/>
  <c r="C129" i="16"/>
  <c r="Q128" i="16"/>
  <c r="C128" i="16"/>
  <c r="Q127" i="16"/>
  <c r="C127" i="16"/>
  <c r="Q126" i="16"/>
  <c r="C126" i="16"/>
  <c r="Q125" i="16"/>
  <c r="C125" i="16"/>
  <c r="Q124" i="16"/>
  <c r="C124" i="16"/>
  <c r="Q123" i="16"/>
  <c r="C123" i="16"/>
  <c r="Q122" i="16"/>
  <c r="C122" i="16"/>
  <c r="Q121" i="16"/>
  <c r="C121" i="16"/>
  <c r="Q120" i="16"/>
  <c r="C120" i="16"/>
  <c r="Q119" i="16"/>
  <c r="C119" i="16"/>
  <c r="Q118" i="16"/>
  <c r="C118" i="16"/>
  <c r="Q117" i="16"/>
  <c r="C117" i="16"/>
  <c r="Q116" i="16"/>
  <c r="C116" i="16"/>
  <c r="Q115" i="16"/>
  <c r="C115" i="16"/>
  <c r="Q114" i="16"/>
  <c r="C114" i="16"/>
  <c r="Q113" i="16"/>
  <c r="C113" i="16"/>
  <c r="Q112" i="16"/>
  <c r="C112" i="16"/>
  <c r="Q111" i="16"/>
  <c r="C111" i="16"/>
  <c r="Q110" i="16"/>
  <c r="C110" i="16"/>
  <c r="Q109" i="16"/>
  <c r="C109" i="16"/>
  <c r="Q108" i="16"/>
  <c r="C108" i="16"/>
  <c r="Q107" i="16"/>
  <c r="C107" i="16"/>
  <c r="Q106" i="16"/>
  <c r="C106" i="16"/>
  <c r="Q105" i="16"/>
  <c r="C105" i="16"/>
  <c r="Q104" i="16"/>
  <c r="C104" i="16"/>
  <c r="Q103" i="16"/>
  <c r="C103" i="16"/>
  <c r="Q102" i="16"/>
  <c r="C102" i="16"/>
  <c r="Q101" i="16"/>
  <c r="C101" i="16"/>
  <c r="Q100" i="16"/>
  <c r="C100" i="16"/>
  <c r="Q99" i="16"/>
  <c r="C99" i="16"/>
  <c r="Q98" i="16"/>
  <c r="C98" i="16"/>
  <c r="Q97" i="16"/>
  <c r="C97" i="16"/>
  <c r="Q96" i="16"/>
  <c r="C96" i="16"/>
  <c r="Q95" i="16"/>
  <c r="C95" i="16"/>
  <c r="Q94" i="16"/>
  <c r="C94" i="16"/>
  <c r="Q93" i="16"/>
  <c r="C93" i="16"/>
  <c r="Q92" i="16"/>
  <c r="C92" i="16"/>
  <c r="Q91" i="16"/>
  <c r="C91" i="16"/>
  <c r="Q90" i="16"/>
  <c r="C90" i="16"/>
  <c r="Q89" i="16"/>
  <c r="C89" i="16"/>
  <c r="Q88" i="16"/>
  <c r="C88" i="16"/>
  <c r="Q87" i="16"/>
  <c r="C87" i="16"/>
  <c r="Q86" i="16"/>
  <c r="C86" i="16"/>
  <c r="Q85" i="16"/>
  <c r="C85" i="16"/>
  <c r="Q84" i="16"/>
  <c r="C84" i="16"/>
  <c r="Q83" i="16"/>
  <c r="C83" i="16"/>
  <c r="Q82" i="16"/>
  <c r="C82" i="16"/>
  <c r="Q81" i="16"/>
  <c r="C81" i="16"/>
  <c r="Q80" i="16"/>
  <c r="C80" i="16"/>
  <c r="Q79" i="16"/>
  <c r="C79" i="16"/>
  <c r="Q78" i="16"/>
  <c r="C78" i="16"/>
  <c r="Q77" i="16"/>
  <c r="C77" i="16"/>
  <c r="Q76" i="16"/>
  <c r="C76" i="16"/>
  <c r="Q75" i="16"/>
  <c r="C75" i="16"/>
  <c r="Q74" i="16"/>
  <c r="C74" i="16"/>
  <c r="Q73" i="16"/>
  <c r="C73" i="16"/>
  <c r="Q72" i="16"/>
  <c r="C72" i="16"/>
  <c r="Q71" i="16"/>
  <c r="C71" i="16"/>
  <c r="Q70" i="16"/>
  <c r="C70" i="16"/>
  <c r="Q69" i="16"/>
  <c r="C69" i="16"/>
  <c r="Q68" i="16"/>
  <c r="C68" i="16"/>
  <c r="Q67" i="16"/>
  <c r="C67" i="16"/>
  <c r="Q66" i="16"/>
  <c r="C66" i="16"/>
  <c r="Q65" i="16"/>
  <c r="C65" i="16"/>
  <c r="Q64" i="16"/>
  <c r="C64" i="16"/>
  <c r="Q63" i="16"/>
  <c r="C63" i="16"/>
  <c r="Q62" i="16"/>
  <c r="C62" i="16"/>
  <c r="Q61" i="16"/>
  <c r="C61" i="16"/>
  <c r="Q60" i="16"/>
  <c r="C60" i="16"/>
  <c r="Q59" i="16"/>
  <c r="C59" i="16"/>
  <c r="Q58" i="16"/>
  <c r="C58" i="16"/>
  <c r="Q57" i="16"/>
  <c r="C57" i="16"/>
  <c r="Q56" i="16"/>
  <c r="C56" i="16"/>
  <c r="Q55" i="16"/>
  <c r="C55" i="16"/>
  <c r="Q54" i="16"/>
  <c r="C54" i="16"/>
  <c r="Q53" i="16"/>
  <c r="C53" i="16"/>
  <c r="Q52" i="16"/>
  <c r="C52" i="16"/>
  <c r="Q51" i="16"/>
  <c r="C51" i="16"/>
  <c r="Q50" i="16"/>
  <c r="C50" i="16"/>
  <c r="Q49" i="16"/>
  <c r="C49" i="16"/>
  <c r="Q48" i="16"/>
  <c r="C48" i="16"/>
  <c r="Q47" i="16"/>
  <c r="C47" i="16"/>
  <c r="Q46" i="16"/>
  <c r="C46" i="16"/>
  <c r="Q45" i="16"/>
  <c r="C45" i="16"/>
  <c r="Q44" i="16"/>
  <c r="C44" i="16"/>
  <c r="Q43" i="16"/>
  <c r="C43" i="16"/>
  <c r="Q42" i="16"/>
  <c r="C42" i="16"/>
  <c r="Q41" i="16"/>
  <c r="C41" i="16"/>
  <c r="Q40" i="16"/>
  <c r="C40" i="16"/>
  <c r="Q39" i="16"/>
  <c r="C39" i="16"/>
  <c r="Q38" i="16"/>
  <c r="C38" i="16"/>
  <c r="Q37" i="16"/>
  <c r="C37" i="16"/>
  <c r="Q36" i="16"/>
  <c r="C36" i="16"/>
  <c r="Q35" i="16"/>
  <c r="C35" i="16"/>
  <c r="Q34" i="16"/>
  <c r="C34" i="16"/>
  <c r="Q33" i="16"/>
  <c r="C33" i="16"/>
  <c r="Q32" i="16"/>
  <c r="C32" i="16"/>
  <c r="Q31" i="16"/>
  <c r="C31" i="16"/>
  <c r="Q30" i="16"/>
  <c r="C30" i="16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Q35" i="18"/>
  <c r="Q34" i="18"/>
  <c r="Q33" i="18"/>
  <c r="Q32" i="18"/>
  <c r="Q31" i="18"/>
  <c r="Q30" i="18"/>
  <c r="I11" i="18" l="1"/>
  <c r="Q29" i="18"/>
  <c r="I6" i="18" l="1"/>
  <c r="S3" i="18" l="1"/>
  <c r="Q13" i="18" s="1"/>
  <c r="S4" i="18"/>
  <c r="Q14" i="18" s="1"/>
  <c r="S5" i="18"/>
  <c r="Q15" i="18" s="1"/>
  <c r="R23" i="16"/>
  <c r="Y20" i="18" l="1"/>
  <c r="I7" i="18"/>
  <c r="C29" i="16"/>
  <c r="C28" i="16"/>
  <c r="C27" i="16"/>
  <c r="C26" i="16"/>
  <c r="C25" i="16"/>
  <c r="C24" i="16"/>
  <c r="C23" i="16"/>
  <c r="C22" i="16"/>
  <c r="C21" i="16"/>
  <c r="C20" i="16"/>
  <c r="C19" i="16" l="1"/>
  <c r="Y21" i="18"/>
  <c r="AB16" i="18"/>
  <c r="X26" i="18"/>
  <c r="X25" i="18"/>
  <c r="X24" i="18"/>
  <c r="X23" i="18"/>
  <c r="X22" i="18"/>
  <c r="X21" i="18"/>
  <c r="X20" i="18"/>
  <c r="AT22" i="23"/>
  <c r="AT21" i="23"/>
  <c r="AT25" i="23"/>
  <c r="AT26" i="23"/>
  <c r="AT28" i="23"/>
  <c r="AT24" i="23"/>
  <c r="AT23" i="23"/>
  <c r="N28" i="18"/>
  <c r="AT20" i="23"/>
  <c r="AT27" i="23"/>
  <c r="Q28" i="18" l="1"/>
  <c r="Q27" i="18"/>
  <c r="Q26" i="18"/>
  <c r="Q25" i="18"/>
  <c r="Q24" i="18"/>
  <c r="Y22" i="18"/>
  <c r="Q23" i="18"/>
  <c r="R20" i="16"/>
  <c r="S20" i="16"/>
  <c r="N26" i="18"/>
  <c r="L27" i="18"/>
  <c r="M26" i="18"/>
  <c r="L24" i="18"/>
  <c r="L25" i="18"/>
  <c r="L26" i="18"/>
  <c r="N27" i="18"/>
  <c r="M27" i="18"/>
  <c r="R24" i="18" l="1"/>
  <c r="R25" i="18"/>
  <c r="R26" i="18"/>
  <c r="Y23" i="18"/>
  <c r="AD19" i="17"/>
  <c r="AC19" i="17"/>
  <c r="AB19" i="17"/>
  <c r="H19" i="17"/>
  <c r="G19" i="17"/>
  <c r="AM18" i="17"/>
  <c r="AL18" i="17"/>
  <c r="AK18" i="17"/>
  <c r="AJ18" i="17"/>
  <c r="AI18" i="17"/>
  <c r="AH18" i="17"/>
  <c r="AG18" i="17"/>
  <c r="I11" i="17"/>
  <c r="O10" i="17"/>
  <c r="O15" i="17" s="1"/>
  <c r="M10" i="17"/>
  <c r="M15" i="17" s="1"/>
  <c r="L10" i="17"/>
  <c r="L15" i="17" s="1"/>
  <c r="I10" i="17"/>
  <c r="O9" i="17"/>
  <c r="O14" i="17" s="1"/>
  <c r="M9" i="17"/>
  <c r="M14" i="17" s="1"/>
  <c r="L9" i="17"/>
  <c r="L14" i="17" s="1"/>
  <c r="O8" i="17"/>
  <c r="O13" i="17" s="1"/>
  <c r="M8" i="17"/>
  <c r="M13" i="17" s="1"/>
  <c r="L8" i="17"/>
  <c r="L13" i="17" s="1"/>
  <c r="I7" i="17"/>
  <c r="I6" i="17"/>
  <c r="R3" i="17"/>
  <c r="Q3" i="17"/>
  <c r="P3" i="17"/>
  <c r="H3" i="17"/>
  <c r="Y16" i="17" s="1"/>
  <c r="I11" i="16"/>
  <c r="L24" i="23"/>
  <c r="AN26" i="24"/>
  <c r="AN24" i="23"/>
  <c r="AN26" i="23"/>
  <c r="L27" i="23"/>
  <c r="L25" i="23"/>
  <c r="AN25" i="23"/>
  <c r="Y20" i="16" l="1"/>
  <c r="Y21" i="16" s="1"/>
  <c r="R27" i="23"/>
  <c r="R26" i="23"/>
  <c r="S26" i="23" s="1"/>
  <c r="R25" i="23"/>
  <c r="S25" i="23" s="1"/>
  <c r="R24" i="23"/>
  <c r="S24" i="18"/>
  <c r="S26" i="18"/>
  <c r="S25" i="18"/>
  <c r="Q5" i="17"/>
  <c r="R5" i="17"/>
  <c r="P5" i="17"/>
  <c r="Q10" i="17" s="1"/>
  <c r="P4" i="17"/>
  <c r="Q9" i="17" s="1"/>
  <c r="R8" i="17"/>
  <c r="Q4" i="17"/>
  <c r="R4" i="17"/>
  <c r="Y24" i="18"/>
  <c r="P23" i="17"/>
  <c r="Q23" i="17" s="1"/>
  <c r="P22" i="17"/>
  <c r="P21" i="17"/>
  <c r="P20" i="17"/>
  <c r="V23" i="17"/>
  <c r="V22" i="17"/>
  <c r="V21" i="17"/>
  <c r="V20" i="17"/>
  <c r="Q8" i="17"/>
  <c r="S3" i="17"/>
  <c r="S4" i="17"/>
  <c r="S5" i="17"/>
  <c r="P8" i="17"/>
  <c r="AN25" i="24"/>
  <c r="L25" i="24"/>
  <c r="AO24" i="23"/>
  <c r="AO26" i="23"/>
  <c r="AN24" i="24"/>
  <c r="AO25" i="23"/>
  <c r="AO26" i="24"/>
  <c r="L27" i="24"/>
  <c r="L24" i="24"/>
  <c r="S27" i="23" l="1"/>
  <c r="R27" i="24"/>
  <c r="R24" i="24"/>
  <c r="R25" i="24"/>
  <c r="S24" i="23"/>
  <c r="P9" i="17"/>
  <c r="P10" i="17"/>
  <c r="R10" i="17"/>
  <c r="Y22" i="16"/>
  <c r="R9" i="17"/>
  <c r="Y25" i="18"/>
  <c r="Q22" i="16"/>
  <c r="Q21" i="16"/>
  <c r="N21" i="16" s="1"/>
  <c r="O10" i="16"/>
  <c r="O15" i="16" s="1"/>
  <c r="R5" i="16"/>
  <c r="I10" i="16"/>
  <c r="O9" i="16"/>
  <c r="O14" i="16" s="1"/>
  <c r="O8" i="16"/>
  <c r="O13" i="16" s="1"/>
  <c r="I7" i="16"/>
  <c r="I6" i="16"/>
  <c r="Q8" i="16"/>
  <c r="F26" i="23"/>
  <c r="J26" i="23"/>
  <c r="H26" i="23"/>
  <c r="G26" i="23"/>
  <c r="E26" i="23"/>
  <c r="I26" i="23"/>
  <c r="K26" i="23"/>
  <c r="K25" i="18"/>
  <c r="J25" i="18"/>
  <c r="J25" i="23"/>
  <c r="I25" i="18"/>
  <c r="AO24" i="24"/>
  <c r="AO25" i="24"/>
  <c r="N20" i="16" l="1"/>
  <c r="X30" i="16"/>
  <c r="X38" i="16"/>
  <c r="X46" i="16"/>
  <c r="X54" i="16"/>
  <c r="X62" i="16"/>
  <c r="X70" i="16"/>
  <c r="X78" i="16"/>
  <c r="X86" i="16"/>
  <c r="X94" i="16"/>
  <c r="X102" i="16"/>
  <c r="X110" i="16"/>
  <c r="X118" i="16"/>
  <c r="X126" i="16"/>
  <c r="X134" i="16"/>
  <c r="X142" i="16"/>
  <c r="X150" i="16"/>
  <c r="X158" i="16"/>
  <c r="X166" i="16"/>
  <c r="X174" i="16"/>
  <c r="X182" i="16"/>
  <c r="X190" i="16"/>
  <c r="X198" i="16"/>
  <c r="X206" i="16"/>
  <c r="X214" i="16"/>
  <c r="X222" i="16"/>
  <c r="X230" i="16"/>
  <c r="X238" i="16"/>
  <c r="X246" i="16"/>
  <c r="X254" i="16"/>
  <c r="X224" i="16"/>
  <c r="X240" i="16"/>
  <c r="X256" i="16"/>
  <c r="X53" i="16"/>
  <c r="X85" i="16"/>
  <c r="X125" i="16"/>
  <c r="X173" i="16"/>
  <c r="X213" i="16"/>
  <c r="X31" i="16"/>
  <c r="X39" i="16"/>
  <c r="X47" i="16"/>
  <c r="X55" i="16"/>
  <c r="X63" i="16"/>
  <c r="X71" i="16"/>
  <c r="X79" i="16"/>
  <c r="X87" i="16"/>
  <c r="X95" i="16"/>
  <c r="X103" i="16"/>
  <c r="X111" i="16"/>
  <c r="X119" i="16"/>
  <c r="X127" i="16"/>
  <c r="X135" i="16"/>
  <c r="X143" i="16"/>
  <c r="X151" i="16"/>
  <c r="X159" i="16"/>
  <c r="X167" i="16"/>
  <c r="X175" i="16"/>
  <c r="X183" i="16"/>
  <c r="X191" i="16"/>
  <c r="X199" i="16"/>
  <c r="X207" i="16"/>
  <c r="X215" i="16"/>
  <c r="X223" i="16"/>
  <c r="X231" i="16"/>
  <c r="X239" i="16"/>
  <c r="X247" i="16"/>
  <c r="X255" i="16"/>
  <c r="X232" i="16"/>
  <c r="X248" i="16"/>
  <c r="X45" i="16"/>
  <c r="X77" i="16"/>
  <c r="X117" i="16"/>
  <c r="X165" i="16"/>
  <c r="X205" i="16"/>
  <c r="X245" i="16"/>
  <c r="X32" i="16"/>
  <c r="X40" i="16"/>
  <c r="X48" i="16"/>
  <c r="X56" i="16"/>
  <c r="X64" i="16"/>
  <c r="X72" i="16"/>
  <c r="X80" i="16"/>
  <c r="X88" i="16"/>
  <c r="X96" i="16"/>
  <c r="X104" i="16"/>
  <c r="X112" i="16"/>
  <c r="X120" i="16"/>
  <c r="X128" i="16"/>
  <c r="X136" i="16"/>
  <c r="X144" i="16"/>
  <c r="X152" i="16"/>
  <c r="X160" i="16"/>
  <c r="X168" i="16"/>
  <c r="X176" i="16"/>
  <c r="X184" i="16"/>
  <c r="X192" i="16"/>
  <c r="X200" i="16"/>
  <c r="X208" i="16"/>
  <c r="X216" i="16"/>
  <c r="X133" i="16"/>
  <c r="X229" i="16"/>
  <c r="X25" i="16"/>
  <c r="X33" i="16"/>
  <c r="X41" i="16"/>
  <c r="X49" i="16"/>
  <c r="X57" i="16"/>
  <c r="X65" i="16"/>
  <c r="X73" i="16"/>
  <c r="X81" i="16"/>
  <c r="X89" i="16"/>
  <c r="X97" i="16"/>
  <c r="X105" i="16"/>
  <c r="X113" i="16"/>
  <c r="X121" i="16"/>
  <c r="X129" i="16"/>
  <c r="X137" i="16"/>
  <c r="X145" i="16"/>
  <c r="X153" i="16"/>
  <c r="X161" i="16"/>
  <c r="X169" i="16"/>
  <c r="X177" i="16"/>
  <c r="X185" i="16"/>
  <c r="X193" i="16"/>
  <c r="X201" i="16"/>
  <c r="X209" i="16"/>
  <c r="X217" i="16"/>
  <c r="X225" i="16"/>
  <c r="X233" i="16"/>
  <c r="X241" i="16"/>
  <c r="X249" i="16"/>
  <c r="X257" i="16"/>
  <c r="X101" i="16"/>
  <c r="X197" i="16"/>
  <c r="X26" i="16"/>
  <c r="X34" i="16"/>
  <c r="X42" i="16"/>
  <c r="X50" i="16"/>
  <c r="X58" i="16"/>
  <c r="X66" i="16"/>
  <c r="X74" i="16"/>
  <c r="X82" i="16"/>
  <c r="X90" i="16"/>
  <c r="X98" i="16"/>
  <c r="X106" i="16"/>
  <c r="X114" i="16"/>
  <c r="X122" i="16"/>
  <c r="X130" i="16"/>
  <c r="X138" i="16"/>
  <c r="X146" i="16"/>
  <c r="X154" i="16"/>
  <c r="X162" i="16"/>
  <c r="X170" i="16"/>
  <c r="X178" i="16"/>
  <c r="X186" i="16"/>
  <c r="X194" i="16"/>
  <c r="X202" i="16"/>
  <c r="X210" i="16"/>
  <c r="X218" i="16"/>
  <c r="X226" i="16"/>
  <c r="X234" i="16"/>
  <c r="X242" i="16"/>
  <c r="X250" i="16"/>
  <c r="X258" i="16"/>
  <c r="X37" i="16"/>
  <c r="X69" i="16"/>
  <c r="X109" i="16"/>
  <c r="X157" i="16"/>
  <c r="X189" i="16"/>
  <c r="X237" i="16"/>
  <c r="X27" i="16"/>
  <c r="X35" i="16"/>
  <c r="X43" i="16"/>
  <c r="X51" i="16"/>
  <c r="X59" i="16"/>
  <c r="X67" i="16"/>
  <c r="X75" i="16"/>
  <c r="X83" i="16"/>
  <c r="X91" i="16"/>
  <c r="X99" i="16"/>
  <c r="X107" i="16"/>
  <c r="X115" i="16"/>
  <c r="X123" i="16"/>
  <c r="X131" i="16"/>
  <c r="X139" i="16"/>
  <c r="X147" i="16"/>
  <c r="X155" i="16"/>
  <c r="X163" i="16"/>
  <c r="X171" i="16"/>
  <c r="X179" i="16"/>
  <c r="X187" i="16"/>
  <c r="X195" i="16"/>
  <c r="X203" i="16"/>
  <c r="X211" i="16"/>
  <c r="X219" i="16"/>
  <c r="X227" i="16"/>
  <c r="X235" i="16"/>
  <c r="X243" i="16"/>
  <c r="X251" i="16"/>
  <c r="X259" i="16"/>
  <c r="X141" i="16"/>
  <c r="X28" i="16"/>
  <c r="X36" i="16"/>
  <c r="X44" i="16"/>
  <c r="X52" i="16"/>
  <c r="X60" i="16"/>
  <c r="X68" i="16"/>
  <c r="X76" i="16"/>
  <c r="X84" i="16"/>
  <c r="X92" i="16"/>
  <c r="X100" i="16"/>
  <c r="X108" i="16"/>
  <c r="X116" i="16"/>
  <c r="X124" i="16"/>
  <c r="X132" i="16"/>
  <c r="X140" i="16"/>
  <c r="X148" i="16"/>
  <c r="X156" i="16"/>
  <c r="X164" i="16"/>
  <c r="X172" i="16"/>
  <c r="X180" i="16"/>
  <c r="X188" i="16"/>
  <c r="X196" i="16"/>
  <c r="X204" i="16"/>
  <c r="X212" i="16"/>
  <c r="X220" i="16"/>
  <c r="X228" i="16"/>
  <c r="X236" i="16"/>
  <c r="X244" i="16"/>
  <c r="X252" i="16"/>
  <c r="X260" i="16"/>
  <c r="X29" i="16"/>
  <c r="X61" i="16"/>
  <c r="X93" i="16"/>
  <c r="X149" i="16"/>
  <c r="X181" i="16"/>
  <c r="X221" i="16"/>
  <c r="X253" i="16"/>
  <c r="O22" i="16"/>
  <c r="S25" i="24"/>
  <c r="S24" i="24"/>
  <c r="S27" i="24"/>
  <c r="Y23" i="16"/>
  <c r="R257" i="16"/>
  <c r="S257" i="16" s="1"/>
  <c r="R253" i="16"/>
  <c r="S253" i="16" s="1"/>
  <c r="R249" i="16"/>
  <c r="S249" i="16" s="1"/>
  <c r="R245" i="16"/>
  <c r="S245" i="16" s="1"/>
  <c r="R241" i="16"/>
  <c r="S241" i="16" s="1"/>
  <c r="R237" i="16"/>
  <c r="S237" i="16" s="1"/>
  <c r="R233" i="16"/>
  <c r="S233" i="16" s="1"/>
  <c r="R229" i="16"/>
  <c r="S229" i="16" s="1"/>
  <c r="R225" i="16"/>
  <c r="S225" i="16" s="1"/>
  <c r="R221" i="16"/>
  <c r="S221" i="16" s="1"/>
  <c r="R217" i="16"/>
  <c r="S217" i="16" s="1"/>
  <c r="R213" i="16"/>
  <c r="S213" i="16" s="1"/>
  <c r="R209" i="16"/>
  <c r="S209" i="16" s="1"/>
  <c r="R205" i="16"/>
  <c r="S205" i="16" s="1"/>
  <c r="R201" i="16"/>
  <c r="S201" i="16" s="1"/>
  <c r="R197" i="16"/>
  <c r="S197" i="16" s="1"/>
  <c r="R193" i="16"/>
  <c r="S193" i="16" s="1"/>
  <c r="R189" i="16"/>
  <c r="S189" i="16" s="1"/>
  <c r="R185" i="16"/>
  <c r="S185" i="16" s="1"/>
  <c r="R181" i="16"/>
  <c r="S181" i="16" s="1"/>
  <c r="R177" i="16"/>
  <c r="S177" i="16" s="1"/>
  <c r="R173" i="16"/>
  <c r="S173" i="16" s="1"/>
  <c r="R169" i="16"/>
  <c r="S169" i="16" s="1"/>
  <c r="R165" i="16"/>
  <c r="S165" i="16" s="1"/>
  <c r="R161" i="16"/>
  <c r="S161" i="16" s="1"/>
  <c r="R157" i="16"/>
  <c r="S157" i="16" s="1"/>
  <c r="R153" i="16"/>
  <c r="S153" i="16" s="1"/>
  <c r="R149" i="16"/>
  <c r="S149" i="16" s="1"/>
  <c r="R145" i="16"/>
  <c r="S145" i="16" s="1"/>
  <c r="R141" i="16"/>
  <c r="S141" i="16" s="1"/>
  <c r="R137" i="16"/>
  <c r="S137" i="16" s="1"/>
  <c r="R133" i="16"/>
  <c r="S133" i="16" s="1"/>
  <c r="R129" i="16"/>
  <c r="S129" i="16" s="1"/>
  <c r="R125" i="16"/>
  <c r="S125" i="16" s="1"/>
  <c r="R121" i="16"/>
  <c r="S121" i="16" s="1"/>
  <c r="R117" i="16"/>
  <c r="S117" i="16" s="1"/>
  <c r="R113" i="16"/>
  <c r="S113" i="16" s="1"/>
  <c r="R109" i="16"/>
  <c r="R105" i="16"/>
  <c r="R101" i="16"/>
  <c r="R97" i="16"/>
  <c r="R93" i="16"/>
  <c r="R89" i="16"/>
  <c r="R85" i="16"/>
  <c r="R81" i="16"/>
  <c r="R77" i="16"/>
  <c r="R73" i="16"/>
  <c r="R69" i="16"/>
  <c r="R65" i="16"/>
  <c r="R61" i="16"/>
  <c r="R57" i="16"/>
  <c r="R53" i="16"/>
  <c r="R49" i="16"/>
  <c r="R45" i="16"/>
  <c r="R41" i="16"/>
  <c r="R37" i="16"/>
  <c r="R33" i="16"/>
  <c r="R258" i="16"/>
  <c r="S258" i="16" s="1"/>
  <c r="R254" i="16"/>
  <c r="S254" i="16" s="1"/>
  <c r="R250" i="16"/>
  <c r="S250" i="16" s="1"/>
  <c r="R246" i="16"/>
  <c r="S246" i="16" s="1"/>
  <c r="R242" i="16"/>
  <c r="S242" i="16" s="1"/>
  <c r="R238" i="16"/>
  <c r="S238" i="16" s="1"/>
  <c r="R234" i="16"/>
  <c r="S234" i="16" s="1"/>
  <c r="R230" i="16"/>
  <c r="S230" i="16" s="1"/>
  <c r="R226" i="16"/>
  <c r="S226" i="16" s="1"/>
  <c r="R222" i="16"/>
  <c r="S222" i="16" s="1"/>
  <c r="R218" i="16"/>
  <c r="S218" i="16" s="1"/>
  <c r="R214" i="16"/>
  <c r="S214" i="16" s="1"/>
  <c r="R210" i="16"/>
  <c r="S210" i="16" s="1"/>
  <c r="R206" i="16"/>
  <c r="S206" i="16" s="1"/>
  <c r="R202" i="16"/>
  <c r="S202" i="16" s="1"/>
  <c r="R198" i="16"/>
  <c r="S198" i="16" s="1"/>
  <c r="R194" i="16"/>
  <c r="S194" i="16" s="1"/>
  <c r="R190" i="16"/>
  <c r="S190" i="16" s="1"/>
  <c r="R186" i="16"/>
  <c r="S186" i="16" s="1"/>
  <c r="R182" i="16"/>
  <c r="S182" i="16" s="1"/>
  <c r="R178" i="16"/>
  <c r="S178" i="16" s="1"/>
  <c r="R174" i="16"/>
  <c r="S174" i="16" s="1"/>
  <c r="R170" i="16"/>
  <c r="S170" i="16" s="1"/>
  <c r="R166" i="16"/>
  <c r="S166" i="16" s="1"/>
  <c r="R162" i="16"/>
  <c r="S162" i="16" s="1"/>
  <c r="R158" i="16"/>
  <c r="S158" i="16" s="1"/>
  <c r="R154" i="16"/>
  <c r="S154" i="16" s="1"/>
  <c r="R150" i="16"/>
  <c r="S150" i="16" s="1"/>
  <c r="R146" i="16"/>
  <c r="S146" i="16" s="1"/>
  <c r="R142" i="16"/>
  <c r="S142" i="16" s="1"/>
  <c r="R138" i="16"/>
  <c r="S138" i="16" s="1"/>
  <c r="R134" i="16"/>
  <c r="S134" i="16" s="1"/>
  <c r="R130" i="16"/>
  <c r="S130" i="16" s="1"/>
  <c r="R126" i="16"/>
  <c r="S126" i="16" s="1"/>
  <c r="R122" i="16"/>
  <c r="S122" i="16" s="1"/>
  <c r="R118" i="16"/>
  <c r="S118" i="16" s="1"/>
  <c r="R114" i="16"/>
  <c r="S114" i="16" s="1"/>
  <c r="R110" i="16"/>
  <c r="R106" i="16"/>
  <c r="R102" i="16"/>
  <c r="R98" i="16"/>
  <c r="R94" i="16"/>
  <c r="R90" i="16"/>
  <c r="R86" i="16"/>
  <c r="R82" i="16"/>
  <c r="R78" i="16"/>
  <c r="R74" i="16"/>
  <c r="R70" i="16"/>
  <c r="R66" i="16"/>
  <c r="R62" i="16"/>
  <c r="R58" i="16"/>
  <c r="R54" i="16"/>
  <c r="R50" i="16"/>
  <c r="R46" i="16"/>
  <c r="R42" i="16"/>
  <c r="R38" i="16"/>
  <c r="R34" i="16"/>
  <c r="R30" i="16"/>
  <c r="R259" i="16"/>
  <c r="S259" i="16" s="1"/>
  <c r="R255" i="16"/>
  <c r="S255" i="16" s="1"/>
  <c r="R251" i="16"/>
  <c r="S251" i="16" s="1"/>
  <c r="R247" i="16"/>
  <c r="S247" i="16" s="1"/>
  <c r="R243" i="16"/>
  <c r="S243" i="16" s="1"/>
  <c r="R239" i="16"/>
  <c r="S239" i="16" s="1"/>
  <c r="R235" i="16"/>
  <c r="S235" i="16" s="1"/>
  <c r="R231" i="16"/>
  <c r="S231" i="16" s="1"/>
  <c r="R227" i="16"/>
  <c r="S227" i="16" s="1"/>
  <c r="R223" i="16"/>
  <c r="S223" i="16" s="1"/>
  <c r="R219" i="16"/>
  <c r="S219" i="16" s="1"/>
  <c r="R215" i="16"/>
  <c r="S215" i="16" s="1"/>
  <c r="R211" i="16"/>
  <c r="S211" i="16" s="1"/>
  <c r="R207" i="16"/>
  <c r="S207" i="16" s="1"/>
  <c r="R203" i="16"/>
  <c r="S203" i="16" s="1"/>
  <c r="R199" i="16"/>
  <c r="S199" i="16" s="1"/>
  <c r="R195" i="16"/>
  <c r="S195" i="16" s="1"/>
  <c r="R191" i="16"/>
  <c r="S191" i="16" s="1"/>
  <c r="R187" i="16"/>
  <c r="S187" i="16" s="1"/>
  <c r="R183" i="16"/>
  <c r="S183" i="16" s="1"/>
  <c r="R179" i="16"/>
  <c r="S179" i="16" s="1"/>
  <c r="R175" i="16"/>
  <c r="S175" i="16" s="1"/>
  <c r="R171" i="16"/>
  <c r="S171" i="16" s="1"/>
  <c r="R167" i="16"/>
  <c r="S167" i="16" s="1"/>
  <c r="R163" i="16"/>
  <c r="S163" i="16" s="1"/>
  <c r="R159" i="16"/>
  <c r="S159" i="16" s="1"/>
  <c r="R155" i="16"/>
  <c r="S155" i="16" s="1"/>
  <c r="R151" i="16"/>
  <c r="S151" i="16" s="1"/>
  <c r="R147" i="16"/>
  <c r="S147" i="16" s="1"/>
  <c r="R143" i="16"/>
  <c r="S143" i="16" s="1"/>
  <c r="R139" i="16"/>
  <c r="S139" i="16" s="1"/>
  <c r="R135" i="16"/>
  <c r="S135" i="16" s="1"/>
  <c r="R131" i="16"/>
  <c r="S131" i="16" s="1"/>
  <c r="R127" i="16"/>
  <c r="S127" i="16" s="1"/>
  <c r="R123" i="16"/>
  <c r="S123" i="16" s="1"/>
  <c r="R119" i="16"/>
  <c r="S119" i="16" s="1"/>
  <c r="R115" i="16"/>
  <c r="S115" i="16" s="1"/>
  <c r="R111" i="16"/>
  <c r="S111" i="16" s="1"/>
  <c r="R107" i="16"/>
  <c r="R103" i="16"/>
  <c r="R99" i="16"/>
  <c r="R95" i="16"/>
  <c r="R91" i="16"/>
  <c r="R87" i="16"/>
  <c r="R83" i="16"/>
  <c r="R79" i="16"/>
  <c r="R75" i="16"/>
  <c r="R71" i="16"/>
  <c r="R67" i="16"/>
  <c r="R63" i="16"/>
  <c r="R59" i="16"/>
  <c r="R55" i="16"/>
  <c r="R51" i="16"/>
  <c r="R47" i="16"/>
  <c r="R43" i="16"/>
  <c r="R39" i="16"/>
  <c r="R35" i="16"/>
  <c r="R31" i="16"/>
  <c r="R252" i="16"/>
  <c r="S252" i="16" s="1"/>
  <c r="R236" i="16"/>
  <c r="S236" i="16" s="1"/>
  <c r="R220" i="16"/>
  <c r="S220" i="16" s="1"/>
  <c r="R204" i="16"/>
  <c r="S204" i="16" s="1"/>
  <c r="R188" i="16"/>
  <c r="S188" i="16" s="1"/>
  <c r="R172" i="16"/>
  <c r="S172" i="16" s="1"/>
  <c r="R156" i="16"/>
  <c r="S156" i="16" s="1"/>
  <c r="R140" i="16"/>
  <c r="S140" i="16" s="1"/>
  <c r="R124" i="16"/>
  <c r="S124" i="16" s="1"/>
  <c r="R108" i="16"/>
  <c r="R92" i="16"/>
  <c r="R76" i="16"/>
  <c r="R60" i="16"/>
  <c r="R44" i="16"/>
  <c r="R248" i="16"/>
  <c r="S248" i="16" s="1"/>
  <c r="R232" i="16"/>
  <c r="S232" i="16" s="1"/>
  <c r="R216" i="16"/>
  <c r="S216" i="16" s="1"/>
  <c r="R200" i="16"/>
  <c r="S200" i="16" s="1"/>
  <c r="R184" i="16"/>
  <c r="S184" i="16" s="1"/>
  <c r="R168" i="16"/>
  <c r="S168" i="16" s="1"/>
  <c r="R152" i="16"/>
  <c r="S152" i="16" s="1"/>
  <c r="R136" i="16"/>
  <c r="S136" i="16" s="1"/>
  <c r="R120" i="16"/>
  <c r="S120" i="16" s="1"/>
  <c r="R104" i="16"/>
  <c r="R88" i="16"/>
  <c r="R72" i="16"/>
  <c r="R56" i="16"/>
  <c r="R40" i="16"/>
  <c r="R260" i="16"/>
  <c r="S260" i="16" s="1"/>
  <c r="R244" i="16"/>
  <c r="S244" i="16" s="1"/>
  <c r="R228" i="16"/>
  <c r="S228" i="16" s="1"/>
  <c r="R212" i="16"/>
  <c r="S212" i="16" s="1"/>
  <c r="R196" i="16"/>
  <c r="S196" i="16" s="1"/>
  <c r="R180" i="16"/>
  <c r="S180" i="16" s="1"/>
  <c r="R164" i="16"/>
  <c r="S164" i="16" s="1"/>
  <c r="R148" i="16"/>
  <c r="S148" i="16" s="1"/>
  <c r="R132" i="16"/>
  <c r="S132" i="16" s="1"/>
  <c r="R116" i="16"/>
  <c r="S116" i="16" s="1"/>
  <c r="R100" i="16"/>
  <c r="R84" i="16"/>
  <c r="R68" i="16"/>
  <c r="R52" i="16"/>
  <c r="R36" i="16"/>
  <c r="R224" i="16"/>
  <c r="S224" i="16" s="1"/>
  <c r="R160" i="16"/>
  <c r="S160" i="16" s="1"/>
  <c r="R96" i="16"/>
  <c r="R32" i="16"/>
  <c r="R208" i="16"/>
  <c r="S208" i="16" s="1"/>
  <c r="R144" i="16"/>
  <c r="S144" i="16" s="1"/>
  <c r="R80" i="16"/>
  <c r="R256" i="16"/>
  <c r="S256" i="16" s="1"/>
  <c r="R192" i="16"/>
  <c r="S192" i="16" s="1"/>
  <c r="R128" i="16"/>
  <c r="S128" i="16" s="1"/>
  <c r="R64" i="16"/>
  <c r="R240" i="16"/>
  <c r="S240" i="16" s="1"/>
  <c r="R176" i="16"/>
  <c r="S176" i="16" s="1"/>
  <c r="R48" i="16"/>
  <c r="R112" i="16"/>
  <c r="S112" i="16" s="1"/>
  <c r="R27" i="16"/>
  <c r="R29" i="16"/>
  <c r="R26" i="16"/>
  <c r="R25" i="16"/>
  <c r="R21" i="16"/>
  <c r="S21" i="16" s="1"/>
  <c r="R28" i="16"/>
  <c r="Y26" i="18"/>
  <c r="Q10" i="16"/>
  <c r="Q9" i="16"/>
  <c r="R8" i="16"/>
  <c r="S4" i="16"/>
  <c r="Q14" i="16" s="1"/>
  <c r="P8" i="16"/>
  <c r="X24" i="16"/>
  <c r="X23" i="16"/>
  <c r="X22" i="16"/>
  <c r="X21" i="16"/>
  <c r="X20" i="16"/>
  <c r="S3" i="16"/>
  <c r="Q13" i="16" s="1"/>
  <c r="S5" i="16"/>
  <c r="Q15" i="16" s="1"/>
  <c r="E20" i="16"/>
  <c r="F21" i="16"/>
  <c r="F27" i="24"/>
  <c r="G26" i="18"/>
  <c r="E25" i="23"/>
  <c r="K26" i="18"/>
  <c r="K25" i="23"/>
  <c r="I26" i="18"/>
  <c r="H26" i="18"/>
  <c r="J26" i="18"/>
  <c r="H25" i="23"/>
  <c r="G25" i="23"/>
  <c r="I25" i="23"/>
  <c r="F26" i="18"/>
  <c r="F25" i="23"/>
  <c r="E26" i="18"/>
  <c r="G25" i="24"/>
  <c r="AE25" i="24"/>
  <c r="AF25" i="24"/>
  <c r="O22" i="18"/>
  <c r="N22" i="16" l="1"/>
  <c r="AK25" i="24"/>
  <c r="AJ25" i="24"/>
  <c r="AL25" i="23"/>
  <c r="S43" i="16"/>
  <c r="S91" i="16"/>
  <c r="S50" i="16"/>
  <c r="S82" i="16"/>
  <c r="S45" i="16"/>
  <c r="S84" i="16"/>
  <c r="S40" i="16"/>
  <c r="S104" i="16"/>
  <c r="S76" i="16"/>
  <c r="S31" i="16"/>
  <c r="S47" i="16"/>
  <c r="S63" i="16"/>
  <c r="S79" i="16"/>
  <c r="S95" i="16"/>
  <c r="S38" i="16"/>
  <c r="S54" i="16"/>
  <c r="S70" i="16"/>
  <c r="S86" i="16"/>
  <c r="S102" i="16"/>
  <c r="S33" i="16"/>
  <c r="S49" i="16"/>
  <c r="S65" i="16"/>
  <c r="S81" i="16"/>
  <c r="S97" i="16"/>
  <c r="S48" i="16"/>
  <c r="S59" i="16"/>
  <c r="S107" i="16"/>
  <c r="S66" i="16"/>
  <c r="S98" i="16"/>
  <c r="S61" i="16"/>
  <c r="R22" i="16"/>
  <c r="S22" i="16" s="1"/>
  <c r="S32" i="16"/>
  <c r="S36" i="16"/>
  <c r="S100" i="16"/>
  <c r="S56" i="16"/>
  <c r="S92" i="16"/>
  <c r="S35" i="16"/>
  <c r="S51" i="16"/>
  <c r="S67" i="16"/>
  <c r="S83" i="16"/>
  <c r="S99" i="16"/>
  <c r="S42" i="16"/>
  <c r="S58" i="16"/>
  <c r="S74" i="16"/>
  <c r="S90" i="16"/>
  <c r="S106" i="16"/>
  <c r="S37" i="16"/>
  <c r="S53" i="16"/>
  <c r="S69" i="16"/>
  <c r="S85" i="16"/>
  <c r="S101" i="16"/>
  <c r="Y24" i="16"/>
  <c r="S68" i="16"/>
  <c r="S88" i="16"/>
  <c r="S60" i="16"/>
  <c r="S75" i="16"/>
  <c r="S34" i="16"/>
  <c r="S77" i="16"/>
  <c r="S93" i="16"/>
  <c r="S109" i="16"/>
  <c r="S64" i="16"/>
  <c r="S80" i="16"/>
  <c r="S96" i="16"/>
  <c r="S52" i="16"/>
  <c r="S72" i="16"/>
  <c r="S44" i="16"/>
  <c r="S108" i="16"/>
  <c r="S39" i="16"/>
  <c r="S55" i="16"/>
  <c r="S71" i="16"/>
  <c r="S87" i="16"/>
  <c r="S103" i="16"/>
  <c r="S30" i="16"/>
  <c r="S46" i="16"/>
  <c r="S62" i="16"/>
  <c r="S78" i="16"/>
  <c r="S94" i="16"/>
  <c r="S110" i="16"/>
  <c r="S41" i="16"/>
  <c r="S57" i="16"/>
  <c r="S73" i="16"/>
  <c r="S89" i="16"/>
  <c r="S105" i="16"/>
  <c r="Y27" i="18"/>
  <c r="R10" i="16"/>
  <c r="R9" i="16"/>
  <c r="P10" i="16"/>
  <c r="P9" i="16"/>
  <c r="G27" i="24"/>
  <c r="E25" i="24"/>
  <c r="J25" i="24"/>
  <c r="K25" i="24"/>
  <c r="F25" i="24"/>
  <c r="I27" i="24"/>
  <c r="K27" i="24"/>
  <c r="E27" i="24"/>
  <c r="J27" i="24"/>
  <c r="H27" i="24"/>
  <c r="I25" i="24"/>
  <c r="H25" i="24"/>
  <c r="AD26" i="24"/>
  <c r="AE26" i="24"/>
  <c r="AB26" i="24"/>
  <c r="AF26" i="24"/>
  <c r="AA26" i="24"/>
  <c r="AC26" i="24"/>
  <c r="AK26" i="24" l="1"/>
  <c r="AJ26" i="24"/>
  <c r="AL27" i="24"/>
  <c r="AL25" i="24"/>
  <c r="AH26" i="24"/>
  <c r="D26" i="24"/>
  <c r="AG26" i="24"/>
  <c r="AI26" i="24"/>
  <c r="Y25" i="16"/>
  <c r="Y28" i="18"/>
  <c r="E22" i="16"/>
  <c r="D22" i="16" l="1"/>
  <c r="AM26" i="24"/>
  <c r="C26" i="24" s="1"/>
  <c r="Y26" i="16"/>
  <c r="Y29" i="18"/>
  <c r="P13" i="17"/>
  <c r="R14" i="17"/>
  <c r="P15" i="17"/>
  <c r="R13" i="17"/>
  <c r="Q15" i="17"/>
  <c r="Q13" i="17"/>
  <c r="R15" i="17"/>
  <c r="P14" i="17"/>
  <c r="Q14" i="17"/>
  <c r="J22" i="16"/>
  <c r="F22" i="16"/>
  <c r="G22" i="16"/>
  <c r="H22" i="16"/>
  <c r="I22" i="16"/>
  <c r="R23" i="18" l="1"/>
  <c r="R27" i="18"/>
  <c r="Y27" i="16"/>
  <c r="Y30" i="18"/>
  <c r="Y31" i="18" s="1"/>
  <c r="K22" i="16"/>
  <c r="AN23" i="23"/>
  <c r="AN27" i="24"/>
  <c r="AN27" i="23"/>
  <c r="S27" i="18" l="1"/>
  <c r="S23" i="18"/>
  <c r="Y28" i="16"/>
  <c r="Y32" i="18"/>
  <c r="K23" i="18"/>
  <c r="J23" i="18"/>
  <c r="I23" i="18"/>
  <c r="E27" i="18"/>
  <c r="AO23" i="23"/>
  <c r="AF23" i="24"/>
  <c r="AO27" i="23"/>
  <c r="AE23" i="24"/>
  <c r="AO27" i="24"/>
  <c r="AK23" i="24" l="1"/>
  <c r="AJ23" i="24"/>
  <c r="Y29" i="16"/>
  <c r="Y33" i="18"/>
  <c r="Q26" i="16"/>
  <c r="S26" i="16" s="1"/>
  <c r="Q23" i="16"/>
  <c r="S23" i="16" s="1"/>
  <c r="Q27" i="16"/>
  <c r="S27" i="16" s="1"/>
  <c r="Q24" i="16"/>
  <c r="S24" i="16" s="1"/>
  <c r="Q25" i="16"/>
  <c r="S25" i="16" s="1"/>
  <c r="Q29" i="16"/>
  <c r="S29" i="16" s="1"/>
  <c r="Q28" i="16"/>
  <c r="S28" i="16" s="1"/>
  <c r="I27" i="16"/>
  <c r="E27" i="16"/>
  <c r="F27" i="16"/>
  <c r="J24" i="16"/>
  <c r="E28" i="16"/>
  <c r="I25" i="16"/>
  <c r="F29" i="16"/>
  <c r="J23" i="16"/>
  <c r="F27" i="18"/>
  <c r="G27" i="18"/>
  <c r="K27" i="18"/>
  <c r="I27" i="18"/>
  <c r="H27" i="18"/>
  <c r="J27" i="18"/>
  <c r="AA27" i="23"/>
  <c r="AB27" i="23"/>
  <c r="AF23" i="23"/>
  <c r="AA27" i="18"/>
  <c r="AE25" i="23"/>
  <c r="AE27" i="23"/>
  <c r="AB27" i="18"/>
  <c r="AB29" i="18"/>
  <c r="AA28" i="18"/>
  <c r="AK23" i="23" l="1"/>
  <c r="AJ25" i="23"/>
  <c r="AJ27" i="23"/>
  <c r="AG27" i="23"/>
  <c r="Y30" i="16"/>
  <c r="Y34" i="18"/>
  <c r="D28" i="16"/>
  <c r="D27" i="16"/>
  <c r="F25" i="16"/>
  <c r="E26" i="16"/>
  <c r="H25" i="16"/>
  <c r="I24" i="16"/>
  <c r="H27" i="16"/>
  <c r="H30" i="16"/>
  <c r="E29" i="16"/>
  <c r="G29" i="16"/>
  <c r="G30" i="16"/>
  <c r="I30" i="16"/>
  <c r="F28" i="16"/>
  <c r="J30" i="16"/>
  <c r="H23" i="16"/>
  <c r="F24" i="16"/>
  <c r="K28" i="16"/>
  <c r="K27" i="16"/>
  <c r="I29" i="16"/>
  <c r="J28" i="16"/>
  <c r="G26" i="16"/>
  <c r="H26" i="16"/>
  <c r="J26" i="16"/>
  <c r="J29" i="16"/>
  <c r="I23" i="16"/>
  <c r="E23" i="16"/>
  <c r="G23" i="16"/>
  <c r="I26" i="16"/>
  <c r="H29" i="16"/>
  <c r="F26" i="16"/>
  <c r="F23" i="16"/>
  <c r="I28" i="16"/>
  <c r="F30" i="16"/>
  <c r="E30" i="16"/>
  <c r="J27" i="16"/>
  <c r="H24" i="16"/>
  <c r="E25" i="16"/>
  <c r="G24" i="16"/>
  <c r="G25" i="16"/>
  <c r="G28" i="16"/>
  <c r="H28" i="16"/>
  <c r="E24" i="16"/>
  <c r="J25" i="16"/>
  <c r="G27" i="16"/>
  <c r="F25" i="18"/>
  <c r="E25" i="18"/>
  <c r="G25" i="18"/>
  <c r="H25" i="18"/>
  <c r="AB25" i="18"/>
  <c r="R29" i="23" l="1"/>
  <c r="D27" i="18"/>
  <c r="D24" i="16"/>
  <c r="D25" i="16"/>
  <c r="D26" i="16"/>
  <c r="D30" i="16"/>
  <c r="D29" i="16"/>
  <c r="Y31" i="16"/>
  <c r="Y35" i="18"/>
  <c r="D23" i="16"/>
  <c r="K24" i="16"/>
  <c r="G31" i="16"/>
  <c r="H31" i="16"/>
  <c r="J31" i="16"/>
  <c r="K26" i="16"/>
  <c r="F31" i="16"/>
  <c r="E31" i="16"/>
  <c r="I31" i="16"/>
  <c r="K30" i="16"/>
  <c r="K23" i="16"/>
  <c r="K29" i="16"/>
  <c r="K25" i="16"/>
  <c r="R35" i="24" l="1"/>
  <c r="S35" i="24" s="1"/>
  <c r="R32" i="24"/>
  <c r="S32" i="24" s="1"/>
  <c r="R34" i="24"/>
  <c r="S34" i="24" s="1"/>
  <c r="R37" i="24"/>
  <c r="S29" i="23"/>
  <c r="D31" i="16"/>
  <c r="Y32" i="16"/>
  <c r="Y36" i="18"/>
  <c r="K28" i="23"/>
  <c r="K29" i="23"/>
  <c r="K32" i="24"/>
  <c r="J32" i="24"/>
  <c r="G32" i="16"/>
  <c r="G28" i="23"/>
  <c r="J37" i="24"/>
  <c r="J32" i="16"/>
  <c r="I28" i="23"/>
  <c r="I32" i="24"/>
  <c r="J29" i="23"/>
  <c r="J28" i="23"/>
  <c r="G37" i="24"/>
  <c r="H28" i="23"/>
  <c r="E29" i="23"/>
  <c r="E32" i="24"/>
  <c r="K35" i="24"/>
  <c r="H32" i="16"/>
  <c r="F29" i="23"/>
  <c r="J35" i="24"/>
  <c r="K37" i="24"/>
  <c r="K34" i="24"/>
  <c r="F37" i="24"/>
  <c r="I29" i="23"/>
  <c r="K31" i="16"/>
  <c r="G29" i="23"/>
  <c r="F32" i="24"/>
  <c r="E37" i="24"/>
  <c r="I32" i="16"/>
  <c r="H29" i="23"/>
  <c r="H37" i="24"/>
  <c r="I37" i="24"/>
  <c r="E32" i="16"/>
  <c r="F28" i="23"/>
  <c r="H32" i="24"/>
  <c r="F32" i="16"/>
  <c r="G32" i="24"/>
  <c r="N94" i="18"/>
  <c r="AP65" i="18"/>
  <c r="AN48" i="18"/>
  <c r="L105" i="18"/>
  <c r="AT65" i="18"/>
  <c r="AT110" i="18"/>
  <c r="N30" i="18"/>
  <c r="AT96" i="18"/>
  <c r="AO48" i="18"/>
  <c r="AR35" i="18"/>
  <c r="AK26" i="17"/>
  <c r="AD26" i="18"/>
  <c r="AN79" i="18"/>
  <c r="AT20" i="18"/>
  <c r="AP81" i="18"/>
  <c r="AQ106" i="18"/>
  <c r="AG25" i="17"/>
  <c r="AN73" i="18"/>
  <c r="AR33" i="18"/>
  <c r="L88" i="18"/>
  <c r="AT31" i="18"/>
  <c r="AN42" i="18"/>
  <c r="L55" i="18"/>
  <c r="N93" i="18"/>
  <c r="AB26" i="23"/>
  <c r="AR75" i="18"/>
  <c r="AP102" i="18"/>
  <c r="AO99" i="18"/>
  <c r="AP44" i="18"/>
  <c r="AN76" i="18"/>
  <c r="AN38" i="18"/>
  <c r="AS56" i="18"/>
  <c r="AR26" i="18"/>
  <c r="N109" i="18"/>
  <c r="AF27" i="23"/>
  <c r="Z25" i="17"/>
  <c r="AS51" i="18"/>
  <c r="AS68" i="18"/>
  <c r="AN20" i="18"/>
  <c r="AN26" i="18"/>
  <c r="AQ53" i="18"/>
  <c r="M92" i="18"/>
  <c r="AF27" i="18"/>
  <c r="AO36" i="18"/>
  <c r="AR59" i="18"/>
  <c r="M66" i="18"/>
  <c r="AQ70" i="18"/>
  <c r="AB23" i="18"/>
  <c r="AR44" i="18"/>
  <c r="AO61" i="18"/>
  <c r="N76" i="18"/>
  <c r="AQ68" i="18"/>
  <c r="AQ65" i="18"/>
  <c r="AR105" i="18"/>
  <c r="AR73" i="18"/>
  <c r="AR106" i="18"/>
  <c r="AJ22" i="17"/>
  <c r="AR91" i="18"/>
  <c r="M31" i="18"/>
  <c r="AF25" i="23"/>
  <c r="AO28" i="18"/>
  <c r="AR45" i="18"/>
  <c r="L67" i="18"/>
  <c r="AN45" i="18"/>
  <c r="AT22" i="18"/>
  <c r="AT25" i="18"/>
  <c r="AQ96" i="18"/>
  <c r="AR79" i="18"/>
  <c r="L63" i="18"/>
  <c r="AQ100" i="18"/>
  <c r="AP109" i="18"/>
  <c r="AC26" i="18"/>
  <c r="AN29" i="18"/>
  <c r="Y24" i="17"/>
  <c r="AT62" i="18"/>
  <c r="AP45" i="18"/>
  <c r="L37" i="18"/>
  <c r="AU20" i="18"/>
  <c r="M69" i="18"/>
  <c r="AC26" i="23"/>
  <c r="AP97" i="18"/>
  <c r="AT47" i="18"/>
  <c r="AS70" i="18"/>
  <c r="N67" i="18"/>
  <c r="AQ89" i="18"/>
  <c r="X24" i="17"/>
  <c r="N86" i="18"/>
  <c r="AQ20" i="18"/>
  <c r="AR63" i="18"/>
  <c r="AE30" i="18"/>
  <c r="N91" i="18"/>
  <c r="AN63" i="18"/>
  <c r="M99" i="18"/>
  <c r="AN32" i="18"/>
  <c r="AN86" i="18"/>
  <c r="L94" i="18"/>
  <c r="N105" i="18"/>
  <c r="AA29" i="18"/>
  <c r="AT28" i="18"/>
  <c r="AM30" i="17"/>
  <c r="N108" i="18"/>
  <c r="AO82" i="18"/>
  <c r="K21" i="17"/>
  <c r="AA25" i="18"/>
  <c r="L32" i="18"/>
  <c r="M76" i="18"/>
  <c r="AT57" i="18"/>
  <c r="AR72" i="18"/>
  <c r="AS28" i="18"/>
  <c r="AR74" i="18"/>
  <c r="AR55" i="18"/>
  <c r="AS45" i="18"/>
  <c r="AT40" i="18"/>
  <c r="N49" i="18"/>
  <c r="AS79" i="18"/>
  <c r="AS62" i="18"/>
  <c r="N101" i="18"/>
  <c r="AO50" i="18"/>
  <c r="AN27" i="18"/>
  <c r="L78" i="18"/>
  <c r="AO103" i="18"/>
  <c r="AN57" i="18"/>
  <c r="AM25" i="17"/>
  <c r="M50" i="18"/>
  <c r="AR62" i="18"/>
  <c r="AO80" i="18"/>
  <c r="AT103" i="18"/>
  <c r="AP55" i="18"/>
  <c r="M78" i="18"/>
  <c r="AQ63" i="18"/>
  <c r="Z23" i="17"/>
  <c r="L54" i="18"/>
  <c r="AO37" i="18"/>
  <c r="M63" i="18"/>
  <c r="AP67" i="18"/>
  <c r="N43" i="18"/>
  <c r="N84" i="18"/>
  <c r="N88" i="18"/>
  <c r="AS73" i="18"/>
  <c r="M50" i="23"/>
  <c r="M61" i="18"/>
  <c r="AK27" i="17"/>
  <c r="AU24" i="18"/>
  <c r="AR107" i="18"/>
  <c r="AT94" i="18"/>
  <c r="AP72" i="18"/>
  <c r="AS38" i="18"/>
  <c r="AR53" i="18"/>
  <c r="AD27" i="18"/>
  <c r="AO91" i="18"/>
  <c r="AA20" i="17"/>
  <c r="AS75" i="18"/>
  <c r="M76" i="23"/>
  <c r="AP58" i="18"/>
  <c r="N31" i="18"/>
  <c r="AN87" i="18"/>
  <c r="M29" i="18"/>
  <c r="L69" i="18"/>
  <c r="AP90" i="18"/>
  <c r="AG27" i="17"/>
  <c r="M43" i="18"/>
  <c r="AR104" i="18"/>
  <c r="AS85" i="18"/>
  <c r="AN74" i="18"/>
  <c r="AS50" i="18"/>
  <c r="AP41" i="18"/>
  <c r="AR21" i="18"/>
  <c r="M94" i="18"/>
  <c r="M94" i="23" s="1"/>
  <c r="AP77" i="18"/>
  <c r="M34" i="18"/>
  <c r="M73" i="18"/>
  <c r="L70" i="18"/>
  <c r="AS84" i="18"/>
  <c r="M77" i="18"/>
  <c r="AO104" i="18"/>
  <c r="AS32" i="18"/>
  <c r="AQ21" i="18"/>
  <c r="AO102" i="18"/>
  <c r="AP61" i="18"/>
  <c r="L33" i="18"/>
  <c r="AT98" i="18"/>
  <c r="AQ38" i="18"/>
  <c r="L28" i="18"/>
  <c r="AT97" i="18"/>
  <c r="AN44" i="18"/>
  <c r="AS103" i="18"/>
  <c r="AT69" i="18"/>
  <c r="L44" i="18"/>
  <c r="AT32" i="18"/>
  <c r="AO84" i="18"/>
  <c r="AO95" i="18"/>
  <c r="AE25" i="18"/>
  <c r="AQ88" i="18"/>
  <c r="Y21" i="17"/>
  <c r="AO107" i="18"/>
  <c r="AO57" i="18"/>
  <c r="L42" i="18"/>
  <c r="M103" i="18"/>
  <c r="AP56" i="18"/>
  <c r="L78" i="23"/>
  <c r="M78" i="23"/>
  <c r="AK28" i="17"/>
  <c r="M100" i="18"/>
  <c r="M51" i="18"/>
  <c r="N99" i="18"/>
  <c r="AD32" i="18"/>
  <c r="N72" i="18"/>
  <c r="M67" i="18"/>
  <c r="AS71" i="18"/>
  <c r="AQ69" i="18"/>
  <c r="AP36" i="18"/>
  <c r="AT24" i="18"/>
  <c r="L36" i="18"/>
  <c r="AP103" i="18"/>
  <c r="N51" i="18"/>
  <c r="L41" i="18"/>
  <c r="L41" i="23" s="1"/>
  <c r="AQ54" i="18"/>
  <c r="L66" i="18"/>
  <c r="L30" i="18"/>
  <c r="AC22" i="18"/>
  <c r="AT27" i="18"/>
  <c r="AU31" i="18"/>
  <c r="AN37" i="26"/>
  <c r="AN53" i="18"/>
  <c r="M97" i="18"/>
  <c r="M45" i="18"/>
  <c r="AF31" i="18"/>
  <c r="AT84" i="18"/>
  <c r="AT39" i="18"/>
  <c r="AA23" i="17"/>
  <c r="AS24" i="18"/>
  <c r="AR109" i="18"/>
  <c r="AN65" i="18"/>
  <c r="AQ87" i="18"/>
  <c r="AP39" i="18"/>
  <c r="AH29" i="17"/>
  <c r="M107" i="18"/>
  <c r="AR82" i="18"/>
  <c r="AT49" i="18"/>
  <c r="N89" i="18"/>
  <c r="M47" i="18"/>
  <c r="AS54" i="18"/>
  <c r="N62" i="18"/>
  <c r="AR48" i="18"/>
  <c r="N97" i="18"/>
  <c r="N103" i="18"/>
  <c r="L49" i="18"/>
  <c r="AN31" i="18"/>
  <c r="AP22" i="18"/>
  <c r="AP43" i="18"/>
  <c r="N80" i="18"/>
  <c r="AR90" i="18"/>
  <c r="AO70" i="18"/>
  <c r="AR49" i="18"/>
  <c r="AF23" i="18"/>
  <c r="AS21" i="18"/>
  <c r="AO52" i="18"/>
  <c r="L46" i="18"/>
  <c r="AS91" i="18"/>
  <c r="AS33" i="18"/>
  <c r="AP79" i="18"/>
  <c r="AP40" i="18"/>
  <c r="AS88" i="18"/>
  <c r="AN51" i="18"/>
  <c r="AQ26" i="18"/>
  <c r="AT108" i="18"/>
  <c r="AS76" i="18"/>
  <c r="AO88" i="18"/>
  <c r="M89" i="18"/>
  <c r="AQ41" i="18"/>
  <c r="AT95" i="18"/>
  <c r="N95" i="18"/>
  <c r="P20" i="18"/>
  <c r="AQ76" i="18"/>
  <c r="M93" i="18"/>
  <c r="L83" i="18"/>
  <c r="M62" i="18"/>
  <c r="AI23" i="17"/>
  <c r="AR47" i="18"/>
  <c r="AU32" i="18"/>
  <c r="AF30" i="18"/>
  <c r="M98" i="18"/>
  <c r="N56" i="18"/>
  <c r="AT81" i="18"/>
  <c r="AP27" i="18"/>
  <c r="N60" i="18"/>
  <c r="AN64" i="18"/>
  <c r="L75" i="18"/>
  <c r="AR57" i="18"/>
  <c r="AS72" i="18"/>
  <c r="N35" i="18"/>
  <c r="AN80" i="18"/>
  <c r="L97" i="18"/>
  <c r="AP94" i="18"/>
  <c r="L40" i="18"/>
  <c r="AO29" i="18"/>
  <c r="AS30" i="18"/>
  <c r="AQ80" i="18"/>
  <c r="AM23" i="17"/>
  <c r="L21" i="17"/>
  <c r="AC31" i="18"/>
  <c r="AQ97" i="18"/>
  <c r="Z22" i="17"/>
  <c r="N77" i="18"/>
  <c r="AN95" i="18"/>
  <c r="AU21" i="18"/>
  <c r="AO105" i="18"/>
  <c r="AA22" i="18"/>
  <c r="N22" i="17"/>
  <c r="AS29" i="18"/>
  <c r="N90" i="18"/>
  <c r="L42" i="23"/>
  <c r="AS87" i="18"/>
  <c r="AM27" i="17"/>
  <c r="AN59" i="18"/>
  <c r="AF29" i="18"/>
  <c r="AN101" i="18"/>
  <c r="AB26" i="18"/>
  <c r="M43" i="23"/>
  <c r="AC25" i="18"/>
  <c r="AQ95" i="18"/>
  <c r="AO29" i="24"/>
  <c r="N46" i="18"/>
  <c r="N46" i="23" s="1"/>
  <c r="AO39" i="18"/>
  <c r="AS35" i="18"/>
  <c r="N87" i="18"/>
  <c r="AQ52" i="18"/>
  <c r="AN103" i="18"/>
  <c r="O21" i="18"/>
  <c r="AN68" i="18"/>
  <c r="AN71" i="18"/>
  <c r="N66" i="18"/>
  <c r="M35" i="18"/>
  <c r="AN102" i="18"/>
  <c r="AM20" i="17"/>
  <c r="N22" i="18"/>
  <c r="AS57" i="18"/>
  <c r="N85" i="18"/>
  <c r="L103" i="18"/>
  <c r="AN67" i="18"/>
  <c r="AS83" i="18"/>
  <c r="AE26" i="23"/>
  <c r="AT53" i="18"/>
  <c r="AS48" i="18"/>
  <c r="L72" i="18"/>
  <c r="AP98" i="18"/>
  <c r="AS63" i="18"/>
  <c r="AS42" i="18"/>
  <c r="N37" i="18"/>
  <c r="AJ30" i="17"/>
  <c r="AO106" i="18"/>
  <c r="AT48" i="18"/>
  <c r="L81" i="18"/>
  <c r="AK20" i="17"/>
  <c r="AO92" i="18"/>
  <c r="M64" i="18"/>
  <c r="M64" i="23" s="1"/>
  <c r="AN56" i="18"/>
  <c r="N75" i="18"/>
  <c r="N75" i="23" s="1"/>
  <c r="Z21" i="17"/>
  <c r="AP38" i="18"/>
  <c r="AP105" i="18"/>
  <c r="AJ29" i="17"/>
  <c r="AP69" i="18"/>
  <c r="AO23" i="18"/>
  <c r="N51" i="23"/>
  <c r="AA30" i="18"/>
  <c r="AP80" i="18"/>
  <c r="AR92" i="18"/>
  <c r="AT42" i="18"/>
  <c r="AD22" i="18"/>
  <c r="AS49" i="18"/>
  <c r="AP54" i="18"/>
  <c r="AN62" i="18"/>
  <c r="AQ43" i="18"/>
  <c r="AN97" i="18"/>
  <c r="AN81" i="18"/>
  <c r="L60" i="18"/>
  <c r="AO77" i="18"/>
  <c r="AR20" i="18"/>
  <c r="L95" i="18"/>
  <c r="AQ22" i="18"/>
  <c r="AR37" i="18"/>
  <c r="AN99" i="18"/>
  <c r="AR110" i="18"/>
  <c r="AT41" i="18"/>
  <c r="AC30" i="18"/>
  <c r="AO47" i="18"/>
  <c r="AP75" i="18"/>
  <c r="AP86" i="18"/>
  <c r="N76" i="23"/>
  <c r="AQ99" i="18"/>
  <c r="AQ83" i="18"/>
  <c r="AP53" i="18"/>
  <c r="AR71" i="18"/>
  <c r="N97" i="23"/>
  <c r="AQ29" i="18"/>
  <c r="AU26" i="18"/>
  <c r="AN21" i="18"/>
  <c r="AT56" i="18"/>
  <c r="AR32" i="18"/>
  <c r="N50" i="18"/>
  <c r="AQ105" i="18"/>
  <c r="AR34" i="18"/>
  <c r="AN104" i="18"/>
  <c r="AP34" i="18"/>
  <c r="AL24" i="17"/>
  <c r="AT29" i="18"/>
  <c r="AS53" i="18"/>
  <c r="N79" i="18"/>
  <c r="L54" i="23"/>
  <c r="AQ56" i="18"/>
  <c r="AQ40" i="18"/>
  <c r="AR77" i="18"/>
  <c r="AP74" i="18"/>
  <c r="AA23" i="18"/>
  <c r="AS59" i="18"/>
  <c r="AE31" i="18"/>
  <c r="L93" i="18"/>
  <c r="AN66" i="18"/>
  <c r="AT33" i="18"/>
  <c r="AT107" i="18"/>
  <c r="AP106" i="18"/>
  <c r="AR94" i="18"/>
  <c r="M54" i="18"/>
  <c r="N81" i="18"/>
  <c r="AR56" i="18"/>
  <c r="AL25" i="17"/>
  <c r="N96" i="18"/>
  <c r="N107" i="18"/>
  <c r="L62" i="18"/>
  <c r="AR64" i="18"/>
  <c r="AN100" i="18"/>
  <c r="L85" i="18"/>
  <c r="L85" i="23" s="1"/>
  <c r="AT59" i="18"/>
  <c r="AP26" i="18"/>
  <c r="AL29" i="17"/>
  <c r="AB22" i="18"/>
  <c r="AO53" i="18"/>
  <c r="AO65" i="18"/>
  <c r="N21" i="17"/>
  <c r="AR54" i="18"/>
  <c r="L29" i="18"/>
  <c r="AP37" i="18"/>
  <c r="AN36" i="18"/>
  <c r="AP95" i="18"/>
  <c r="AT50" i="18"/>
  <c r="AQ92" i="18"/>
  <c r="L101" i="18"/>
  <c r="AO42" i="18"/>
  <c r="AN75" i="18"/>
  <c r="L87" i="18"/>
  <c r="N42" i="18"/>
  <c r="AB31" i="18"/>
  <c r="L52" i="18"/>
  <c r="L53" i="18"/>
  <c r="AO43" i="18"/>
  <c r="AT90" i="18"/>
  <c r="AS41" i="18"/>
  <c r="AQ72" i="18"/>
  <c r="L59" i="18"/>
  <c r="AQ23" i="18"/>
  <c r="N29" i="18"/>
  <c r="X20" i="17"/>
  <c r="AO21" i="18"/>
  <c r="M22" i="17"/>
  <c r="AS22" i="18"/>
  <c r="AT79" i="18"/>
  <c r="AP110" i="18"/>
  <c r="AQ44" i="18"/>
  <c r="M84" i="18"/>
  <c r="M49" i="18"/>
  <c r="P21" i="18"/>
  <c r="AO73" i="18"/>
  <c r="AT85" i="18"/>
  <c r="AQ67" i="18"/>
  <c r="AO60" i="18"/>
  <c r="AL21" i="17"/>
  <c r="AO96" i="18"/>
  <c r="AT38" i="18"/>
  <c r="M92" i="23"/>
  <c r="AQ98" i="18"/>
  <c r="N44" i="18"/>
  <c r="AO49" i="18"/>
  <c r="AS61" i="18"/>
  <c r="AN84" i="18"/>
  <c r="N41" i="18"/>
  <c r="N41" i="23" s="1"/>
  <c r="AP31" i="18"/>
  <c r="AN106" i="18"/>
  <c r="L104" i="18"/>
  <c r="L104" i="23" s="1"/>
  <c r="AG30" i="17"/>
  <c r="M33" i="18"/>
  <c r="AO64" i="18"/>
  <c r="AC28" i="18"/>
  <c r="M68" i="18"/>
  <c r="AD23" i="18"/>
  <c r="L84" i="18"/>
  <c r="AP33" i="18"/>
  <c r="AE26" i="18"/>
  <c r="L80" i="18"/>
  <c r="AM21" i="17"/>
  <c r="L109" i="18"/>
  <c r="AR99" i="18"/>
  <c r="AG29" i="17"/>
  <c r="AN91" i="18"/>
  <c r="L103" i="23"/>
  <c r="N20" i="17"/>
  <c r="AR24" i="18"/>
  <c r="AN46" i="18"/>
  <c r="N58" i="18"/>
  <c r="AO31" i="18"/>
  <c r="N48" i="18"/>
  <c r="AO59" i="18"/>
  <c r="AU22" i="18"/>
  <c r="M96" i="18"/>
  <c r="M96" i="23" s="1"/>
  <c r="AU23" i="18"/>
  <c r="AP21" i="18"/>
  <c r="AK29" i="17"/>
  <c r="AQ73" i="18"/>
  <c r="AR36" i="18"/>
  <c r="AQ31" i="18"/>
  <c r="N39" i="18"/>
  <c r="AQ75" i="18"/>
  <c r="AS27" i="18"/>
  <c r="L38" i="18"/>
  <c r="AA28" i="24"/>
  <c r="AS108" i="18"/>
  <c r="AH20" i="17"/>
  <c r="AQ74" i="18"/>
  <c r="AT43" i="18"/>
  <c r="AQ36" i="18"/>
  <c r="AR31" i="18"/>
  <c r="AP99" i="18"/>
  <c r="AD29" i="18"/>
  <c r="AT100" i="18"/>
  <c r="AM24" i="17"/>
  <c r="L102" i="18"/>
  <c r="AT35" i="18"/>
  <c r="N73" i="18"/>
  <c r="AP20" i="18"/>
  <c r="L36" i="23"/>
  <c r="L36" i="24" s="1"/>
  <c r="AO98" i="18"/>
  <c r="AR100" i="18"/>
  <c r="AS102" i="18"/>
  <c r="AL28" i="17"/>
  <c r="AP88" i="18"/>
  <c r="AR102" i="18"/>
  <c r="AP93" i="18"/>
  <c r="AF26" i="18"/>
  <c r="AO32" i="18"/>
  <c r="AQ61" i="18"/>
  <c r="O22" i="23"/>
  <c r="M30" i="18"/>
  <c r="AN49" i="18"/>
  <c r="AN94" i="18"/>
  <c r="AR50" i="18"/>
  <c r="AR68" i="18"/>
  <c r="M89" i="23"/>
  <c r="AN93" i="18"/>
  <c r="AR80" i="18"/>
  <c r="AS105" i="18"/>
  <c r="L85" i="24"/>
  <c r="L53" i="23"/>
  <c r="AS95" i="18"/>
  <c r="AN23" i="18"/>
  <c r="AR89" i="18"/>
  <c r="AT73" i="18"/>
  <c r="N78" i="18"/>
  <c r="L48" i="18"/>
  <c r="L50" i="18"/>
  <c r="L31" i="18"/>
  <c r="AT91" i="18"/>
  <c r="AS23" i="18"/>
  <c r="AS82" i="18"/>
  <c r="AN34" i="18"/>
  <c r="L98" i="18"/>
  <c r="AF24" i="18"/>
  <c r="L105" i="23"/>
  <c r="AS97" i="18"/>
  <c r="AQ66" i="18"/>
  <c r="AO62" i="18"/>
  <c r="N100" i="18"/>
  <c r="X22" i="17"/>
  <c r="AQ85" i="18"/>
  <c r="AP28" i="18"/>
  <c r="AT74" i="18"/>
  <c r="AP85" i="18"/>
  <c r="M60" i="18"/>
  <c r="Z24" i="17"/>
  <c r="AP84" i="18"/>
  <c r="AQ77" i="18"/>
  <c r="AN28" i="24"/>
  <c r="M88" i="18"/>
  <c r="AC25" i="24"/>
  <c r="AP59" i="18"/>
  <c r="AS78" i="18"/>
  <c r="L58" i="18"/>
  <c r="L21" i="18"/>
  <c r="AR30" i="18"/>
  <c r="M20" i="17"/>
  <c r="AR97" i="18"/>
  <c r="M87" i="18"/>
  <c r="L22" i="18"/>
  <c r="AP101" i="18"/>
  <c r="AN41" i="18"/>
  <c r="N53" i="18"/>
  <c r="AP92" i="18"/>
  <c r="AN47" i="18"/>
  <c r="AR93" i="18"/>
  <c r="M71" i="18"/>
  <c r="AS96" i="18"/>
  <c r="AP48" i="18"/>
  <c r="AE28" i="18"/>
  <c r="AQ84" i="18"/>
  <c r="AN72" i="18"/>
  <c r="AG23" i="17"/>
  <c r="AN37" i="18"/>
  <c r="AM26" i="17"/>
  <c r="AO67" i="18"/>
  <c r="N34" i="18"/>
  <c r="L58" i="23"/>
  <c r="N52" i="18"/>
  <c r="AN105" i="18"/>
  <c r="AO85" i="18"/>
  <c r="AT63" i="18"/>
  <c r="L73" i="18"/>
  <c r="AO89" i="18"/>
  <c r="AN92" i="18"/>
  <c r="M70" i="18"/>
  <c r="AP35" i="18"/>
  <c r="AP96" i="18"/>
  <c r="M40" i="18"/>
  <c r="AS67" i="18"/>
  <c r="AN25" i="18"/>
  <c r="AO51" i="18"/>
  <c r="AU29" i="18"/>
  <c r="AT55" i="18"/>
  <c r="AR46" i="18"/>
  <c r="AO25" i="18"/>
  <c r="AE29" i="18"/>
  <c r="AQ101" i="18"/>
  <c r="AQ47" i="18"/>
  <c r="AN50" i="18"/>
  <c r="AN85" i="18"/>
  <c r="AG22" i="17"/>
  <c r="AP63" i="18"/>
  <c r="M88" i="23"/>
  <c r="AR40" i="18"/>
  <c r="AL23" i="17"/>
  <c r="AQ107" i="18"/>
  <c r="AT30" i="18"/>
  <c r="AK25" i="17"/>
  <c r="AH28" i="17"/>
  <c r="AJ25" i="17"/>
  <c r="AO40" i="18"/>
  <c r="AR29" i="18"/>
  <c r="AR81" i="18"/>
  <c r="L89" i="18"/>
  <c r="N106" i="18"/>
  <c r="AS69" i="18"/>
  <c r="M48" i="18"/>
  <c r="AH25" i="17"/>
  <c r="AT89" i="18"/>
  <c r="AP66" i="18"/>
  <c r="AI20" i="17"/>
  <c r="AO83" i="18"/>
  <c r="M75" i="18"/>
  <c r="AA22" i="17"/>
  <c r="N85" i="23"/>
  <c r="L68" i="18"/>
  <c r="N80" i="23"/>
  <c r="AR38" i="18"/>
  <c r="M58" i="18"/>
  <c r="L54" i="24"/>
  <c r="M52" i="18"/>
  <c r="AS104" i="18"/>
  <c r="AP78" i="18"/>
  <c r="M36" i="18"/>
  <c r="N65" i="18"/>
  <c r="N100" i="23"/>
  <c r="N36" i="18"/>
  <c r="AT46" i="18"/>
  <c r="M44" i="18"/>
  <c r="AN61" i="18"/>
  <c r="AP108" i="18"/>
  <c r="AN90" i="18"/>
  <c r="Y22" i="17"/>
  <c r="N55" i="18"/>
  <c r="AI30" i="17"/>
  <c r="AA25" i="24"/>
  <c r="AT101" i="18"/>
  <c r="Z20" i="17"/>
  <c r="AO55" i="18"/>
  <c r="N59" i="18"/>
  <c r="AQ34" i="18"/>
  <c r="AP52" i="18"/>
  <c r="AT45" i="18"/>
  <c r="N38" i="18"/>
  <c r="AS39" i="18"/>
  <c r="AT102" i="18"/>
  <c r="M57" i="18"/>
  <c r="AT23" i="18"/>
  <c r="AS36" i="18"/>
  <c r="N71" i="18"/>
  <c r="AB32" i="18"/>
  <c r="AR65" i="18"/>
  <c r="P22" i="18"/>
  <c r="P22" i="23" s="1"/>
  <c r="AT64" i="18"/>
  <c r="AS99" i="18"/>
  <c r="AK23" i="17"/>
  <c r="AN54" i="18"/>
  <c r="M103" i="23"/>
  <c r="AA26" i="23"/>
  <c r="N56" i="23"/>
  <c r="AS106" i="18"/>
  <c r="M98" i="23"/>
  <c r="N39" i="23"/>
  <c r="AS44" i="18"/>
  <c r="M96" i="24"/>
  <c r="M102" i="18"/>
  <c r="O22" i="24"/>
  <c r="N93" i="23"/>
  <c r="L43" i="18"/>
  <c r="AR103" i="18"/>
  <c r="AF26" i="23"/>
  <c r="AC32" i="18"/>
  <c r="AC23" i="18"/>
  <c r="AA25" i="17"/>
  <c r="AA32" i="18"/>
  <c r="M62" i="23"/>
  <c r="L94" i="23"/>
  <c r="N78" i="23"/>
  <c r="AK21" i="17"/>
  <c r="L101" i="23"/>
  <c r="M22" i="18"/>
  <c r="AQ79" i="18"/>
  <c r="L57" i="18"/>
  <c r="AI22" i="17"/>
  <c r="M60" i="23"/>
  <c r="AN69" i="18"/>
  <c r="AQ104" i="18"/>
  <c r="AP83" i="18"/>
  <c r="M110" i="18"/>
  <c r="N104" i="18"/>
  <c r="AS43" i="18"/>
  <c r="AE24" i="18"/>
  <c r="L63" i="23"/>
  <c r="AO20" i="18"/>
  <c r="AS64" i="18"/>
  <c r="AR43" i="18"/>
  <c r="AQ86" i="18"/>
  <c r="N37" i="23"/>
  <c r="L52" i="23"/>
  <c r="AP29" i="18"/>
  <c r="AJ24" i="17"/>
  <c r="L35" i="18"/>
  <c r="AI24" i="17"/>
  <c r="AR98" i="18"/>
  <c r="N97" i="24"/>
  <c r="M69" i="23"/>
  <c r="M90" i="18"/>
  <c r="AQ108" i="18"/>
  <c r="AO58" i="18"/>
  <c r="AA31" i="18"/>
  <c r="AT93" i="18"/>
  <c r="AO35" i="18"/>
  <c r="AQ62" i="18"/>
  <c r="AG28" i="17"/>
  <c r="AT104" i="18"/>
  <c r="AQ42" i="18"/>
  <c r="L45" i="18"/>
  <c r="AO44" i="18"/>
  <c r="M82" i="18"/>
  <c r="AT44" i="18"/>
  <c r="AD24" i="18"/>
  <c r="AU25" i="18"/>
  <c r="AP24" i="18"/>
  <c r="L86" i="18"/>
  <c r="AT80" i="18"/>
  <c r="N64" i="18"/>
  <c r="N64" i="23" s="1"/>
  <c r="AC27" i="18"/>
  <c r="AS60" i="18"/>
  <c r="AS101" i="18"/>
  <c r="AK30" i="17"/>
  <c r="L39" i="18"/>
  <c r="N32" i="18"/>
  <c r="AN82" i="18"/>
  <c r="AG20" i="17"/>
  <c r="AP91" i="18"/>
  <c r="AO76" i="18"/>
  <c r="AT77" i="18"/>
  <c r="AT54" i="18"/>
  <c r="AH22" i="17"/>
  <c r="L96" i="18"/>
  <c r="AL26" i="17"/>
  <c r="AO101" i="18"/>
  <c r="L78" i="24"/>
  <c r="P22" i="24"/>
  <c r="L73" i="23"/>
  <c r="AT66" i="18"/>
  <c r="M34" i="23"/>
  <c r="L91" i="18"/>
  <c r="AL22" i="17"/>
  <c r="AP25" i="18"/>
  <c r="N79" i="23"/>
  <c r="N79" i="24" s="1"/>
  <c r="L105" i="24"/>
  <c r="AB28" i="18"/>
  <c r="AR96" i="18"/>
  <c r="AS98" i="18"/>
  <c r="L38" i="23"/>
  <c r="AS40" i="18"/>
  <c r="M81" i="18"/>
  <c r="K20" i="17"/>
  <c r="AP42" i="18"/>
  <c r="AG21" i="17"/>
  <c r="N78" i="24"/>
  <c r="AQ109" i="18"/>
  <c r="M36" i="23"/>
  <c r="AT75" i="18"/>
  <c r="L87" i="23"/>
  <c r="M92" i="24"/>
  <c r="AF28" i="18"/>
  <c r="AD27" i="23"/>
  <c r="N84" i="23"/>
  <c r="AQ91" i="18"/>
  <c r="L50" i="23"/>
  <c r="M107" i="23"/>
  <c r="AS94" i="18"/>
  <c r="L83" i="23"/>
  <c r="L56" i="18"/>
  <c r="L56" i="23" s="1"/>
  <c r="AO78" i="18"/>
  <c r="AT68" i="18"/>
  <c r="L34" i="18"/>
  <c r="AR86" i="18"/>
  <c r="AR67" i="18"/>
  <c r="AM22" i="17"/>
  <c r="N81" i="23"/>
  <c r="AJ28" i="17"/>
  <c r="AT36" i="18"/>
  <c r="AT99" i="18"/>
  <c r="AO24" i="18"/>
  <c r="L60" i="23"/>
  <c r="AS92" i="18"/>
  <c r="AO28" i="24"/>
  <c r="M101" i="18"/>
  <c r="AT87" i="18"/>
  <c r="AU27" i="18"/>
  <c r="AT76" i="18"/>
  <c r="L91" i="23"/>
  <c r="AN70" i="18"/>
  <c r="AI25" i="17"/>
  <c r="AR60" i="18"/>
  <c r="AN30" i="18"/>
  <c r="AI21" i="17"/>
  <c r="AM29" i="17"/>
  <c r="AT86" i="18"/>
  <c r="N57" i="18"/>
  <c r="AT67" i="18"/>
  <c r="AT21" i="18"/>
  <c r="M108" i="18"/>
  <c r="AO56" i="18"/>
  <c r="AQ81" i="18"/>
  <c r="N98" i="18"/>
  <c r="AT82" i="18"/>
  <c r="AP89" i="18"/>
  <c r="L31" i="23"/>
  <c r="L31" i="24" s="1"/>
  <c r="AO68" i="18"/>
  <c r="AQ46" i="18"/>
  <c r="AS100" i="18"/>
  <c r="M71" i="23"/>
  <c r="M71" i="24" s="1"/>
  <c r="M91" i="18"/>
  <c r="AR69" i="18"/>
  <c r="AC29" i="18"/>
  <c r="AN34" i="26"/>
  <c r="AQ51" i="18"/>
  <c r="AQ49" i="18"/>
  <c r="N61" i="18"/>
  <c r="N61" i="23" s="1"/>
  <c r="AR22" i="18"/>
  <c r="N77" i="23"/>
  <c r="N77" i="24" s="1"/>
  <c r="AF32" i="18"/>
  <c r="AR42" i="18"/>
  <c r="AT34" i="18"/>
  <c r="N83" i="18"/>
  <c r="N40" i="18"/>
  <c r="M56" i="18"/>
  <c r="L39" i="23"/>
  <c r="AN96" i="18"/>
  <c r="L103" i="24"/>
  <c r="AD25" i="23"/>
  <c r="AB25" i="24"/>
  <c r="AC24" i="18"/>
  <c r="M64" i="24"/>
  <c r="AS31" i="18"/>
  <c r="AH23" i="17"/>
  <c r="L65" i="18"/>
  <c r="L65" i="23" s="1"/>
  <c r="AQ103" i="18"/>
  <c r="Y20" i="17"/>
  <c r="AC28" i="24"/>
  <c r="M109" i="18"/>
  <c r="M101" i="23"/>
  <c r="AJ27" i="17"/>
  <c r="AN88" i="18"/>
  <c r="N65" i="23"/>
  <c r="N48" i="23"/>
  <c r="AP32" i="18"/>
  <c r="AS55" i="18"/>
  <c r="AN77" i="18"/>
  <c r="L32" i="23"/>
  <c r="AN32" i="26"/>
  <c r="M97" i="23"/>
  <c r="M48" i="23"/>
  <c r="L102" i="23"/>
  <c r="N108" i="23"/>
  <c r="L46" i="23"/>
  <c r="AR66" i="18"/>
  <c r="AD28" i="18"/>
  <c r="AF22" i="18"/>
  <c r="AO93" i="18"/>
  <c r="AE32" i="18"/>
  <c r="AR101" i="18"/>
  <c r="N35" i="23"/>
  <c r="AQ110" i="18"/>
  <c r="AQ50" i="18"/>
  <c r="AS107" i="18"/>
  <c r="L62" i="23"/>
  <c r="AT78" i="18"/>
  <c r="AS93" i="18"/>
  <c r="AS52" i="18"/>
  <c r="AQ57" i="18"/>
  <c r="L79" i="18"/>
  <c r="L79" i="23" s="1"/>
  <c r="AP76" i="18"/>
  <c r="AO66" i="18"/>
  <c r="X25" i="17"/>
  <c r="AS80" i="18"/>
  <c r="AP73" i="18"/>
  <c r="M40" i="23"/>
  <c r="L92" i="18"/>
  <c r="AO34" i="18"/>
  <c r="AP51" i="18"/>
  <c r="AO109" i="18"/>
  <c r="AR51" i="18"/>
  <c r="AS65" i="18"/>
  <c r="L84" i="23"/>
  <c r="M79" i="18"/>
  <c r="M55" i="18"/>
  <c r="AO72" i="18"/>
  <c r="L55" i="23"/>
  <c r="AO108" i="18"/>
  <c r="N64" i="24"/>
  <c r="AS74" i="18"/>
  <c r="AD25" i="24"/>
  <c r="AK22" i="17"/>
  <c r="AU28" i="18"/>
  <c r="AP49" i="18"/>
  <c r="AL30" i="17"/>
  <c r="AO26" i="18"/>
  <c r="AR58" i="18"/>
  <c r="AP50" i="18"/>
  <c r="N82" i="18"/>
  <c r="N82" i="23" s="1"/>
  <c r="AT92" i="18"/>
  <c r="AO100" i="18"/>
  <c r="M53" i="18"/>
  <c r="AP30" i="18"/>
  <c r="AN107" i="18"/>
  <c r="AN52" i="18"/>
  <c r="AI28" i="17"/>
  <c r="AO46" i="18"/>
  <c r="AS20" i="18"/>
  <c r="AQ45" i="18"/>
  <c r="AE27" i="18"/>
  <c r="AT52" i="18"/>
  <c r="M39" i="18"/>
  <c r="AR85" i="18"/>
  <c r="AP87" i="18"/>
  <c r="M84" i="23"/>
  <c r="M84" i="24" s="1"/>
  <c r="N94" i="23"/>
  <c r="AA21" i="17"/>
  <c r="AP57" i="18"/>
  <c r="L90" i="18"/>
  <c r="N34" i="23"/>
  <c r="L49" i="23"/>
  <c r="M37" i="18"/>
  <c r="AO41" i="18"/>
  <c r="AI29" i="17"/>
  <c r="AP60" i="18"/>
  <c r="AO45" i="18"/>
  <c r="AH24" i="17"/>
  <c r="N101" i="23"/>
  <c r="N76" i="24"/>
  <c r="AR39" i="18"/>
  <c r="L59" i="23"/>
  <c r="AB30" i="18"/>
  <c r="AJ21" i="17"/>
  <c r="M41" i="18"/>
  <c r="L77" i="18"/>
  <c r="AN35" i="18"/>
  <c r="AH30" i="17"/>
  <c r="L92" i="23"/>
  <c r="M54" i="23"/>
  <c r="O21" i="23"/>
  <c r="AC25" i="23"/>
  <c r="L34" i="23"/>
  <c r="AR83" i="18"/>
  <c r="AH21" i="17"/>
  <c r="AO22" i="18"/>
  <c r="M74" i="18"/>
  <c r="AR78" i="18"/>
  <c r="N75" i="24"/>
  <c r="N66" i="23"/>
  <c r="AN55" i="18"/>
  <c r="AN28" i="18"/>
  <c r="M98" i="24"/>
  <c r="AB25" i="23"/>
  <c r="AH27" i="17"/>
  <c r="AQ59" i="18"/>
  <c r="AQ32" i="18"/>
  <c r="M76" i="24"/>
  <c r="M87" i="23"/>
  <c r="N59" i="23"/>
  <c r="AQ82" i="18"/>
  <c r="AO30" i="18"/>
  <c r="AQ37" i="18"/>
  <c r="AH26" i="17"/>
  <c r="N67" i="23"/>
  <c r="N68" i="18"/>
  <c r="AB24" i="18"/>
  <c r="AR88" i="18"/>
  <c r="AQ71" i="18"/>
  <c r="AE22" i="18"/>
  <c r="AL27" i="17"/>
  <c r="AS66" i="18"/>
  <c r="AT60" i="18"/>
  <c r="AT37" i="18"/>
  <c r="AO97" i="18"/>
  <c r="AT70" i="18"/>
  <c r="M103" i="24"/>
  <c r="AQ27" i="18"/>
  <c r="M43" i="24"/>
  <c r="L108" i="18"/>
  <c r="AR23" i="18"/>
  <c r="AT61" i="18"/>
  <c r="M83" i="18"/>
  <c r="L61" i="18"/>
  <c r="AN89" i="18"/>
  <c r="AS86" i="18"/>
  <c r="N65" i="24"/>
  <c r="L22" i="23"/>
  <c r="AN33" i="18"/>
  <c r="M105" i="18"/>
  <c r="M105" i="23" s="1"/>
  <c r="M105" i="24" s="1"/>
  <c r="AN24" i="18"/>
  <c r="AS25" i="18"/>
  <c r="AO54" i="18"/>
  <c r="AO33" i="18"/>
  <c r="AC27" i="23"/>
  <c r="AS89" i="18"/>
  <c r="AT71" i="18"/>
  <c r="AN109" i="18"/>
  <c r="AO110" i="18"/>
  <c r="AR87" i="18"/>
  <c r="AA26" i="18"/>
  <c r="L20" i="18"/>
  <c r="L20" i="23" s="1"/>
  <c r="AK24" i="17"/>
  <c r="N47" i="18"/>
  <c r="AA25" i="23"/>
  <c r="M21" i="17"/>
  <c r="AQ39" i="18"/>
  <c r="M104" i="18"/>
  <c r="M104" i="23" s="1"/>
  <c r="M104" i="24" s="1"/>
  <c r="AF25" i="18"/>
  <c r="AP100" i="18"/>
  <c r="L100" i="18"/>
  <c r="AQ78" i="18"/>
  <c r="AP47" i="18"/>
  <c r="AQ58" i="18"/>
  <c r="AT58" i="18"/>
  <c r="AT72" i="18"/>
  <c r="AS81" i="18"/>
  <c r="AJ23" i="17"/>
  <c r="AD28" i="24"/>
  <c r="O20" i="18"/>
  <c r="P21" i="23"/>
  <c r="AO90" i="18"/>
  <c r="N51" i="24"/>
  <c r="AS110" i="18"/>
  <c r="N54" i="18"/>
  <c r="AQ30" i="18"/>
  <c r="AO63" i="18"/>
  <c r="AO75" i="18"/>
  <c r="AR41" i="18"/>
  <c r="L48" i="23"/>
  <c r="M85" i="18"/>
  <c r="AQ94" i="18"/>
  <c r="N89" i="23"/>
  <c r="N89" i="24" s="1"/>
  <c r="L81" i="23"/>
  <c r="AN98" i="18"/>
  <c r="N85" i="24"/>
  <c r="AT83" i="18"/>
  <c r="AP64" i="18"/>
  <c r="AN108" i="18"/>
  <c r="AR52" i="18"/>
  <c r="M72" i="18"/>
  <c r="AN40" i="18"/>
  <c r="AE23" i="23"/>
  <c r="AO87" i="18"/>
  <c r="AT26" i="18"/>
  <c r="AA24" i="18"/>
  <c r="M101" i="24"/>
  <c r="N71" i="23"/>
  <c r="AP104" i="18"/>
  <c r="N45" i="18"/>
  <c r="N45" i="23" s="1"/>
  <c r="N102" i="18"/>
  <c r="N102" i="23" s="1"/>
  <c r="AO86" i="18"/>
  <c r="AP62" i="18"/>
  <c r="AS90" i="18"/>
  <c r="AD26" i="23"/>
  <c r="AQ90" i="18"/>
  <c r="AG24" i="17"/>
  <c r="AS37" i="18"/>
  <c r="N109" i="23"/>
  <c r="M86" i="18"/>
  <c r="N33" i="18"/>
  <c r="N33" i="23" s="1"/>
  <c r="AN110" i="18"/>
  <c r="AO79" i="18"/>
  <c r="AN58" i="18"/>
  <c r="AS26" i="18"/>
  <c r="AR95" i="18"/>
  <c r="AN29" i="24"/>
  <c r="M44" i="23"/>
  <c r="M42" i="18"/>
  <c r="M90" i="23"/>
  <c r="L21" i="23"/>
  <c r="L76" i="18"/>
  <c r="L76" i="23" s="1"/>
  <c r="L22" i="17"/>
  <c r="AR108" i="18"/>
  <c r="AA24" i="17"/>
  <c r="N74" i="18"/>
  <c r="M80" i="18"/>
  <c r="L90" i="23"/>
  <c r="L104" i="24"/>
  <c r="AT105" i="18"/>
  <c r="L44" i="23"/>
  <c r="AS46" i="18"/>
  <c r="L71" i="18"/>
  <c r="AN39" i="18"/>
  <c r="AO71" i="18"/>
  <c r="AR84" i="18"/>
  <c r="AJ26" i="17"/>
  <c r="L51" i="18"/>
  <c r="L51" i="23" s="1"/>
  <c r="L51" i="24" s="1"/>
  <c r="AL20" i="17"/>
  <c r="AP82" i="18"/>
  <c r="AR70" i="18"/>
  <c r="AQ93" i="18"/>
  <c r="L99" i="18"/>
  <c r="AQ33" i="18"/>
  <c r="AR76" i="18"/>
  <c r="AQ25" i="18"/>
  <c r="AQ35" i="18"/>
  <c r="N69" i="18"/>
  <c r="N69" i="23" s="1"/>
  <c r="N69" i="24" s="1"/>
  <c r="AQ60" i="18"/>
  <c r="AP71" i="18"/>
  <c r="AU30" i="18"/>
  <c r="AD31" i="18"/>
  <c r="X23" i="17"/>
  <c r="M38" i="18"/>
  <c r="L80" i="23"/>
  <c r="N44" i="23"/>
  <c r="N44" i="24" s="1"/>
  <c r="AS77" i="18"/>
  <c r="Y25" i="17"/>
  <c r="AO69" i="18"/>
  <c r="M46" i="18"/>
  <c r="M46" i="23" s="1"/>
  <c r="L66" i="23"/>
  <c r="L66" i="24" s="1"/>
  <c r="AN78" i="18"/>
  <c r="AP23" i="18"/>
  <c r="AP70" i="18"/>
  <c r="M88" i="24"/>
  <c r="AO27" i="18"/>
  <c r="M50" i="24"/>
  <c r="AN22" i="18"/>
  <c r="AQ64" i="18"/>
  <c r="N110" i="18"/>
  <c r="AM28" i="17"/>
  <c r="AQ28" i="18"/>
  <c r="L47" i="18"/>
  <c r="L99" i="23"/>
  <c r="AQ24" i="18"/>
  <c r="AN35" i="26"/>
  <c r="L59" i="24"/>
  <c r="AF28" i="24"/>
  <c r="AS34" i="18"/>
  <c r="AP68" i="18"/>
  <c r="AO94" i="18"/>
  <c r="Y23" i="17"/>
  <c r="M32" i="18"/>
  <c r="AJ20" i="17"/>
  <c r="M45" i="23"/>
  <c r="L52" i="24"/>
  <c r="M65" i="18"/>
  <c r="L39" i="24"/>
  <c r="L64" i="18"/>
  <c r="L67" i="23"/>
  <c r="L67" i="24" s="1"/>
  <c r="AG26" i="17"/>
  <c r="L107" i="18"/>
  <c r="L110" i="18"/>
  <c r="AT109" i="18"/>
  <c r="N36" i="23"/>
  <c r="X21" i="17"/>
  <c r="AD30" i="18"/>
  <c r="AS58" i="18"/>
  <c r="L40" i="23"/>
  <c r="L82" i="18"/>
  <c r="M28" i="18"/>
  <c r="L70" i="23"/>
  <c r="N106" i="23"/>
  <c r="N99" i="23"/>
  <c r="AE23" i="18"/>
  <c r="L72" i="23"/>
  <c r="AS47" i="18"/>
  <c r="N43" i="23"/>
  <c r="L89" i="23"/>
  <c r="AN60" i="18"/>
  <c r="AI27" i="17"/>
  <c r="AR27" i="18"/>
  <c r="K22" i="17"/>
  <c r="AT51" i="18"/>
  <c r="AP46" i="18"/>
  <c r="M106" i="18"/>
  <c r="AN43" i="18"/>
  <c r="AQ55" i="18"/>
  <c r="AQ102" i="18"/>
  <c r="L74" i="18"/>
  <c r="L74" i="23" s="1"/>
  <c r="AS109" i="18"/>
  <c r="AR61" i="18"/>
  <c r="AI26" i="17"/>
  <c r="AD25" i="18"/>
  <c r="L106" i="18"/>
  <c r="L106" i="23" s="1"/>
  <c r="AN83" i="18"/>
  <c r="AO74" i="18"/>
  <c r="AP107" i="18"/>
  <c r="N92" i="18"/>
  <c r="P20" i="23"/>
  <c r="P20" i="24" s="1"/>
  <c r="AR28" i="18"/>
  <c r="N70" i="18"/>
  <c r="N70" i="23" s="1"/>
  <c r="AR25" i="18"/>
  <c r="AO38" i="18"/>
  <c r="M77" i="23"/>
  <c r="M77" i="24" s="1"/>
  <c r="M59" i="18"/>
  <c r="AT88" i="18"/>
  <c r="AO81" i="18"/>
  <c r="AQ48" i="18"/>
  <c r="AT106" i="18"/>
  <c r="M33" i="23"/>
  <c r="N63" i="18"/>
  <c r="M95" i="18"/>
  <c r="N91" i="23"/>
  <c r="R76" i="23" l="1"/>
  <c r="S76" i="23" s="1"/>
  <c r="R90" i="23"/>
  <c r="S90" i="23" s="1"/>
  <c r="R40" i="23"/>
  <c r="S40" i="23" s="1"/>
  <c r="R62" i="23"/>
  <c r="S62" i="23" s="1"/>
  <c r="R85" i="23"/>
  <c r="S85" i="23" s="1"/>
  <c r="R42" i="23"/>
  <c r="R53" i="23"/>
  <c r="S53" i="23" s="1"/>
  <c r="R50" i="23"/>
  <c r="S50" i="23" s="1"/>
  <c r="R39" i="23"/>
  <c r="S39" i="23" s="1"/>
  <c r="R44" i="23"/>
  <c r="S44" i="23" s="1"/>
  <c r="AI25" i="23"/>
  <c r="R76" i="18"/>
  <c r="AH24" i="18"/>
  <c r="AK28" i="18"/>
  <c r="R90" i="18"/>
  <c r="S90" i="18" s="1"/>
  <c r="AJ24" i="18"/>
  <c r="R72" i="23"/>
  <c r="S72" i="23" s="1"/>
  <c r="R56" i="23"/>
  <c r="R91" i="23"/>
  <c r="S91" i="23" s="1"/>
  <c r="R49" i="23"/>
  <c r="S49" i="23" s="1"/>
  <c r="R54" i="23"/>
  <c r="R34" i="23"/>
  <c r="S34" i="23" s="1"/>
  <c r="R52" i="23"/>
  <c r="S52" i="23" s="1"/>
  <c r="R58" i="23"/>
  <c r="R83" i="23"/>
  <c r="S83" i="23" s="1"/>
  <c r="R92" i="23"/>
  <c r="S92" i="23" s="1"/>
  <c r="R63" i="23"/>
  <c r="S63" i="23" s="1"/>
  <c r="R22" i="23"/>
  <c r="R60" i="23"/>
  <c r="S60" i="23" s="1"/>
  <c r="R73" i="23"/>
  <c r="S73" i="23" s="1"/>
  <c r="R102" i="23"/>
  <c r="S102" i="23" s="1"/>
  <c r="R74" i="23"/>
  <c r="S74" i="23" s="1"/>
  <c r="AG26" i="18"/>
  <c r="R107" i="18"/>
  <c r="R48" i="23"/>
  <c r="S48" i="23" s="1"/>
  <c r="D25" i="24"/>
  <c r="R101" i="23"/>
  <c r="S101" i="23" s="1"/>
  <c r="R38" i="23"/>
  <c r="S38" i="23" s="1"/>
  <c r="R70" i="23"/>
  <c r="S70" i="23" s="1"/>
  <c r="R55" i="23"/>
  <c r="R59" i="23"/>
  <c r="S59" i="23" s="1"/>
  <c r="R31" i="23"/>
  <c r="S31" i="23" s="1"/>
  <c r="R32" i="23"/>
  <c r="S32" i="23" s="1"/>
  <c r="R94" i="23"/>
  <c r="S94" i="23" s="1"/>
  <c r="R46" i="23"/>
  <c r="S46" i="23" s="1"/>
  <c r="R79" i="23"/>
  <c r="R47" i="18"/>
  <c r="S47" i="18" s="1"/>
  <c r="AI30" i="18"/>
  <c r="AK27" i="18"/>
  <c r="AI27" i="23"/>
  <c r="AI23" i="18"/>
  <c r="R61" i="18"/>
  <c r="S61" i="18" s="1"/>
  <c r="R20" i="23"/>
  <c r="S20" i="23"/>
  <c r="R67" i="23"/>
  <c r="S67" i="23" s="1"/>
  <c r="R40" i="18"/>
  <c r="R110" i="18"/>
  <c r="S110" i="18" s="1"/>
  <c r="R62" i="18"/>
  <c r="R35" i="18"/>
  <c r="S35" i="18" s="1"/>
  <c r="AI28" i="18"/>
  <c r="R57" i="18"/>
  <c r="S57" i="18" s="1"/>
  <c r="R85" i="18"/>
  <c r="S85" i="18" s="1"/>
  <c r="R92" i="18"/>
  <c r="S92" i="18" s="1"/>
  <c r="R106" i="23"/>
  <c r="S106" i="23" s="1"/>
  <c r="R89" i="23"/>
  <c r="R65" i="23"/>
  <c r="S65" i="23" s="1"/>
  <c r="R66" i="23"/>
  <c r="S66" i="23" s="1"/>
  <c r="R95" i="18"/>
  <c r="S95" i="18" s="1"/>
  <c r="R87" i="23"/>
  <c r="S87" i="23" s="1"/>
  <c r="R21" i="23"/>
  <c r="R36" i="23"/>
  <c r="S36" i="23" s="1"/>
  <c r="R99" i="23"/>
  <c r="S99" i="23" s="1"/>
  <c r="AG25" i="24"/>
  <c r="R105" i="23"/>
  <c r="R41" i="23"/>
  <c r="S41" i="23" s="1"/>
  <c r="Q21" i="23"/>
  <c r="R43" i="18"/>
  <c r="R36" i="18"/>
  <c r="AJ27" i="18"/>
  <c r="R73" i="18"/>
  <c r="R78" i="23"/>
  <c r="S78" i="23" s="1"/>
  <c r="Q20" i="23"/>
  <c r="AJ31" i="18"/>
  <c r="R104" i="23"/>
  <c r="S104" i="23" s="1"/>
  <c r="R103" i="23"/>
  <c r="AN22" i="17"/>
  <c r="R42" i="18"/>
  <c r="S42" i="18" s="1"/>
  <c r="D25" i="18"/>
  <c r="R81" i="23"/>
  <c r="S81" i="23" s="1"/>
  <c r="AH25" i="24"/>
  <c r="Q22" i="23"/>
  <c r="AI25" i="24"/>
  <c r="R51" i="23"/>
  <c r="S51" i="23" s="1"/>
  <c r="R84" i="23"/>
  <c r="S84" i="23" s="1"/>
  <c r="R49" i="18"/>
  <c r="S49" i="18" s="1"/>
  <c r="D23" i="18"/>
  <c r="R109" i="18"/>
  <c r="R37" i="18"/>
  <c r="S37" i="18" s="1"/>
  <c r="AI24" i="18"/>
  <c r="R66" i="18"/>
  <c r="S66" i="18" s="1"/>
  <c r="D25" i="23"/>
  <c r="AI32" i="18"/>
  <c r="AA19" i="17"/>
  <c r="R78" i="18"/>
  <c r="R80" i="23"/>
  <c r="S80" i="23" s="1"/>
  <c r="AK31" i="18"/>
  <c r="AH25" i="23"/>
  <c r="R105" i="18"/>
  <c r="S105" i="18" s="1"/>
  <c r="R38" i="18"/>
  <c r="S38" i="18" s="1"/>
  <c r="R94" i="18"/>
  <c r="AJ25" i="18"/>
  <c r="R70" i="18"/>
  <c r="R39" i="18"/>
  <c r="Q20" i="18"/>
  <c r="AI27" i="18"/>
  <c r="R80" i="18"/>
  <c r="R74" i="18"/>
  <c r="AK23" i="18"/>
  <c r="R98" i="18"/>
  <c r="S98" i="18" s="1"/>
  <c r="R88" i="18"/>
  <c r="R48" i="18"/>
  <c r="R108" i="18"/>
  <c r="S108" i="18" s="1"/>
  <c r="AH26" i="18"/>
  <c r="R59" i="18"/>
  <c r="R68" i="18"/>
  <c r="S68" i="18" s="1"/>
  <c r="AK30" i="18"/>
  <c r="R72" i="18"/>
  <c r="R44" i="18"/>
  <c r="S44" i="18" s="1"/>
  <c r="R22" i="18"/>
  <c r="R54" i="18"/>
  <c r="S54" i="18" s="1"/>
  <c r="R41" i="18"/>
  <c r="R29" i="18"/>
  <c r="AH29" i="18" s="1"/>
  <c r="Q22" i="18"/>
  <c r="R89" i="18"/>
  <c r="R75" i="18"/>
  <c r="R28" i="18"/>
  <c r="AH28" i="18" s="1"/>
  <c r="AJ23" i="23"/>
  <c r="R20" i="18"/>
  <c r="S20" i="18"/>
  <c r="AJ30" i="18"/>
  <c r="O21" i="17"/>
  <c r="Q21" i="17" s="1"/>
  <c r="R104" i="18"/>
  <c r="S104" i="18" s="1"/>
  <c r="AI29" i="18"/>
  <c r="AI31" i="18"/>
  <c r="R106" i="18"/>
  <c r="R99" i="18"/>
  <c r="S99" i="18" s="1"/>
  <c r="R58" i="18"/>
  <c r="S58" i="18" s="1"/>
  <c r="AG26" i="23"/>
  <c r="R93" i="18"/>
  <c r="S93" i="18" s="1"/>
  <c r="AG24" i="18"/>
  <c r="AH26" i="23"/>
  <c r="R55" i="18"/>
  <c r="O20" i="17"/>
  <c r="Q20" i="17" s="1"/>
  <c r="L20" i="17" s="1"/>
  <c r="AG25" i="23"/>
  <c r="X19" i="17"/>
  <c r="Q21" i="18"/>
  <c r="D26" i="18"/>
  <c r="R56" i="18"/>
  <c r="R32" i="18"/>
  <c r="S32" i="18" s="1"/>
  <c r="R52" i="18"/>
  <c r="AK25" i="23"/>
  <c r="D26" i="23"/>
  <c r="AN21" i="17"/>
  <c r="AH27" i="18"/>
  <c r="R51" i="18"/>
  <c r="AH25" i="18"/>
  <c r="R46" i="18"/>
  <c r="S46" i="18" s="1"/>
  <c r="AI22" i="18"/>
  <c r="AI26" i="18"/>
  <c r="R50" i="18"/>
  <c r="S50" i="18" s="1"/>
  <c r="R103" i="18"/>
  <c r="AI25" i="18"/>
  <c r="R30" i="18"/>
  <c r="S30" i="18" s="1"/>
  <c r="R100" i="18"/>
  <c r="S100" i="18" s="1"/>
  <c r="AJ23" i="18"/>
  <c r="R34" i="18"/>
  <c r="R83" i="18"/>
  <c r="S83" i="18" s="1"/>
  <c r="R69" i="18"/>
  <c r="S69" i="18" s="1"/>
  <c r="AG27" i="18"/>
  <c r="Y19" i="17"/>
  <c r="R96" i="18"/>
  <c r="AH27" i="23"/>
  <c r="R45" i="18"/>
  <c r="S45" i="18" s="1"/>
  <c r="AJ26" i="18"/>
  <c r="R81" i="18"/>
  <c r="R71" i="18"/>
  <c r="AK25" i="18"/>
  <c r="AJ29" i="18"/>
  <c r="R63" i="18"/>
  <c r="S63" i="18" s="1"/>
  <c r="AG23" i="18"/>
  <c r="AK29" i="18"/>
  <c r="AK27" i="23"/>
  <c r="AJ22" i="18"/>
  <c r="O22" i="17"/>
  <c r="Q22" i="17" s="1"/>
  <c r="R84" i="18"/>
  <c r="S84" i="18" s="1"/>
  <c r="R97" i="18"/>
  <c r="S97" i="18" s="1"/>
  <c r="AI26" i="23"/>
  <c r="R86" i="18"/>
  <c r="S86" i="18" s="1"/>
  <c r="AK26" i="18"/>
  <c r="AJ28" i="18"/>
  <c r="R87" i="18"/>
  <c r="R101" i="18"/>
  <c r="R64" i="18"/>
  <c r="S64" i="18" s="1"/>
  <c r="R82" i="18"/>
  <c r="S82" i="18" s="1"/>
  <c r="AG25" i="18"/>
  <c r="R102" i="18"/>
  <c r="AK24" i="18"/>
  <c r="R60" i="18"/>
  <c r="R67" i="18"/>
  <c r="S67" i="18" s="1"/>
  <c r="R31" i="18"/>
  <c r="AG31" i="18" s="1"/>
  <c r="R91" i="18"/>
  <c r="S91" i="18" s="1"/>
  <c r="R77" i="18"/>
  <c r="R65" i="18"/>
  <c r="S65" i="18" s="1"/>
  <c r="R21" i="18"/>
  <c r="R33" i="18"/>
  <c r="AH23" i="18"/>
  <c r="AK26" i="23"/>
  <c r="AN20" i="17"/>
  <c r="Z19" i="17"/>
  <c r="AK22" i="18"/>
  <c r="AJ26" i="23"/>
  <c r="R53" i="18"/>
  <c r="R79" i="18"/>
  <c r="S79" i="18" s="1"/>
  <c r="S70" i="18"/>
  <c r="AK28" i="24"/>
  <c r="AJ32" i="18"/>
  <c r="AK32" i="18"/>
  <c r="R104" i="24"/>
  <c r="R31" i="24"/>
  <c r="Q22" i="24"/>
  <c r="R51" i="24"/>
  <c r="R52" i="24"/>
  <c r="R105" i="24"/>
  <c r="R39" i="24"/>
  <c r="R66" i="24"/>
  <c r="R59" i="24"/>
  <c r="R103" i="24"/>
  <c r="R78" i="24"/>
  <c r="Q20" i="24"/>
  <c r="R36" i="24"/>
  <c r="R85" i="24"/>
  <c r="R67" i="24"/>
  <c r="R54" i="24"/>
  <c r="D28" i="24"/>
  <c r="AH28" i="24"/>
  <c r="AI28" i="24"/>
  <c r="D32" i="16"/>
  <c r="Y33" i="16"/>
  <c r="Y37" i="18"/>
  <c r="E34" i="24"/>
  <c r="G33" i="16"/>
  <c r="F35" i="24"/>
  <c r="H33" i="16"/>
  <c r="J34" i="24"/>
  <c r="E35" i="24"/>
  <c r="F33" i="16"/>
  <c r="K32" i="16"/>
  <c r="F34" i="24"/>
  <c r="H34" i="24"/>
  <c r="G34" i="24"/>
  <c r="E33" i="16"/>
  <c r="H35" i="24"/>
  <c r="I34" i="24"/>
  <c r="I35" i="24"/>
  <c r="J33" i="16"/>
  <c r="G35" i="24"/>
  <c r="I33" i="16"/>
  <c r="K76" i="23"/>
  <c r="H31" i="23"/>
  <c r="H66" i="23"/>
  <c r="K46" i="23"/>
  <c r="F67" i="23"/>
  <c r="I37" i="18"/>
  <c r="G81" i="23"/>
  <c r="E44" i="23"/>
  <c r="F22" i="17"/>
  <c r="E22" i="17"/>
  <c r="H30" i="18"/>
  <c r="I41" i="23"/>
  <c r="G101" i="23"/>
  <c r="J51" i="23"/>
  <c r="G106" i="23"/>
  <c r="H35" i="18"/>
  <c r="G78" i="23"/>
  <c r="J59" i="23"/>
  <c r="F37" i="18"/>
  <c r="H102" i="23"/>
  <c r="E81" i="23"/>
  <c r="K65" i="23"/>
  <c r="F35" i="18"/>
  <c r="F66" i="23"/>
  <c r="I85" i="23"/>
  <c r="E20" i="17"/>
  <c r="E99" i="23"/>
  <c r="G31" i="23"/>
  <c r="F21" i="17"/>
  <c r="G34" i="23"/>
  <c r="G36" i="23"/>
  <c r="E30" i="18"/>
  <c r="J84" i="23"/>
  <c r="N91" i="24"/>
  <c r="L64" i="23"/>
  <c r="N71" i="24"/>
  <c r="L77" i="23"/>
  <c r="N61" i="24"/>
  <c r="M81" i="23"/>
  <c r="M81" i="24" s="1"/>
  <c r="N56" i="24"/>
  <c r="N42" i="23"/>
  <c r="N42" i="24" s="1"/>
  <c r="L41" i="24"/>
  <c r="L37" i="23"/>
  <c r="M60" i="24"/>
  <c r="L45" i="23"/>
  <c r="AN80" i="24"/>
  <c r="AN48" i="24"/>
  <c r="AF33" i="18"/>
  <c r="AO50" i="24"/>
  <c r="AO106" i="24"/>
  <c r="AO65" i="24"/>
  <c r="N22" i="23"/>
  <c r="AD33" i="18"/>
  <c r="AO68" i="23"/>
  <c r="M55" i="23"/>
  <c r="M109" i="23"/>
  <c r="AA35" i="26"/>
  <c r="AN42" i="24"/>
  <c r="N53" i="23"/>
  <c r="AN80" i="23"/>
  <c r="AN40" i="24"/>
  <c r="AN84" i="23"/>
  <c r="L20" i="24"/>
  <c r="M44" i="24"/>
  <c r="M108" i="23"/>
  <c r="AN87" i="23"/>
  <c r="AO84" i="23"/>
  <c r="AO20" i="24"/>
  <c r="AC33" i="18"/>
  <c r="AN85" i="23"/>
  <c r="AN106" i="23"/>
  <c r="L50" i="24"/>
  <c r="L86" i="23"/>
  <c r="AN86" i="23"/>
  <c r="AN73" i="24"/>
  <c r="AO39" i="24"/>
  <c r="AO45" i="23"/>
  <c r="AN72" i="24"/>
  <c r="AO32" i="26"/>
  <c r="AN59" i="23"/>
  <c r="AN94" i="24"/>
  <c r="L92" i="24"/>
  <c r="AN44" i="24"/>
  <c r="AN91" i="23"/>
  <c r="AN55" i="24"/>
  <c r="AN79" i="23"/>
  <c r="AE37" i="26"/>
  <c r="M106" i="23"/>
  <c r="N49" i="23"/>
  <c r="AO58" i="23"/>
  <c r="AO101" i="24"/>
  <c r="AN96" i="23"/>
  <c r="AE29" i="24"/>
  <c r="L62" i="24"/>
  <c r="AO38" i="24"/>
  <c r="L48" i="24"/>
  <c r="M40" i="24"/>
  <c r="AN34" i="23"/>
  <c r="AN105" i="24"/>
  <c r="L108" i="23"/>
  <c r="AN22" i="24"/>
  <c r="AF29" i="24"/>
  <c r="AN74" i="24"/>
  <c r="AO32" i="23"/>
  <c r="AO57" i="23"/>
  <c r="AN94" i="23"/>
  <c r="AN83" i="23"/>
  <c r="L65" i="24"/>
  <c r="AO64" i="23"/>
  <c r="AO50" i="23"/>
  <c r="AN100" i="23"/>
  <c r="AB33" i="18"/>
  <c r="AN38" i="23"/>
  <c r="AN20" i="23"/>
  <c r="N86" i="23"/>
  <c r="L70" i="24"/>
  <c r="M95" i="23"/>
  <c r="M65" i="23"/>
  <c r="L81" i="24"/>
  <c r="M41" i="23"/>
  <c r="M41" i="24" s="1"/>
  <c r="M91" i="23"/>
  <c r="M91" i="24" s="1"/>
  <c r="L38" i="24"/>
  <c r="N38" i="23"/>
  <c r="L93" i="23"/>
  <c r="L33" i="23"/>
  <c r="M66" i="23"/>
  <c r="M66" i="24" s="1"/>
  <c r="L101" i="24"/>
  <c r="M35" i="23"/>
  <c r="AN64" i="23"/>
  <c r="AD37" i="26"/>
  <c r="AO99" i="24"/>
  <c r="AO67" i="23"/>
  <c r="AN52" i="24"/>
  <c r="AN103" i="23"/>
  <c r="AO52" i="24"/>
  <c r="N43" i="24"/>
  <c r="P21" i="24"/>
  <c r="AN72" i="23"/>
  <c r="AO35" i="23"/>
  <c r="AN63" i="23"/>
  <c r="AO94" i="24"/>
  <c r="AN45" i="23"/>
  <c r="AN29" i="23"/>
  <c r="AF37" i="26"/>
  <c r="AN88" i="23"/>
  <c r="AN103" i="24"/>
  <c r="M48" i="24"/>
  <c r="M57" i="23"/>
  <c r="N102" i="24"/>
  <c r="AN101" i="24"/>
  <c r="AN39" i="24"/>
  <c r="AO83" i="23"/>
  <c r="AO104" i="23"/>
  <c r="AN38" i="24"/>
  <c r="AO49" i="23"/>
  <c r="AO97" i="23"/>
  <c r="L107" i="23"/>
  <c r="M47" i="23"/>
  <c r="AO59" i="24"/>
  <c r="AN61" i="23"/>
  <c r="AN98" i="23"/>
  <c r="AD35" i="26"/>
  <c r="AO66" i="23"/>
  <c r="AO93" i="23"/>
  <c r="L22" i="24"/>
  <c r="L99" i="24"/>
  <c r="AN50" i="23"/>
  <c r="AO40" i="24"/>
  <c r="AO37" i="26"/>
  <c r="AF35" i="26"/>
  <c r="AN21" i="24"/>
  <c r="O20" i="23"/>
  <c r="AN53" i="23"/>
  <c r="AN40" i="23"/>
  <c r="L47" i="23"/>
  <c r="AO108" i="23"/>
  <c r="AO38" i="23"/>
  <c r="N52" i="23"/>
  <c r="M72" i="23"/>
  <c r="AN108" i="23"/>
  <c r="L45" i="24"/>
  <c r="M46" i="24"/>
  <c r="M39" i="23"/>
  <c r="M82" i="23"/>
  <c r="M82" i="24" s="1"/>
  <c r="L95" i="23"/>
  <c r="AO44" i="24"/>
  <c r="AN99" i="24"/>
  <c r="AN54" i="23"/>
  <c r="M78" i="24"/>
  <c r="AN65" i="24"/>
  <c r="AN93" i="23"/>
  <c r="M54" i="24"/>
  <c r="AN75" i="23"/>
  <c r="N93" i="24"/>
  <c r="AN48" i="23"/>
  <c r="N83" i="23"/>
  <c r="AN104" i="23"/>
  <c r="AO37" i="23"/>
  <c r="N109" i="24"/>
  <c r="N96" i="23"/>
  <c r="AN99" i="23"/>
  <c r="M102" i="23"/>
  <c r="AB28" i="24"/>
  <c r="N99" i="24"/>
  <c r="AN60" i="24"/>
  <c r="AB35" i="26"/>
  <c r="AO98" i="23"/>
  <c r="L98" i="23"/>
  <c r="L98" i="24" s="1"/>
  <c r="AN33" i="23"/>
  <c r="AN67" i="24"/>
  <c r="N98" i="23"/>
  <c r="N74" i="23"/>
  <c r="N74" i="24" s="1"/>
  <c r="M59" i="23"/>
  <c r="N110" i="23"/>
  <c r="M85" i="23"/>
  <c r="N101" i="24"/>
  <c r="N57" i="23"/>
  <c r="N57" i="24" s="1"/>
  <c r="N32" i="23"/>
  <c r="N100" i="24"/>
  <c r="N50" i="23"/>
  <c r="M73" i="23"/>
  <c r="L88" i="23"/>
  <c r="L79" i="24"/>
  <c r="N107" i="23"/>
  <c r="AD29" i="24"/>
  <c r="AN53" i="24"/>
  <c r="AN91" i="24"/>
  <c r="AO63" i="24"/>
  <c r="AO104" i="24"/>
  <c r="AO35" i="26"/>
  <c r="AN78" i="23"/>
  <c r="AA30" i="23"/>
  <c r="L63" i="24"/>
  <c r="M51" i="23"/>
  <c r="AN42" i="23"/>
  <c r="AB29" i="24"/>
  <c r="AN106" i="24"/>
  <c r="AA32" i="26"/>
  <c r="AN21" i="23"/>
  <c r="AN68" i="23"/>
  <c r="AN31" i="23"/>
  <c r="AN22" i="23"/>
  <c r="L110" i="23"/>
  <c r="N103" i="23"/>
  <c r="L73" i="24"/>
  <c r="AN74" i="23"/>
  <c r="AA34" i="26"/>
  <c r="AC37" i="26"/>
  <c r="AN56" i="23"/>
  <c r="AO72" i="24"/>
  <c r="AN58" i="23"/>
  <c r="M45" i="24"/>
  <c r="AO34" i="26"/>
  <c r="AN41" i="23"/>
  <c r="AO34" i="24"/>
  <c r="AE32" i="26"/>
  <c r="AN109" i="23"/>
  <c r="L61" i="23"/>
  <c r="AO47" i="23"/>
  <c r="N39" i="24"/>
  <c r="M80" i="23"/>
  <c r="AA29" i="24"/>
  <c r="AN36" i="24"/>
  <c r="M56" i="23"/>
  <c r="AN104" i="24"/>
  <c r="M87" i="24"/>
  <c r="AN60" i="23"/>
  <c r="M89" i="24"/>
  <c r="AC35" i="26"/>
  <c r="AD34" i="26"/>
  <c r="AN49" i="23"/>
  <c r="L53" i="24"/>
  <c r="AB34" i="26"/>
  <c r="L108" i="24"/>
  <c r="N92" i="23"/>
  <c r="L91" i="24"/>
  <c r="M75" i="23"/>
  <c r="M75" i="24" s="1"/>
  <c r="M94" i="24"/>
  <c r="AN31" i="24"/>
  <c r="AO70" i="23"/>
  <c r="M32" i="23"/>
  <c r="N110" i="24"/>
  <c r="AN76" i="24"/>
  <c r="AN102" i="23"/>
  <c r="AN37" i="23"/>
  <c r="L71" i="23"/>
  <c r="AN92" i="23"/>
  <c r="N72" i="23"/>
  <c r="N72" i="24"/>
  <c r="M52" i="23"/>
  <c r="AO76" i="24"/>
  <c r="L55" i="24"/>
  <c r="AO70" i="24"/>
  <c r="AO110" i="23"/>
  <c r="N70" i="24"/>
  <c r="AO91" i="24"/>
  <c r="N59" i="24"/>
  <c r="AN59" i="24"/>
  <c r="M90" i="24"/>
  <c r="AO100" i="23"/>
  <c r="M42" i="23"/>
  <c r="AN97" i="23"/>
  <c r="L46" i="24"/>
  <c r="L109" i="23"/>
  <c r="AC34" i="26"/>
  <c r="N87" i="23"/>
  <c r="AO84" i="24"/>
  <c r="AO105" i="23"/>
  <c r="AN76" i="23"/>
  <c r="M86" i="23"/>
  <c r="AN90" i="24"/>
  <c r="AE28" i="24"/>
  <c r="L72" i="24"/>
  <c r="M68" i="23"/>
  <c r="AN57" i="23"/>
  <c r="AN102" i="24"/>
  <c r="N88" i="23"/>
  <c r="N88" i="24" s="1"/>
  <c r="AN81" i="23"/>
  <c r="AN84" i="24"/>
  <c r="AE33" i="18"/>
  <c r="AN83" i="24"/>
  <c r="N82" i="24"/>
  <c r="AN78" i="24"/>
  <c r="AN62" i="24"/>
  <c r="AN46" i="23"/>
  <c r="L107" i="24"/>
  <c r="L106" i="24"/>
  <c r="L80" i="24"/>
  <c r="L100" i="23"/>
  <c r="M53" i="23"/>
  <c r="M53" i="24" s="1"/>
  <c r="L60" i="24"/>
  <c r="L35" i="23"/>
  <c r="M70" i="23"/>
  <c r="M70" i="24" s="1"/>
  <c r="N46" i="24"/>
  <c r="L69" i="23"/>
  <c r="L89" i="24"/>
  <c r="M37" i="23"/>
  <c r="AN82" i="23"/>
  <c r="AO91" i="23"/>
  <c r="AC32" i="26"/>
  <c r="N104" i="23"/>
  <c r="AO49" i="24"/>
  <c r="N67" i="24"/>
  <c r="M38" i="23"/>
  <c r="AA33" i="18"/>
  <c r="AN28" i="23"/>
  <c r="AN79" i="24"/>
  <c r="AO54" i="23"/>
  <c r="N107" i="24"/>
  <c r="AO85" i="24"/>
  <c r="AN89" i="24"/>
  <c r="AN51" i="23"/>
  <c r="AE34" i="26"/>
  <c r="M79" i="23"/>
  <c r="L83" i="24"/>
  <c r="N81" i="24"/>
  <c r="AU33" i="18"/>
  <c r="AN66" i="24"/>
  <c r="AN107" i="23"/>
  <c r="AO85" i="23"/>
  <c r="AN55" i="23"/>
  <c r="AN52" i="23"/>
  <c r="L96" i="23"/>
  <c r="N40" i="23"/>
  <c r="AO95" i="23"/>
  <c r="AN36" i="23"/>
  <c r="AF32" i="26"/>
  <c r="AO74" i="24"/>
  <c r="N94" i="24"/>
  <c r="N106" i="24"/>
  <c r="N80" i="24"/>
  <c r="AN63" i="24"/>
  <c r="M22" i="23"/>
  <c r="AO66" i="24"/>
  <c r="AO62" i="24"/>
  <c r="AN44" i="23"/>
  <c r="L87" i="24"/>
  <c r="N90" i="23"/>
  <c r="AN35" i="23"/>
  <c r="AO80" i="24"/>
  <c r="L97" i="23"/>
  <c r="AO86" i="23"/>
  <c r="L97" i="24"/>
  <c r="L74" i="24"/>
  <c r="L44" i="24"/>
  <c r="M83" i="23"/>
  <c r="M83" i="24" s="1"/>
  <c r="L84" i="24"/>
  <c r="L56" i="24"/>
  <c r="M110" i="23"/>
  <c r="L58" i="24"/>
  <c r="L75" i="23"/>
  <c r="M61" i="23"/>
  <c r="M61" i="24" s="1"/>
  <c r="AO36" i="24"/>
  <c r="AO32" i="24"/>
  <c r="AA37" i="26"/>
  <c r="N54" i="23"/>
  <c r="AN67" i="23"/>
  <c r="M67" i="23"/>
  <c r="AN85" i="24"/>
  <c r="AO61" i="23"/>
  <c r="AE35" i="26"/>
  <c r="AN50" i="24"/>
  <c r="N68" i="23"/>
  <c r="N68" i="24" s="1"/>
  <c r="L82" i="23"/>
  <c r="N41" i="24"/>
  <c r="AO63" i="23"/>
  <c r="AN77" i="23"/>
  <c r="L30" i="23"/>
  <c r="L30" i="24" s="1"/>
  <c r="AN47" i="23"/>
  <c r="AO20" i="23"/>
  <c r="L49" i="24"/>
  <c r="AO78" i="24"/>
  <c r="L42" i="24"/>
  <c r="AN81" i="24"/>
  <c r="N45" i="24"/>
  <c r="N60" i="23"/>
  <c r="AD35" i="23"/>
  <c r="AN73" i="23"/>
  <c r="AN39" i="23"/>
  <c r="AO46" i="23"/>
  <c r="AN43" i="23"/>
  <c r="AO81" i="24"/>
  <c r="M58" i="23"/>
  <c r="AO79" i="23"/>
  <c r="M99" i="23"/>
  <c r="AD30" i="23"/>
  <c r="AN32" i="23"/>
  <c r="AO65" i="23"/>
  <c r="AN69" i="23"/>
  <c r="M97" i="24"/>
  <c r="AO92" i="24"/>
  <c r="L57" i="23"/>
  <c r="L57" i="24" s="1"/>
  <c r="AO87" i="24"/>
  <c r="M107" i="24"/>
  <c r="AN87" i="24"/>
  <c r="AB32" i="26"/>
  <c r="AN70" i="23"/>
  <c r="AF34" i="26"/>
  <c r="N84" i="24"/>
  <c r="AO102" i="24"/>
  <c r="AO69" i="23"/>
  <c r="L61" i="24"/>
  <c r="AO92" i="23"/>
  <c r="AN71" i="23"/>
  <c r="M49" i="23"/>
  <c r="AO83" i="24"/>
  <c r="AN51" i="24"/>
  <c r="L43" i="23"/>
  <c r="M69" i="24"/>
  <c r="AN95" i="23"/>
  <c r="AN110" i="23"/>
  <c r="N96" i="24"/>
  <c r="AB37" i="26"/>
  <c r="O21" i="24"/>
  <c r="N62" i="23"/>
  <c r="M95" i="24"/>
  <c r="AN58" i="24"/>
  <c r="AO82" i="23"/>
  <c r="AN30" i="23"/>
  <c r="N47" i="23"/>
  <c r="M110" i="24"/>
  <c r="AO67" i="24"/>
  <c r="AO31" i="24"/>
  <c r="AO90" i="24"/>
  <c r="AO53" i="24"/>
  <c r="AN65" i="23"/>
  <c r="AN90" i="23"/>
  <c r="AN49" i="24"/>
  <c r="AO51" i="24"/>
  <c r="AO48" i="24"/>
  <c r="AN56" i="24"/>
  <c r="N92" i="24"/>
  <c r="AN101" i="23"/>
  <c r="AN34" i="24"/>
  <c r="N66" i="24"/>
  <c r="AO41" i="24"/>
  <c r="L94" i="24"/>
  <c r="L90" i="24"/>
  <c r="L21" i="24"/>
  <c r="M74" i="23"/>
  <c r="M62" i="24"/>
  <c r="AD32" i="26"/>
  <c r="AN70" i="24"/>
  <c r="L40" i="24"/>
  <c r="M93" i="23"/>
  <c r="N49" i="24"/>
  <c r="M100" i="23"/>
  <c r="N48" i="24"/>
  <c r="M63" i="23"/>
  <c r="M63" i="24" s="1"/>
  <c r="L102" i="24"/>
  <c r="AO99" i="23"/>
  <c r="AN46" i="24"/>
  <c r="N63" i="23"/>
  <c r="AC29" i="24"/>
  <c r="AO90" i="23"/>
  <c r="AN105" i="23"/>
  <c r="AN89" i="23"/>
  <c r="AN41" i="24"/>
  <c r="N95" i="23"/>
  <c r="N95" i="24" s="1"/>
  <c r="N105" i="23"/>
  <c r="N105" i="24" s="1"/>
  <c r="L68" i="23"/>
  <c r="L68" i="24" s="1"/>
  <c r="AO42" i="23"/>
  <c r="N73" i="23"/>
  <c r="AO46" i="24"/>
  <c r="L88" i="24"/>
  <c r="L86" i="24"/>
  <c r="AN20" i="24"/>
  <c r="AN54" i="24"/>
  <c r="N58" i="23"/>
  <c r="AO73" i="24"/>
  <c r="AN32" i="24"/>
  <c r="AO30" i="23"/>
  <c r="L76" i="24"/>
  <c r="AN66" i="23"/>
  <c r="AN62" i="23"/>
  <c r="AO44" i="23"/>
  <c r="AN92" i="24"/>
  <c r="AO60" i="24"/>
  <c r="N55" i="23"/>
  <c r="N108" i="24"/>
  <c r="L64" i="24"/>
  <c r="L77" i="24"/>
  <c r="N38" i="24"/>
  <c r="L93" i="24"/>
  <c r="N50" i="24"/>
  <c r="L109" i="24"/>
  <c r="L100" i="24"/>
  <c r="L69" i="24"/>
  <c r="L75" i="24"/>
  <c r="L82" i="24"/>
  <c r="N62" i="24"/>
  <c r="R82" i="24" l="1"/>
  <c r="R75" i="24"/>
  <c r="R69" i="24"/>
  <c r="R100" i="24"/>
  <c r="R93" i="24"/>
  <c r="S93" i="24" s="1"/>
  <c r="R77" i="24"/>
  <c r="R64" i="24"/>
  <c r="R94" i="24"/>
  <c r="R82" i="23"/>
  <c r="R75" i="23"/>
  <c r="R58" i="24"/>
  <c r="S58" i="24" s="1"/>
  <c r="R56" i="24"/>
  <c r="S56" i="24" s="1"/>
  <c r="R84" i="24"/>
  <c r="S84" i="24" s="1"/>
  <c r="R44" i="24"/>
  <c r="S44" i="24" s="1"/>
  <c r="R74" i="24"/>
  <c r="R69" i="23"/>
  <c r="R35" i="23"/>
  <c r="R60" i="24"/>
  <c r="R100" i="23"/>
  <c r="R80" i="24"/>
  <c r="S80" i="24" s="1"/>
  <c r="R106" i="24"/>
  <c r="R109" i="23"/>
  <c r="R46" i="24"/>
  <c r="R91" i="24"/>
  <c r="R88" i="23"/>
  <c r="R95" i="23"/>
  <c r="R33" i="23"/>
  <c r="R93" i="23"/>
  <c r="R38" i="24"/>
  <c r="R81" i="24"/>
  <c r="R70" i="24"/>
  <c r="S70" i="24" s="1"/>
  <c r="R48" i="24"/>
  <c r="R37" i="23"/>
  <c r="R41" i="24"/>
  <c r="S41" i="24" s="1"/>
  <c r="R77" i="23"/>
  <c r="R64" i="23"/>
  <c r="R97" i="24"/>
  <c r="S97" i="24" s="1"/>
  <c r="R57" i="24"/>
  <c r="S57" i="24" s="1"/>
  <c r="R98" i="24"/>
  <c r="S98" i="24" s="1"/>
  <c r="R61" i="24"/>
  <c r="R86" i="24"/>
  <c r="R107" i="24"/>
  <c r="S107" i="24" s="1"/>
  <c r="R30" i="24"/>
  <c r="S30" i="24" s="1"/>
  <c r="R108" i="24"/>
  <c r="S108" i="24" s="1"/>
  <c r="R45" i="24"/>
  <c r="S45" i="24" s="1"/>
  <c r="R68" i="24"/>
  <c r="S68" i="24" s="1"/>
  <c r="R97" i="23"/>
  <c r="R53" i="24"/>
  <c r="S53" i="24" s="1"/>
  <c r="R62" i="24"/>
  <c r="S62" i="24" s="1"/>
  <c r="R88" i="24"/>
  <c r="R47" i="23"/>
  <c r="R57" i="23"/>
  <c r="S57" i="23" s="1"/>
  <c r="R87" i="24"/>
  <c r="S87" i="24" s="1"/>
  <c r="R72" i="24"/>
  <c r="S72" i="24" s="1"/>
  <c r="R109" i="24"/>
  <c r="R99" i="24"/>
  <c r="S99" i="24" s="1"/>
  <c r="R92" i="24"/>
  <c r="S92" i="24" s="1"/>
  <c r="R71" i="23"/>
  <c r="R98" i="23"/>
  <c r="R61" i="23"/>
  <c r="R22" i="24"/>
  <c r="S22" i="24" s="1"/>
  <c r="R86" i="23"/>
  <c r="R42" i="24"/>
  <c r="R96" i="23"/>
  <c r="R107" i="23"/>
  <c r="R50" i="24"/>
  <c r="R40" i="24"/>
  <c r="S40" i="24" s="1"/>
  <c r="R21" i="24"/>
  <c r="R73" i="24"/>
  <c r="S73" i="24" s="1"/>
  <c r="R83" i="24"/>
  <c r="S83" i="24" s="1"/>
  <c r="S20" i="24"/>
  <c r="R20" i="24"/>
  <c r="R49" i="24"/>
  <c r="S49" i="24" s="1"/>
  <c r="R110" i="23"/>
  <c r="R76" i="24"/>
  <c r="S76" i="24" s="1"/>
  <c r="R30" i="23"/>
  <c r="Q21" i="24"/>
  <c r="R43" i="23"/>
  <c r="R90" i="24"/>
  <c r="S90" i="24" s="1"/>
  <c r="R55" i="24"/>
  <c r="S55" i="24" s="1"/>
  <c r="R108" i="23"/>
  <c r="R63" i="24"/>
  <c r="S63" i="24" s="1"/>
  <c r="R45" i="23"/>
  <c r="R68" i="23"/>
  <c r="R79" i="24"/>
  <c r="S79" i="24" s="1"/>
  <c r="R101" i="24"/>
  <c r="S101" i="24" s="1"/>
  <c r="R102" i="24"/>
  <c r="R65" i="24"/>
  <c r="S65" i="24" s="1"/>
  <c r="R89" i="24"/>
  <c r="AG32" i="18"/>
  <c r="S21" i="23"/>
  <c r="S22" i="23"/>
  <c r="AI33" i="18"/>
  <c r="AH33" i="18"/>
  <c r="AM26" i="23"/>
  <c r="C26" i="23" s="1"/>
  <c r="AM25" i="24"/>
  <c r="C25" i="24" s="1"/>
  <c r="AH30" i="18"/>
  <c r="AM25" i="23"/>
  <c r="C25" i="23" s="1"/>
  <c r="AG28" i="18"/>
  <c r="AM28" i="18" s="1"/>
  <c r="C28" i="18" s="1"/>
  <c r="AM25" i="18"/>
  <c r="C25" i="18" s="1"/>
  <c r="AG29" i="18"/>
  <c r="AM29" i="18" s="1"/>
  <c r="C29" i="18" s="1"/>
  <c r="F19" i="17"/>
  <c r="E19" i="17"/>
  <c r="D20" i="17"/>
  <c r="D19" i="17" s="1"/>
  <c r="AM23" i="18"/>
  <c r="AM26" i="18"/>
  <c r="C26" i="18" s="1"/>
  <c r="AM27" i="18"/>
  <c r="C27" i="18" s="1"/>
  <c r="AM24" i="18"/>
  <c r="S31" i="18"/>
  <c r="AH31" i="18"/>
  <c r="AM31" i="18" s="1"/>
  <c r="S103" i="18"/>
  <c r="S55" i="18"/>
  <c r="AH22" i="18"/>
  <c r="S62" i="18"/>
  <c r="S75" i="18"/>
  <c r="AG22" i="18"/>
  <c r="S71" i="18"/>
  <c r="S51" i="18"/>
  <c r="AH32" i="18"/>
  <c r="S94" i="18"/>
  <c r="S60" i="18"/>
  <c r="S102" i="18"/>
  <c r="S89" i="18"/>
  <c r="S59" i="18"/>
  <c r="S88" i="18"/>
  <c r="S78" i="18"/>
  <c r="S109" i="18"/>
  <c r="S40" i="18"/>
  <c r="S103" i="23"/>
  <c r="S56" i="18"/>
  <c r="S106" i="18"/>
  <c r="S53" i="18"/>
  <c r="S77" i="18"/>
  <c r="S72" i="18"/>
  <c r="S97" i="23"/>
  <c r="S58" i="23"/>
  <c r="S55" i="23"/>
  <c r="D22" i="17"/>
  <c r="S96" i="18"/>
  <c r="S21" i="18"/>
  <c r="S29" i="18"/>
  <c r="S81" i="18"/>
  <c r="S87" i="18"/>
  <c r="S79" i="23"/>
  <c r="S105" i="23"/>
  <c r="S34" i="18"/>
  <c r="S22" i="18"/>
  <c r="S107" i="18"/>
  <c r="AG30" i="18"/>
  <c r="S28" i="18"/>
  <c r="S41" i="18"/>
  <c r="S74" i="18"/>
  <c r="S39" i="18"/>
  <c r="S36" i="18"/>
  <c r="S42" i="23"/>
  <c r="S56" i="23"/>
  <c r="S89" i="23"/>
  <c r="S54" i="23"/>
  <c r="S52" i="18"/>
  <c r="S73" i="18"/>
  <c r="S101" i="18"/>
  <c r="S33" i="18"/>
  <c r="S48" i="18"/>
  <c r="S80" i="18"/>
  <c r="S43" i="18"/>
  <c r="S76" i="18"/>
  <c r="AI35" i="26"/>
  <c r="AI37" i="26"/>
  <c r="AI32" i="26"/>
  <c r="AI34" i="26"/>
  <c r="AH34" i="26"/>
  <c r="AK29" i="24"/>
  <c r="AJ29" i="24"/>
  <c r="AJ28" i="24"/>
  <c r="AJ32" i="26"/>
  <c r="AJ35" i="26"/>
  <c r="AJ37" i="26"/>
  <c r="AJ34" i="26"/>
  <c r="AK32" i="26"/>
  <c r="AK35" i="26"/>
  <c r="AK37" i="26"/>
  <c r="AK34" i="26"/>
  <c r="AJ33" i="18"/>
  <c r="AK33" i="18"/>
  <c r="AI35" i="23"/>
  <c r="AI30" i="23"/>
  <c r="D30" i="18"/>
  <c r="AG34" i="26"/>
  <c r="D34" i="26"/>
  <c r="AG32" i="26"/>
  <c r="AG35" i="26"/>
  <c r="D35" i="26"/>
  <c r="D32" i="26"/>
  <c r="AH37" i="26"/>
  <c r="AG37" i="26"/>
  <c r="D37" i="26"/>
  <c r="AH32" i="26"/>
  <c r="AH35" i="26"/>
  <c r="S91" i="24"/>
  <c r="S36" i="24"/>
  <c r="S39" i="24"/>
  <c r="S52" i="24"/>
  <c r="S102" i="24"/>
  <c r="S103" i="24"/>
  <c r="S105" i="24"/>
  <c r="S104" i="24"/>
  <c r="S54" i="24"/>
  <c r="S85" i="24"/>
  <c r="S59" i="24"/>
  <c r="S86" i="24"/>
  <c r="S42" i="24"/>
  <c r="S69" i="24"/>
  <c r="S88" i="24"/>
  <c r="S61" i="24"/>
  <c r="S89" i="24"/>
  <c r="S106" i="24"/>
  <c r="S51" i="24"/>
  <c r="S75" i="24"/>
  <c r="S109" i="24"/>
  <c r="S38" i="24"/>
  <c r="S100" i="24"/>
  <c r="S77" i="24"/>
  <c r="S94" i="24"/>
  <c r="S78" i="24"/>
  <c r="S66" i="24"/>
  <c r="S74" i="24"/>
  <c r="S64" i="24"/>
  <c r="S60" i="24"/>
  <c r="S31" i="24"/>
  <c r="S50" i="24"/>
  <c r="S67" i="24"/>
  <c r="S46" i="24"/>
  <c r="S82" i="24"/>
  <c r="S81" i="24"/>
  <c r="S48" i="24"/>
  <c r="S21" i="24"/>
  <c r="AG29" i="24"/>
  <c r="AG28" i="24"/>
  <c r="AI29" i="24"/>
  <c r="D29" i="24"/>
  <c r="AH29" i="24"/>
  <c r="AG33" i="18"/>
  <c r="D33" i="16"/>
  <c r="Y34" i="16"/>
  <c r="Y38" i="18"/>
  <c r="E34" i="16"/>
  <c r="K33" i="16"/>
  <c r="I34" i="16"/>
  <c r="F34" i="16"/>
  <c r="J34" i="16"/>
  <c r="H34" i="16"/>
  <c r="G34" i="16"/>
  <c r="G99" i="23"/>
  <c r="I84" i="24"/>
  <c r="H50" i="23"/>
  <c r="G67" i="23"/>
  <c r="F63" i="23"/>
  <c r="H38" i="23"/>
  <c r="E38" i="23"/>
  <c r="K66" i="23"/>
  <c r="E32" i="18"/>
  <c r="J101" i="23"/>
  <c r="J36" i="23"/>
  <c r="G94" i="23"/>
  <c r="I44" i="23"/>
  <c r="G94" i="24"/>
  <c r="K90" i="23"/>
  <c r="K40" i="23"/>
  <c r="F52" i="23"/>
  <c r="F84" i="23"/>
  <c r="F81" i="23"/>
  <c r="I40" i="23"/>
  <c r="E51" i="23"/>
  <c r="I38" i="18"/>
  <c r="J53" i="23"/>
  <c r="K104" i="23"/>
  <c r="F38" i="18"/>
  <c r="J72" i="23"/>
  <c r="I106" i="23"/>
  <c r="E78" i="24"/>
  <c r="F102" i="23"/>
  <c r="J94" i="23"/>
  <c r="I65" i="23"/>
  <c r="K34" i="23"/>
  <c r="J90" i="23"/>
  <c r="F104" i="23"/>
  <c r="H65" i="23"/>
  <c r="G80" i="23"/>
  <c r="H92" i="23"/>
  <c r="J48" i="23"/>
  <c r="I87" i="23"/>
  <c r="F30" i="18"/>
  <c r="G105" i="23"/>
  <c r="J102" i="23"/>
  <c r="F106" i="23"/>
  <c r="K64" i="24"/>
  <c r="K107" i="24"/>
  <c r="J46" i="23"/>
  <c r="I39" i="23"/>
  <c r="K39" i="23"/>
  <c r="E41" i="23"/>
  <c r="E70" i="23"/>
  <c r="H40" i="23"/>
  <c r="I22" i="23"/>
  <c r="K38" i="18"/>
  <c r="E39" i="23"/>
  <c r="K85" i="23"/>
  <c r="H60" i="23"/>
  <c r="H36" i="23"/>
  <c r="K52" i="23"/>
  <c r="I104" i="23"/>
  <c r="H37" i="18"/>
  <c r="H41" i="23"/>
  <c r="G63" i="23"/>
  <c r="G79" i="24"/>
  <c r="I76" i="23"/>
  <c r="H91" i="23"/>
  <c r="F51" i="23"/>
  <c r="K80" i="23"/>
  <c r="I22" i="17"/>
  <c r="E49" i="23"/>
  <c r="H104" i="23"/>
  <c r="E94" i="23"/>
  <c r="K87" i="23"/>
  <c r="E50" i="23"/>
  <c r="J38" i="23"/>
  <c r="F68" i="24"/>
  <c r="J63" i="23"/>
  <c r="F49" i="23"/>
  <c r="F62" i="23"/>
  <c r="I66" i="23"/>
  <c r="G53" i="23"/>
  <c r="K32" i="23"/>
  <c r="F89" i="24"/>
  <c r="J81" i="23"/>
  <c r="H59" i="23"/>
  <c r="G38" i="23"/>
  <c r="G62" i="23"/>
  <c r="H99" i="23"/>
  <c r="F44" i="24"/>
  <c r="G50" i="23"/>
  <c r="E35" i="18"/>
  <c r="J61" i="24"/>
  <c r="K75" i="24"/>
  <c r="F65" i="23"/>
  <c r="I50" i="23"/>
  <c r="I80" i="23"/>
  <c r="F78" i="23"/>
  <c r="J39" i="23"/>
  <c r="F59" i="23"/>
  <c r="E66" i="23"/>
  <c r="F101" i="23"/>
  <c r="I70" i="23"/>
  <c r="E65" i="23"/>
  <c r="G104" i="23"/>
  <c r="I38" i="23"/>
  <c r="E92" i="23"/>
  <c r="F36" i="23"/>
  <c r="AE22" i="17"/>
  <c r="K83" i="23"/>
  <c r="J91" i="24"/>
  <c r="I91" i="23"/>
  <c r="E36" i="23"/>
  <c r="J92" i="23"/>
  <c r="K84" i="23"/>
  <c r="K30" i="18"/>
  <c r="E83" i="23"/>
  <c r="F32" i="18"/>
  <c r="K99" i="23"/>
  <c r="I49" i="23"/>
  <c r="H51" i="23"/>
  <c r="G39" i="23"/>
  <c r="I52" i="23"/>
  <c r="F87" i="23"/>
  <c r="F74" i="24"/>
  <c r="G66" i="23"/>
  <c r="F32" i="23"/>
  <c r="K36" i="23"/>
  <c r="J32" i="23"/>
  <c r="H63" i="23"/>
  <c r="E34" i="23"/>
  <c r="F109" i="24"/>
  <c r="H87" i="23"/>
  <c r="E30" i="24"/>
  <c r="H67" i="23"/>
  <c r="J41" i="23"/>
  <c r="J31" i="23"/>
  <c r="J44" i="23"/>
  <c r="J70" i="23"/>
  <c r="J102" i="24"/>
  <c r="E73" i="23"/>
  <c r="H76" i="23"/>
  <c r="J49" i="23"/>
  <c r="G91" i="23"/>
  <c r="H34" i="23"/>
  <c r="J67" i="23"/>
  <c r="K31" i="23"/>
  <c r="E32" i="23"/>
  <c r="F80" i="23"/>
  <c r="I59" i="24"/>
  <c r="H73" i="23"/>
  <c r="F103" i="23"/>
  <c r="G90" i="23"/>
  <c r="I63" i="23"/>
  <c r="E37" i="18"/>
  <c r="J40" i="23"/>
  <c r="I67" i="23"/>
  <c r="H90" i="23"/>
  <c r="F46" i="24"/>
  <c r="I101" i="23"/>
  <c r="H70" i="23"/>
  <c r="J99" i="23"/>
  <c r="G57" i="24"/>
  <c r="J50" i="24"/>
  <c r="I51" i="23"/>
  <c r="F46" i="23"/>
  <c r="F31" i="23"/>
  <c r="G102" i="23"/>
  <c r="I92" i="23"/>
  <c r="H106" i="23"/>
  <c r="H85" i="23"/>
  <c r="I46" i="23"/>
  <c r="K48" i="24"/>
  <c r="G52" i="23"/>
  <c r="G46" i="23"/>
  <c r="J62" i="23"/>
  <c r="J50" i="23"/>
  <c r="F70" i="24"/>
  <c r="G35" i="18"/>
  <c r="J80" i="23"/>
  <c r="I34" i="23"/>
  <c r="F41" i="23"/>
  <c r="H94" i="23"/>
  <c r="K37" i="18"/>
  <c r="I90" i="23"/>
  <c r="J34" i="23"/>
  <c r="E106" i="23"/>
  <c r="J74" i="23"/>
  <c r="J65" i="23"/>
  <c r="E46" i="23"/>
  <c r="K48" i="23"/>
  <c r="H72" i="23"/>
  <c r="F85" i="23"/>
  <c r="I83" i="23"/>
  <c r="K50" i="23"/>
  <c r="F48" i="23"/>
  <c r="I20" i="17"/>
  <c r="G49" i="23"/>
  <c r="H53" i="23"/>
  <c r="K78" i="23"/>
  <c r="E52" i="23"/>
  <c r="I102" i="23"/>
  <c r="K38" i="23"/>
  <c r="F40" i="23"/>
  <c r="I36" i="23"/>
  <c r="E85" i="23"/>
  <c r="K101" i="23"/>
  <c r="K94" i="23"/>
  <c r="F73" i="23"/>
  <c r="E67" i="23"/>
  <c r="K81" i="23"/>
  <c r="H39" i="23"/>
  <c r="H101" i="23"/>
  <c r="E87" i="23"/>
  <c r="K32" i="18"/>
  <c r="J73" i="23"/>
  <c r="I62" i="23"/>
  <c r="I88" i="24"/>
  <c r="G60" i="23"/>
  <c r="K41" i="23"/>
  <c r="I92" i="24"/>
  <c r="J52" i="23"/>
  <c r="G85" i="23"/>
  <c r="F70" i="23"/>
  <c r="G48" i="23"/>
  <c r="I74" i="23"/>
  <c r="E63" i="23"/>
  <c r="E91" i="23"/>
  <c r="I84" i="23"/>
  <c r="E102" i="23"/>
  <c r="H84" i="23"/>
  <c r="H44" i="23"/>
  <c r="K70" i="23"/>
  <c r="E76" i="23"/>
  <c r="H52" i="23"/>
  <c r="G92" i="23"/>
  <c r="E38" i="18"/>
  <c r="E40" i="23"/>
  <c r="G84" i="23"/>
  <c r="K67" i="23"/>
  <c r="G37" i="18"/>
  <c r="F72" i="23"/>
  <c r="K102" i="23"/>
  <c r="I72" i="23"/>
  <c r="K59" i="23"/>
  <c r="J83" i="23"/>
  <c r="F39" i="24"/>
  <c r="F50" i="23"/>
  <c r="G59" i="23"/>
  <c r="I94" i="23"/>
  <c r="G87" i="23"/>
  <c r="J78" i="23"/>
  <c r="J30" i="18"/>
  <c r="I48" i="23"/>
  <c r="F67" i="24"/>
  <c r="J91" i="23"/>
  <c r="K72" i="23"/>
  <c r="K63" i="23"/>
  <c r="G74" i="23"/>
  <c r="I59" i="23"/>
  <c r="K51" i="23"/>
  <c r="G70" i="23"/>
  <c r="I60" i="23"/>
  <c r="G65" i="23"/>
  <c r="K106" i="23"/>
  <c r="F44" i="23"/>
  <c r="I30" i="18"/>
  <c r="F83" i="23"/>
  <c r="E101" i="23"/>
  <c r="E60" i="23"/>
  <c r="G32" i="23"/>
  <c r="I35" i="18"/>
  <c r="G85" i="24"/>
  <c r="I73" i="23"/>
  <c r="G32" i="18"/>
  <c r="E72" i="23"/>
  <c r="F76" i="23"/>
  <c r="H105" i="23"/>
  <c r="J104" i="23"/>
  <c r="F39" i="23"/>
  <c r="K91" i="23"/>
  <c r="E74" i="23"/>
  <c r="F99" i="23"/>
  <c r="G72" i="23"/>
  <c r="H38" i="18"/>
  <c r="G40" i="23"/>
  <c r="F60" i="23"/>
  <c r="F38" i="23"/>
  <c r="F94" i="23"/>
  <c r="J60" i="23"/>
  <c r="E104" i="23"/>
  <c r="K53" i="23"/>
  <c r="K49" i="23"/>
  <c r="I32" i="23"/>
  <c r="K74" i="23"/>
  <c r="F34" i="23"/>
  <c r="I31" i="23"/>
  <c r="I78" i="23"/>
  <c r="H74" i="23"/>
  <c r="H81" i="23"/>
  <c r="E21" i="17"/>
  <c r="K60" i="23"/>
  <c r="E84" i="23"/>
  <c r="E31" i="23"/>
  <c r="J65" i="24"/>
  <c r="F90" i="23"/>
  <c r="J85" i="23"/>
  <c r="I81" i="23"/>
  <c r="I99" i="23"/>
  <c r="H48" i="23"/>
  <c r="H46" i="23"/>
  <c r="K92" i="23"/>
  <c r="J35" i="18"/>
  <c r="E59" i="23"/>
  <c r="G38" i="18"/>
  <c r="J76" i="23"/>
  <c r="E90" i="23"/>
  <c r="F53" i="23"/>
  <c r="J106" i="23"/>
  <c r="H32" i="23"/>
  <c r="G73" i="23"/>
  <c r="J38" i="18"/>
  <c r="J37" i="18"/>
  <c r="H78" i="23"/>
  <c r="G83" i="23"/>
  <c r="AE20" i="17"/>
  <c r="K35" i="18"/>
  <c r="G48" i="24"/>
  <c r="K73" i="23"/>
  <c r="J66" i="23"/>
  <c r="G51" i="23"/>
  <c r="E48" i="23"/>
  <c r="H83" i="23"/>
  <c r="I66" i="24"/>
  <c r="J87" i="23"/>
  <c r="H38" i="24"/>
  <c r="K44" i="23"/>
  <c r="G45" i="24"/>
  <c r="J32" i="18"/>
  <c r="F82" i="24"/>
  <c r="H62" i="23"/>
  <c r="G76" i="23"/>
  <c r="H80" i="23"/>
  <c r="E53" i="23"/>
  <c r="E78" i="23"/>
  <c r="E62" i="23"/>
  <c r="F74" i="23"/>
  <c r="I32" i="18"/>
  <c r="K62" i="23"/>
  <c r="I80" i="24"/>
  <c r="I69" i="24"/>
  <c r="F91" i="23"/>
  <c r="G44" i="23"/>
  <c r="H49" i="23"/>
  <c r="G30" i="18"/>
  <c r="I53" i="23"/>
  <c r="H32" i="18"/>
  <c r="G41" i="23"/>
  <c r="E62" i="24"/>
  <c r="E80" i="23"/>
  <c r="F92" i="23"/>
  <c r="H49" i="24"/>
  <c r="H42" i="23"/>
  <c r="G109" i="24"/>
  <c r="H56" i="24"/>
  <c r="G22" i="23"/>
  <c r="G56" i="23"/>
  <c r="G38" i="24"/>
  <c r="K93" i="24"/>
  <c r="K105" i="24"/>
  <c r="F100" i="24"/>
  <c r="K31" i="24"/>
  <c r="I101" i="24"/>
  <c r="E54" i="23"/>
  <c r="I99" i="24"/>
  <c r="J106" i="24"/>
  <c r="E51" i="24"/>
  <c r="N58" i="24"/>
  <c r="M73" i="24"/>
  <c r="M59" i="24"/>
  <c r="L33" i="24"/>
  <c r="N86" i="24"/>
  <c r="AA34" i="18"/>
  <c r="M55" i="24"/>
  <c r="AC32" i="24"/>
  <c r="M86" i="24"/>
  <c r="AC30" i="23"/>
  <c r="AN61" i="24"/>
  <c r="AO103" i="23"/>
  <c r="AN86" i="24"/>
  <c r="AC34" i="18"/>
  <c r="AO107" i="23"/>
  <c r="AF34" i="18"/>
  <c r="AN110" i="24"/>
  <c r="AO39" i="23"/>
  <c r="M106" i="24"/>
  <c r="M56" i="24"/>
  <c r="N52" i="24"/>
  <c r="AC37" i="23"/>
  <c r="AO76" i="23"/>
  <c r="M74" i="24"/>
  <c r="AO55" i="23"/>
  <c r="AO53" i="23"/>
  <c r="N60" i="24"/>
  <c r="AC31" i="24"/>
  <c r="AN30" i="24"/>
  <c r="N73" i="24"/>
  <c r="AN82" i="24"/>
  <c r="N40" i="24"/>
  <c r="N87" i="24"/>
  <c r="N98" i="24"/>
  <c r="AN33" i="24"/>
  <c r="M42" i="24"/>
  <c r="AO54" i="24"/>
  <c r="AO79" i="24"/>
  <c r="AN107" i="24"/>
  <c r="AF32" i="23"/>
  <c r="AO101" i="23"/>
  <c r="AN43" i="24"/>
  <c r="AA36" i="24"/>
  <c r="AO96" i="23"/>
  <c r="M102" i="24"/>
  <c r="AO87" i="23"/>
  <c r="AE36" i="24"/>
  <c r="AO102" i="23"/>
  <c r="AO60" i="23"/>
  <c r="AD34" i="18"/>
  <c r="N22" i="24"/>
  <c r="AO21" i="24"/>
  <c r="AU34" i="18"/>
  <c r="M79" i="24"/>
  <c r="AO31" i="23"/>
  <c r="AD36" i="24"/>
  <c r="L96" i="24"/>
  <c r="M49" i="24"/>
  <c r="AO28" i="23"/>
  <c r="N63" i="24"/>
  <c r="AB30" i="23"/>
  <c r="AB36" i="24"/>
  <c r="N90" i="24"/>
  <c r="O20" i="24"/>
  <c r="AC38" i="23"/>
  <c r="AO41" i="23"/>
  <c r="AB32" i="24"/>
  <c r="AO89" i="24"/>
  <c r="M93" i="24"/>
  <c r="N54" i="24"/>
  <c r="M38" i="24"/>
  <c r="AN109" i="24"/>
  <c r="L95" i="24"/>
  <c r="AN93" i="24"/>
  <c r="M108" i="24"/>
  <c r="AC35" i="23"/>
  <c r="M22" i="24"/>
  <c r="AO58" i="24"/>
  <c r="N47" i="24"/>
  <c r="AO59" i="23"/>
  <c r="AO71" i="23"/>
  <c r="AD32" i="23"/>
  <c r="AO48" i="23"/>
  <c r="AC36" i="24"/>
  <c r="AO78" i="23"/>
  <c r="AO77" i="23"/>
  <c r="AA32" i="24"/>
  <c r="AO55" i="24"/>
  <c r="AE32" i="23"/>
  <c r="AO36" i="23"/>
  <c r="AF31" i="24"/>
  <c r="M100" i="24"/>
  <c r="AN57" i="24"/>
  <c r="AB31" i="24"/>
  <c r="AO52" i="23"/>
  <c r="L47" i="24"/>
  <c r="AO72" i="23"/>
  <c r="AO109" i="23"/>
  <c r="AN88" i="24"/>
  <c r="AO103" i="24"/>
  <c r="AN75" i="24"/>
  <c r="AN69" i="24"/>
  <c r="AN95" i="24"/>
  <c r="N53" i="24"/>
  <c r="AN98" i="24"/>
  <c r="AO97" i="24"/>
  <c r="AO75" i="23"/>
  <c r="AF36" i="24"/>
  <c r="AO43" i="23"/>
  <c r="L43" i="24"/>
  <c r="AO105" i="24"/>
  <c r="AD31" i="24"/>
  <c r="AD38" i="23"/>
  <c r="AO88" i="23"/>
  <c r="AN47" i="24"/>
  <c r="AB34" i="24"/>
  <c r="AF34" i="24"/>
  <c r="M51" i="24"/>
  <c r="AB32" i="23"/>
  <c r="AO74" i="23"/>
  <c r="AE30" i="23"/>
  <c r="L71" i="24"/>
  <c r="AO21" i="23"/>
  <c r="AA34" i="24"/>
  <c r="AO22" i="24"/>
  <c r="AO56" i="23"/>
  <c r="AO80" i="23"/>
  <c r="AD32" i="24"/>
  <c r="M80" i="24"/>
  <c r="AA31" i="24"/>
  <c r="AN35" i="24"/>
  <c r="M39" i="24"/>
  <c r="AN37" i="24"/>
  <c r="AN96" i="24"/>
  <c r="AC34" i="24"/>
  <c r="N83" i="24"/>
  <c r="AO42" i="24"/>
  <c r="AA32" i="23"/>
  <c r="AN45" i="24"/>
  <c r="AF30" i="23"/>
  <c r="AE31" i="24"/>
  <c r="AO29" i="23"/>
  <c r="AO62" i="23"/>
  <c r="M85" i="24"/>
  <c r="AC32" i="23"/>
  <c r="AO57" i="24"/>
  <c r="AF32" i="24"/>
  <c r="M99" i="24"/>
  <c r="M72" i="24"/>
  <c r="AO89" i="23"/>
  <c r="M109" i="24"/>
  <c r="AE34" i="24"/>
  <c r="AO40" i="23"/>
  <c r="AO33" i="23"/>
  <c r="AO106" i="23"/>
  <c r="AE32" i="24"/>
  <c r="AD34" i="24"/>
  <c r="AO51" i="23"/>
  <c r="AO73" i="23"/>
  <c r="AN71" i="24"/>
  <c r="N55" i="24"/>
  <c r="AO81" i="23"/>
  <c r="AO22" i="23"/>
  <c r="M58" i="24"/>
  <c r="AN100" i="24"/>
  <c r="N103" i="24"/>
  <c r="M47" i="24"/>
  <c r="M65" i="24"/>
  <c r="AN77" i="24"/>
  <c r="N104" i="24"/>
  <c r="AE34" i="18"/>
  <c r="AN68" i="24"/>
  <c r="AO94" i="23"/>
  <c r="AO34" i="23"/>
  <c r="M68" i="24"/>
  <c r="AN97" i="24"/>
  <c r="AB34" i="18"/>
  <c r="L110" i="24"/>
  <c r="AO56" i="24"/>
  <c r="AD37" i="23"/>
  <c r="M67" i="24"/>
  <c r="AN108" i="24"/>
  <c r="M57" i="24"/>
  <c r="AN64" i="24"/>
  <c r="M52" i="24"/>
  <c r="AH35" i="23" l="1"/>
  <c r="R95" i="24"/>
  <c r="S95" i="24" s="1"/>
  <c r="R33" i="24"/>
  <c r="S33" i="24"/>
  <c r="S64" i="23"/>
  <c r="S77" i="23"/>
  <c r="S100" i="23"/>
  <c r="S37" i="23"/>
  <c r="S35" i="23"/>
  <c r="S95" i="23"/>
  <c r="S69" i="23"/>
  <c r="S75" i="23"/>
  <c r="S88" i="23"/>
  <c r="S93" i="23"/>
  <c r="S109" i="23"/>
  <c r="S33" i="23"/>
  <c r="S82" i="23"/>
  <c r="R96" i="24"/>
  <c r="S96" i="24" s="1"/>
  <c r="R71" i="24"/>
  <c r="S71" i="24"/>
  <c r="R47" i="24"/>
  <c r="S47" i="24" s="1"/>
  <c r="R110" i="24"/>
  <c r="S110" i="24" s="1"/>
  <c r="R43" i="24"/>
  <c r="S43" i="24" s="1"/>
  <c r="S30" i="23"/>
  <c r="S71" i="23"/>
  <c r="S108" i="23"/>
  <c r="S110" i="23"/>
  <c r="S47" i="23"/>
  <c r="S86" i="23"/>
  <c r="S43" i="23"/>
  <c r="S61" i="23"/>
  <c r="S45" i="23"/>
  <c r="S107" i="23"/>
  <c r="S68" i="23"/>
  <c r="S96" i="23"/>
  <c r="S98" i="23"/>
  <c r="AM32" i="18"/>
  <c r="C32" i="18" s="1"/>
  <c r="AM30" i="18"/>
  <c r="C30" i="18" s="1"/>
  <c r="AH34" i="18"/>
  <c r="AI34" i="18"/>
  <c r="AJ32" i="23"/>
  <c r="AF20" i="17"/>
  <c r="C20" i="17" s="1"/>
  <c r="C19" i="17" s="1"/>
  <c r="AE19" i="17"/>
  <c r="AH32" i="23"/>
  <c r="I19" i="17"/>
  <c r="D32" i="18"/>
  <c r="AF22" i="17"/>
  <c r="C22" i="17" s="1"/>
  <c r="AK32" i="23"/>
  <c r="AG32" i="23"/>
  <c r="AI32" i="23"/>
  <c r="AJ30" i="23"/>
  <c r="AH37" i="23"/>
  <c r="AK30" i="23"/>
  <c r="AG30" i="23"/>
  <c r="AH30" i="23"/>
  <c r="AI37" i="23"/>
  <c r="D21" i="17"/>
  <c r="D34" i="24"/>
  <c r="D32" i="24"/>
  <c r="AK31" i="24"/>
  <c r="AK36" i="24"/>
  <c r="AK32" i="24"/>
  <c r="AK34" i="24"/>
  <c r="AJ31" i="24"/>
  <c r="AJ36" i="24"/>
  <c r="AJ34" i="24"/>
  <c r="AJ32" i="24"/>
  <c r="AJ34" i="18"/>
  <c r="AK34" i="18"/>
  <c r="AM33" i="18"/>
  <c r="C33" i="18" s="1"/>
  <c r="D32" i="23"/>
  <c r="AM34" i="26"/>
  <c r="C34" i="26" s="1"/>
  <c r="AM35" i="26"/>
  <c r="C35" i="26" s="1"/>
  <c r="AM37" i="26"/>
  <c r="C37" i="26" s="1"/>
  <c r="AM32" i="26"/>
  <c r="C32" i="26" s="1"/>
  <c r="AL31" i="24"/>
  <c r="AM28" i="24"/>
  <c r="C28" i="24" s="1"/>
  <c r="AM29" i="24"/>
  <c r="C29" i="24" s="1"/>
  <c r="AG34" i="24"/>
  <c r="AH36" i="24"/>
  <c r="AH32" i="24"/>
  <c r="AH34" i="24"/>
  <c r="AI34" i="24"/>
  <c r="AG36" i="24"/>
  <c r="AG31" i="24"/>
  <c r="AI32" i="24"/>
  <c r="AG32" i="24"/>
  <c r="AH31" i="24"/>
  <c r="AI31" i="24"/>
  <c r="AI36" i="24"/>
  <c r="AI38" i="23"/>
  <c r="AH38" i="23"/>
  <c r="AG34" i="18"/>
  <c r="C31" i="18"/>
  <c r="D34" i="16"/>
  <c r="Y35" i="16"/>
  <c r="Y39" i="18"/>
  <c r="E35" i="16"/>
  <c r="K34" i="16"/>
  <c r="J35" i="16"/>
  <c r="I35" i="16"/>
  <c r="F35" i="16"/>
  <c r="H35" i="16"/>
  <c r="G35" i="16"/>
  <c r="E41" i="24"/>
  <c r="K103" i="24"/>
  <c r="I40" i="24"/>
  <c r="H72" i="24"/>
  <c r="K89" i="23"/>
  <c r="I106" i="24"/>
  <c r="H29" i="18"/>
  <c r="F98" i="24"/>
  <c r="E65" i="24"/>
  <c r="J81" i="24"/>
  <c r="J92" i="24"/>
  <c r="I64" i="24"/>
  <c r="E56" i="24"/>
  <c r="I56" i="23"/>
  <c r="J59" i="24"/>
  <c r="E102" i="24"/>
  <c r="F83" i="24"/>
  <c r="F84" i="24"/>
  <c r="I36" i="24"/>
  <c r="E74" i="24"/>
  <c r="I72" i="24"/>
  <c r="I52" i="24"/>
  <c r="K61" i="24"/>
  <c r="G54" i="23"/>
  <c r="I50" i="24"/>
  <c r="H70" i="24"/>
  <c r="E103" i="23"/>
  <c r="I22" i="18"/>
  <c r="E106" i="24"/>
  <c r="E97" i="24"/>
  <c r="H103" i="23"/>
  <c r="H58" i="23"/>
  <c r="F41" i="24"/>
  <c r="G39" i="18"/>
  <c r="F58" i="23"/>
  <c r="E66" i="24"/>
  <c r="G80" i="24"/>
  <c r="G33" i="18"/>
  <c r="I93" i="24"/>
  <c r="K86" i="24"/>
  <c r="F62" i="24"/>
  <c r="J66" i="24"/>
  <c r="G87" i="24"/>
  <c r="I76" i="24"/>
  <c r="I56" i="24"/>
  <c r="I107" i="24"/>
  <c r="K87" i="24"/>
  <c r="G58" i="24"/>
  <c r="H64" i="24"/>
  <c r="J83" i="24"/>
  <c r="F103" i="24"/>
  <c r="H57" i="23"/>
  <c r="E101" i="24"/>
  <c r="F40" i="24"/>
  <c r="G34" i="18"/>
  <c r="H51" i="24"/>
  <c r="K39" i="18"/>
  <c r="K42" i="24"/>
  <c r="K110" i="23"/>
  <c r="H89" i="24"/>
  <c r="G58" i="23"/>
  <c r="G88" i="24"/>
  <c r="I39" i="18"/>
  <c r="K62" i="24"/>
  <c r="K58" i="23"/>
  <c r="K70" i="24"/>
  <c r="K73" i="24"/>
  <c r="G63" i="24"/>
  <c r="F106" i="24"/>
  <c r="E103" i="24"/>
  <c r="K46" i="24"/>
  <c r="J69" i="24"/>
  <c r="F57" i="24"/>
  <c r="I44" i="24"/>
  <c r="I94" i="24"/>
  <c r="I60" i="24"/>
  <c r="I28" i="18"/>
  <c r="I41" i="24"/>
  <c r="H55" i="24"/>
  <c r="G73" i="24"/>
  <c r="J72" i="24"/>
  <c r="E36" i="24"/>
  <c r="H81" i="24"/>
  <c r="J84" i="24"/>
  <c r="H79" i="24"/>
  <c r="J78" i="24"/>
  <c r="G107" i="24"/>
  <c r="K56" i="23"/>
  <c r="J36" i="18"/>
  <c r="K101" i="24"/>
  <c r="H91" i="24"/>
  <c r="H103" i="24"/>
  <c r="G97" i="23"/>
  <c r="F76" i="24"/>
  <c r="H80" i="24"/>
  <c r="K84" i="24"/>
  <c r="H73" i="24"/>
  <c r="J56" i="23"/>
  <c r="I83" i="24"/>
  <c r="I97" i="24"/>
  <c r="J79" i="24"/>
  <c r="K94" i="24"/>
  <c r="I108" i="24"/>
  <c r="F28" i="18"/>
  <c r="H98" i="24"/>
  <c r="H54" i="24"/>
  <c r="I22" i="24"/>
  <c r="G55" i="23"/>
  <c r="J39" i="24"/>
  <c r="I67" i="24"/>
  <c r="J88" i="24"/>
  <c r="H101" i="24"/>
  <c r="E90" i="24"/>
  <c r="G55" i="24"/>
  <c r="E42" i="23"/>
  <c r="E89" i="23"/>
  <c r="H63" i="24"/>
  <c r="K42" i="23"/>
  <c r="K79" i="23"/>
  <c r="H22" i="24"/>
  <c r="F42" i="23"/>
  <c r="H90" i="24"/>
  <c r="AE21" i="17"/>
  <c r="H94" i="24"/>
  <c r="F86" i="24"/>
  <c r="E75" i="24"/>
  <c r="I90" i="24"/>
  <c r="E87" i="24"/>
  <c r="E63" i="24"/>
  <c r="H66" i="24"/>
  <c r="E45" i="24"/>
  <c r="E94" i="24"/>
  <c r="E99" i="24"/>
  <c r="I78" i="24"/>
  <c r="I105" i="24"/>
  <c r="H105" i="24"/>
  <c r="G76" i="24"/>
  <c r="J31" i="24"/>
  <c r="F56" i="23"/>
  <c r="F52" i="24"/>
  <c r="I82" i="24"/>
  <c r="H75" i="24"/>
  <c r="F105" i="23"/>
  <c r="H65" i="24"/>
  <c r="K106" i="24"/>
  <c r="I75" i="24"/>
  <c r="E31" i="18"/>
  <c r="K49" i="24"/>
  <c r="H82" i="24"/>
  <c r="I102" i="24"/>
  <c r="G42" i="24"/>
  <c r="F33" i="18"/>
  <c r="E55" i="24"/>
  <c r="E36" i="18"/>
  <c r="J93" i="24"/>
  <c r="F30" i="24"/>
  <c r="I46" i="24"/>
  <c r="K36" i="18"/>
  <c r="F54" i="23"/>
  <c r="E22" i="23"/>
  <c r="AA22" i="24" s="1"/>
  <c r="F53" i="24"/>
  <c r="K60" i="24"/>
  <c r="H87" i="24"/>
  <c r="K56" i="24"/>
  <c r="G22" i="24"/>
  <c r="G100" i="24"/>
  <c r="J51" i="24"/>
  <c r="H84" i="24"/>
  <c r="J52" i="24"/>
  <c r="E93" i="24"/>
  <c r="G101" i="24"/>
  <c r="K82" i="24"/>
  <c r="J41" i="24"/>
  <c r="I68" i="24"/>
  <c r="G75" i="24"/>
  <c r="I103" i="23"/>
  <c r="F38" i="24"/>
  <c r="J99" i="24"/>
  <c r="K97" i="24"/>
  <c r="E53" i="24"/>
  <c r="G79" i="23"/>
  <c r="E44" i="24"/>
  <c r="J28" i="18"/>
  <c r="H39" i="18"/>
  <c r="G36" i="24"/>
  <c r="E91" i="24"/>
  <c r="G49" i="24"/>
  <c r="H69" i="24"/>
  <c r="I29" i="18"/>
  <c r="E29" i="18"/>
  <c r="E85" i="24"/>
  <c r="F108" i="24"/>
  <c r="G106" i="24"/>
  <c r="I34" i="18"/>
  <c r="K31" i="18"/>
  <c r="F72" i="24"/>
  <c r="I103" i="24"/>
  <c r="G50" i="24"/>
  <c r="H67" i="24"/>
  <c r="I100" i="24"/>
  <c r="F88" i="24"/>
  <c r="E109" i="24"/>
  <c r="I62" i="24"/>
  <c r="H100" i="24"/>
  <c r="K76" i="24"/>
  <c r="E105" i="23"/>
  <c r="I65" i="24"/>
  <c r="I97" i="23"/>
  <c r="J77" i="24"/>
  <c r="H102" i="24"/>
  <c r="F69" i="24"/>
  <c r="G67" i="24"/>
  <c r="I81" i="24"/>
  <c r="G59" i="24"/>
  <c r="J103" i="23"/>
  <c r="E86" i="24"/>
  <c r="K91" i="24"/>
  <c r="J22" i="24"/>
  <c r="H31" i="18"/>
  <c r="I55" i="23"/>
  <c r="F22" i="18"/>
  <c r="G53" i="24"/>
  <c r="F73" i="24"/>
  <c r="K39" i="24"/>
  <c r="K55" i="24"/>
  <c r="J30" i="24"/>
  <c r="J105" i="23"/>
  <c r="F55" i="23"/>
  <c r="K98" i="24"/>
  <c r="K89" i="24"/>
  <c r="E54" i="24"/>
  <c r="G102" i="24"/>
  <c r="E104" i="24"/>
  <c r="F102" i="24"/>
  <c r="I57" i="24"/>
  <c r="F31" i="18"/>
  <c r="K63" i="24"/>
  <c r="E57" i="23"/>
  <c r="F85" i="24"/>
  <c r="H79" i="23"/>
  <c r="G54" i="24"/>
  <c r="G91" i="24"/>
  <c r="F79" i="24"/>
  <c r="K22" i="18"/>
  <c r="K54" i="24"/>
  <c r="G97" i="24"/>
  <c r="G90" i="24"/>
  <c r="K55" i="23"/>
  <c r="I89" i="23"/>
  <c r="K68" i="24"/>
  <c r="I109" i="24"/>
  <c r="E70" i="24"/>
  <c r="E69" i="24"/>
  <c r="K78" i="24"/>
  <c r="J54" i="24"/>
  <c r="H58" i="24"/>
  <c r="F99" i="24"/>
  <c r="I70" i="24"/>
  <c r="F94" i="24"/>
  <c r="J97" i="24"/>
  <c r="I42" i="24"/>
  <c r="J31" i="18"/>
  <c r="F107" i="24"/>
  <c r="E28" i="18"/>
  <c r="K72" i="24"/>
  <c r="I21" i="17"/>
  <c r="J62" i="24"/>
  <c r="J36" i="24"/>
  <c r="K29" i="18"/>
  <c r="J55" i="23"/>
  <c r="E57" i="24"/>
  <c r="G42" i="23"/>
  <c r="I58" i="24"/>
  <c r="F22" i="23"/>
  <c r="H60" i="24"/>
  <c r="G40" i="24"/>
  <c r="G36" i="18"/>
  <c r="G104" i="24"/>
  <c r="E49" i="24"/>
  <c r="F87" i="24"/>
  <c r="E67" i="24"/>
  <c r="G69" i="24"/>
  <c r="K100" i="24"/>
  <c r="K52" i="24"/>
  <c r="K81" i="24"/>
  <c r="J67" i="24"/>
  <c r="I79" i="24"/>
  <c r="J55" i="24"/>
  <c r="E98" i="24"/>
  <c r="K83" i="24"/>
  <c r="I57" i="23"/>
  <c r="E48" i="24"/>
  <c r="H89" i="23"/>
  <c r="E73" i="24"/>
  <c r="G82" i="24"/>
  <c r="J49" i="24"/>
  <c r="H33" i="18"/>
  <c r="E33" i="18"/>
  <c r="G64" i="24"/>
  <c r="H93" i="24"/>
  <c r="J63" i="24"/>
  <c r="F78" i="24"/>
  <c r="I85" i="24"/>
  <c r="H41" i="24"/>
  <c r="E58" i="23"/>
  <c r="H106" i="24"/>
  <c r="E61" i="24"/>
  <c r="F97" i="23"/>
  <c r="K69" i="24"/>
  <c r="J82" i="24"/>
  <c r="J54" i="23"/>
  <c r="H46" i="24"/>
  <c r="I31" i="24"/>
  <c r="H36" i="18"/>
  <c r="K40" i="24"/>
  <c r="F54" i="24"/>
  <c r="H57" i="24"/>
  <c r="J70" i="24"/>
  <c r="K22" i="24"/>
  <c r="K59" i="24"/>
  <c r="F58" i="24"/>
  <c r="J57" i="23"/>
  <c r="I74" i="24"/>
  <c r="I42" i="23"/>
  <c r="I53" i="24"/>
  <c r="E50" i="24"/>
  <c r="F104" i="24"/>
  <c r="I58" i="23"/>
  <c r="K85" i="24"/>
  <c r="G108" i="24"/>
  <c r="E79" i="24"/>
  <c r="J64" i="24"/>
  <c r="E46" i="24"/>
  <c r="F79" i="23"/>
  <c r="G52" i="24"/>
  <c r="F42" i="24"/>
  <c r="J29" i="18"/>
  <c r="K102" i="24"/>
  <c r="J90" i="24"/>
  <c r="J97" i="23"/>
  <c r="E39" i="18"/>
  <c r="H61" i="24"/>
  <c r="K90" i="24"/>
  <c r="G68" i="24"/>
  <c r="J46" i="24"/>
  <c r="G56" i="24"/>
  <c r="J53" i="24"/>
  <c r="F49" i="24"/>
  <c r="H76" i="24"/>
  <c r="I63" i="24"/>
  <c r="H59" i="24"/>
  <c r="H99" i="24"/>
  <c r="I54" i="24"/>
  <c r="H36" i="24"/>
  <c r="F93" i="24"/>
  <c r="F91" i="24"/>
  <c r="E59" i="24"/>
  <c r="G28" i="18"/>
  <c r="K109" i="24"/>
  <c r="J39" i="18"/>
  <c r="E105" i="24"/>
  <c r="J58" i="23"/>
  <c r="E100" i="24"/>
  <c r="H77" i="24"/>
  <c r="H56" i="23"/>
  <c r="K41" i="24"/>
  <c r="H34" i="18"/>
  <c r="J40" i="24"/>
  <c r="E33" i="24"/>
  <c r="F92" i="24"/>
  <c r="H53" i="24"/>
  <c r="J79" i="23"/>
  <c r="F45" i="24"/>
  <c r="F39" i="18"/>
  <c r="J76" i="24"/>
  <c r="J60" i="24"/>
  <c r="E80" i="24"/>
  <c r="E81" i="24"/>
  <c r="I110" i="23"/>
  <c r="K58" i="24"/>
  <c r="H45" i="24"/>
  <c r="F56" i="24"/>
  <c r="H22" i="18"/>
  <c r="F97" i="24"/>
  <c r="H44" i="24"/>
  <c r="F64" i="24"/>
  <c r="E88" i="24"/>
  <c r="I98" i="24"/>
  <c r="J22" i="23"/>
  <c r="G86" i="24"/>
  <c r="F22" i="24"/>
  <c r="K38" i="24"/>
  <c r="H97" i="24"/>
  <c r="J42" i="24"/>
  <c r="J80" i="24"/>
  <c r="H108" i="24"/>
  <c r="H74" i="24"/>
  <c r="F34" i="18"/>
  <c r="J100" i="24"/>
  <c r="G39" i="24"/>
  <c r="G46" i="24"/>
  <c r="J22" i="18"/>
  <c r="H55" i="23"/>
  <c r="J42" i="23"/>
  <c r="J44" i="24"/>
  <c r="H86" i="24"/>
  <c r="H31" i="24"/>
  <c r="K57" i="23"/>
  <c r="G93" i="24"/>
  <c r="F66" i="24"/>
  <c r="F77" i="24"/>
  <c r="J57" i="24"/>
  <c r="H30" i="24"/>
  <c r="K97" i="23"/>
  <c r="I73" i="24"/>
  <c r="I45" i="24"/>
  <c r="K104" i="24"/>
  <c r="J107" i="24"/>
  <c r="F36" i="24"/>
  <c r="K92" i="24"/>
  <c r="I38" i="24"/>
  <c r="G105" i="24"/>
  <c r="J108" i="24"/>
  <c r="J38" i="24"/>
  <c r="H28" i="18"/>
  <c r="F57" i="23"/>
  <c r="K51" i="24"/>
  <c r="J103" i="24"/>
  <c r="J56" i="24"/>
  <c r="K34" i="18"/>
  <c r="G78" i="24"/>
  <c r="J75" i="24"/>
  <c r="G22" i="18"/>
  <c r="H92" i="24"/>
  <c r="G30" i="24"/>
  <c r="G99" i="24"/>
  <c r="J87" i="24"/>
  <c r="G81" i="24"/>
  <c r="K103" i="23"/>
  <c r="G72" i="24"/>
  <c r="F36" i="18"/>
  <c r="G70" i="24"/>
  <c r="J86" i="24"/>
  <c r="E58" i="24"/>
  <c r="F60" i="24"/>
  <c r="F63" i="24"/>
  <c r="I31" i="18"/>
  <c r="I61" i="24"/>
  <c r="K33" i="18"/>
  <c r="G31" i="24"/>
  <c r="H88" i="24"/>
  <c r="F29" i="18"/>
  <c r="H40" i="24"/>
  <c r="E42" i="24"/>
  <c r="F50" i="24"/>
  <c r="E76" i="24"/>
  <c r="H52" i="24"/>
  <c r="G89" i="23"/>
  <c r="G66" i="24"/>
  <c r="E107" i="24"/>
  <c r="F51" i="24"/>
  <c r="K54" i="23"/>
  <c r="J89" i="23"/>
  <c r="K65" i="24"/>
  <c r="F90" i="24"/>
  <c r="E22" i="18"/>
  <c r="G57" i="23"/>
  <c r="I79" i="23"/>
  <c r="J89" i="24"/>
  <c r="K99" i="24"/>
  <c r="G65" i="24"/>
  <c r="E77" i="24"/>
  <c r="F59" i="24"/>
  <c r="K105" i="23"/>
  <c r="F55" i="24"/>
  <c r="K88" i="24"/>
  <c r="I39" i="24"/>
  <c r="H78" i="24"/>
  <c r="F89" i="23"/>
  <c r="I105" i="23"/>
  <c r="K77" i="24"/>
  <c r="H50" i="24"/>
  <c r="G103" i="24"/>
  <c r="E55" i="23"/>
  <c r="K79" i="24"/>
  <c r="K108" i="24"/>
  <c r="G62" i="24"/>
  <c r="E82" i="24"/>
  <c r="H22" i="23"/>
  <c r="AD22" i="24" s="1"/>
  <c r="K50" i="24"/>
  <c r="H42" i="24"/>
  <c r="K80" i="24"/>
  <c r="E22" i="24"/>
  <c r="I55" i="24"/>
  <c r="G103" i="23"/>
  <c r="G74" i="24"/>
  <c r="I36" i="18"/>
  <c r="F105" i="24"/>
  <c r="K30" i="24"/>
  <c r="H109" i="24"/>
  <c r="G44" i="24"/>
  <c r="G61" i="24"/>
  <c r="I49" i="24"/>
  <c r="J85" i="24"/>
  <c r="F81" i="24"/>
  <c r="F101" i="24"/>
  <c r="H39" i="24"/>
  <c r="G77" i="24"/>
  <c r="J94" i="24"/>
  <c r="F48" i="24"/>
  <c r="E108" i="24"/>
  <c r="H62" i="24"/>
  <c r="E79" i="23"/>
  <c r="I91" i="24"/>
  <c r="J105" i="24"/>
  <c r="E92" i="24"/>
  <c r="G31" i="18"/>
  <c r="E52" i="24"/>
  <c r="J68" i="24"/>
  <c r="I54" i="23"/>
  <c r="F61" i="24"/>
  <c r="I86" i="24"/>
  <c r="F75" i="24"/>
  <c r="E38" i="24"/>
  <c r="J104" i="24"/>
  <c r="E83" i="24"/>
  <c r="G60" i="24"/>
  <c r="E64" i="24"/>
  <c r="E60" i="24"/>
  <c r="K66" i="24"/>
  <c r="I30" i="24"/>
  <c r="E43" i="24"/>
  <c r="G98" i="24"/>
  <c r="K53" i="24"/>
  <c r="J33" i="18"/>
  <c r="G84" i="24"/>
  <c r="J34" i="18"/>
  <c r="E72" i="24"/>
  <c r="H110" i="23"/>
  <c r="F65" i="24"/>
  <c r="E34" i="18"/>
  <c r="I77" i="24"/>
  <c r="I89" i="24"/>
  <c r="G83" i="24"/>
  <c r="I104" i="24"/>
  <c r="I48" i="24"/>
  <c r="E40" i="24"/>
  <c r="E89" i="24"/>
  <c r="K28" i="18"/>
  <c r="J45" i="24"/>
  <c r="J58" i="24"/>
  <c r="K67" i="24"/>
  <c r="E56" i="23"/>
  <c r="K57" i="24"/>
  <c r="H43" i="24"/>
  <c r="H54" i="23"/>
  <c r="H107" i="24"/>
  <c r="J48" i="24"/>
  <c r="E84" i="24"/>
  <c r="H48" i="24"/>
  <c r="H104" i="24"/>
  <c r="G29" i="18"/>
  <c r="K45" i="24"/>
  <c r="E68" i="24"/>
  <c r="I87" i="24"/>
  <c r="J101" i="24"/>
  <c r="I33" i="18"/>
  <c r="E97" i="23"/>
  <c r="J98" i="24"/>
  <c r="I51" i="24"/>
  <c r="G41" i="24"/>
  <c r="F80" i="24"/>
  <c r="K36" i="24"/>
  <c r="H83" i="24"/>
  <c r="K44" i="24"/>
  <c r="J109" i="24"/>
  <c r="H97" i="23"/>
  <c r="J74" i="24"/>
  <c r="E39" i="24"/>
  <c r="F31" i="24"/>
  <c r="G89" i="24"/>
  <c r="K74" i="24"/>
  <c r="H68" i="24"/>
  <c r="E31" i="24"/>
  <c r="J73" i="24"/>
  <c r="G51" i="24"/>
  <c r="K22" i="23"/>
  <c r="G92" i="24"/>
  <c r="H85" i="24"/>
  <c r="AO37" i="24"/>
  <c r="AO93" i="24"/>
  <c r="AA35" i="23"/>
  <c r="AA34" i="23"/>
  <c r="AC28" i="23"/>
  <c r="AB28" i="23"/>
  <c r="AC36" i="23"/>
  <c r="AC35" i="18"/>
  <c r="AA31" i="23"/>
  <c r="AE33" i="23"/>
  <c r="AD34" i="23"/>
  <c r="AO98" i="24"/>
  <c r="AE38" i="24"/>
  <c r="AB35" i="18"/>
  <c r="AF22" i="24"/>
  <c r="AD39" i="23"/>
  <c r="AB31" i="23"/>
  <c r="AE22" i="24"/>
  <c r="AO35" i="24"/>
  <c r="AO109" i="24"/>
  <c r="AF33" i="23"/>
  <c r="AA33" i="23"/>
  <c r="AO30" i="24"/>
  <c r="AC22" i="23"/>
  <c r="AE34" i="23"/>
  <c r="AA29" i="23"/>
  <c r="AO71" i="24"/>
  <c r="AE31" i="23"/>
  <c r="AB22" i="23"/>
  <c r="AB35" i="23"/>
  <c r="AD36" i="23"/>
  <c r="AD31" i="23"/>
  <c r="AC29" i="23"/>
  <c r="AB38" i="24"/>
  <c r="AO107" i="24"/>
  <c r="AO95" i="24"/>
  <c r="AO33" i="24"/>
  <c r="AD38" i="24"/>
  <c r="AF28" i="23"/>
  <c r="AF35" i="18"/>
  <c r="AA28" i="23"/>
  <c r="AO45" i="24"/>
  <c r="AA22" i="23"/>
  <c r="AF38" i="24"/>
  <c r="AF31" i="23"/>
  <c r="AE35" i="23"/>
  <c r="AO68" i="24"/>
  <c r="AC22" i="24"/>
  <c r="AU35" i="18"/>
  <c r="AC38" i="24"/>
  <c r="AO110" i="24"/>
  <c r="AD35" i="18"/>
  <c r="AA35" i="18"/>
  <c r="AO69" i="24"/>
  <c r="AO82" i="24"/>
  <c r="AF22" i="23"/>
  <c r="AO86" i="24"/>
  <c r="AD29" i="23"/>
  <c r="AE22" i="23"/>
  <c r="AB33" i="23"/>
  <c r="AO75" i="24"/>
  <c r="AO108" i="24"/>
  <c r="AO61" i="24"/>
  <c r="AC31" i="23"/>
  <c r="AE29" i="23"/>
  <c r="AD28" i="23"/>
  <c r="AO64" i="24"/>
  <c r="AO88" i="24"/>
  <c r="AF34" i="23"/>
  <c r="AO47" i="24"/>
  <c r="AO43" i="24"/>
  <c r="AE28" i="23"/>
  <c r="AC33" i="23"/>
  <c r="AB22" i="24"/>
  <c r="AF29" i="23"/>
  <c r="AB29" i="23"/>
  <c r="AO77" i="24"/>
  <c r="AA38" i="24"/>
  <c r="AO96" i="24"/>
  <c r="AD33" i="23"/>
  <c r="AE35" i="18"/>
  <c r="AC39" i="23"/>
  <c r="AD22" i="23"/>
  <c r="AO100" i="24"/>
  <c r="AC34" i="23"/>
  <c r="AF35" i="23"/>
  <c r="AB34" i="23"/>
  <c r="AI22" i="24" l="1"/>
  <c r="AL22" i="23"/>
  <c r="AF19" i="17"/>
  <c r="AH35" i="18"/>
  <c r="AI35" i="18"/>
  <c r="AM32" i="23"/>
  <c r="C32" i="23" s="1"/>
  <c r="AM30" i="23"/>
  <c r="C30" i="23" s="1"/>
  <c r="D31" i="23"/>
  <c r="D34" i="18"/>
  <c r="AL22" i="18"/>
  <c r="AM22" i="18" s="1"/>
  <c r="C22" i="18" s="1"/>
  <c r="AH31" i="23"/>
  <c r="D31" i="18"/>
  <c r="AK31" i="23"/>
  <c r="AJ31" i="23"/>
  <c r="AF21" i="17"/>
  <c r="C21" i="17" s="1"/>
  <c r="AG31" i="23"/>
  <c r="AI31" i="23"/>
  <c r="AK34" i="23"/>
  <c r="AJ22" i="23"/>
  <c r="AH28" i="23"/>
  <c r="AG33" i="23"/>
  <c r="AG34" i="23"/>
  <c r="AJ28" i="23"/>
  <c r="AG29" i="23"/>
  <c r="AH33" i="23"/>
  <c r="AH34" i="23"/>
  <c r="AH22" i="23"/>
  <c r="AI28" i="23"/>
  <c r="AK29" i="23"/>
  <c r="D22" i="23"/>
  <c r="D28" i="23"/>
  <c r="D29" i="23"/>
  <c r="AJ34" i="23"/>
  <c r="AI22" i="23"/>
  <c r="AG28" i="23"/>
  <c r="AI29" i="23"/>
  <c r="AK33" i="23"/>
  <c r="AH36" i="23"/>
  <c r="AK22" i="23"/>
  <c r="AK28" i="23"/>
  <c r="AJ29" i="23"/>
  <c r="AI33" i="23"/>
  <c r="D34" i="23"/>
  <c r="AH29" i="23"/>
  <c r="AJ33" i="23"/>
  <c r="AI36" i="23"/>
  <c r="AI34" i="23"/>
  <c r="AG22" i="23"/>
  <c r="D22" i="18"/>
  <c r="D28" i="18"/>
  <c r="D29" i="18"/>
  <c r="D33" i="18"/>
  <c r="D36" i="24"/>
  <c r="AK35" i="23"/>
  <c r="AK22" i="24"/>
  <c r="AK38" i="24"/>
  <c r="AJ38" i="24"/>
  <c r="AJ22" i="24"/>
  <c r="AJ35" i="18"/>
  <c r="AK35" i="18"/>
  <c r="AM34" i="18"/>
  <c r="C34" i="18" s="1"/>
  <c r="D31" i="24"/>
  <c r="D22" i="24"/>
  <c r="AM36" i="24"/>
  <c r="C36" i="24" s="1"/>
  <c r="AL22" i="24"/>
  <c r="AL30" i="24"/>
  <c r="AM32" i="24"/>
  <c r="C32" i="24" s="1"/>
  <c r="AM34" i="24"/>
  <c r="C34" i="24" s="1"/>
  <c r="AM31" i="24"/>
  <c r="C31" i="24" s="1"/>
  <c r="AH22" i="24"/>
  <c r="AG22" i="24"/>
  <c r="AH38" i="24"/>
  <c r="AG38" i="24"/>
  <c r="AI38" i="24"/>
  <c r="D38" i="24"/>
  <c r="AJ35" i="23"/>
  <c r="AI39" i="23"/>
  <c r="AH39" i="23"/>
  <c r="AG35" i="23"/>
  <c r="AG35" i="18"/>
  <c r="D35" i="18"/>
  <c r="D35" i="16"/>
  <c r="Y36" i="16"/>
  <c r="Y40" i="18"/>
  <c r="K35" i="16"/>
  <c r="F36" i="16"/>
  <c r="J36" i="16"/>
  <c r="I36" i="16"/>
  <c r="G36" i="16"/>
  <c r="E36" i="16"/>
  <c r="H36" i="16"/>
  <c r="E110" i="24"/>
  <c r="G95" i="24"/>
  <c r="G100" i="23"/>
  <c r="G77" i="23"/>
  <c r="E88" i="23"/>
  <c r="K33" i="24"/>
  <c r="I33" i="24"/>
  <c r="H82" i="23"/>
  <c r="H33" i="24"/>
  <c r="E33" i="23"/>
  <c r="J33" i="24"/>
  <c r="I35" i="23"/>
  <c r="G93" i="23"/>
  <c r="F37" i="23"/>
  <c r="E71" i="24"/>
  <c r="I98" i="23"/>
  <c r="F61" i="23"/>
  <c r="E71" i="23"/>
  <c r="H96" i="23"/>
  <c r="I43" i="24"/>
  <c r="F107" i="23"/>
  <c r="I47" i="23"/>
  <c r="K71" i="24"/>
  <c r="G47" i="24"/>
  <c r="K98" i="23"/>
  <c r="I71" i="23"/>
  <c r="E68" i="23"/>
  <c r="J86" i="23"/>
  <c r="J61" i="23"/>
  <c r="H64" i="23"/>
  <c r="K71" i="23"/>
  <c r="J98" i="23"/>
  <c r="J43" i="24"/>
  <c r="I96" i="24"/>
  <c r="J95" i="24"/>
  <c r="J100" i="23"/>
  <c r="E77" i="23"/>
  <c r="I64" i="23"/>
  <c r="E75" i="23"/>
  <c r="G33" i="24"/>
  <c r="E69" i="23"/>
  <c r="F33" i="24"/>
  <c r="E95" i="23"/>
  <c r="K109" i="23"/>
  <c r="K35" i="23"/>
  <c r="J93" i="23"/>
  <c r="K37" i="23"/>
  <c r="I68" i="23"/>
  <c r="F86" i="23"/>
  <c r="G110" i="24"/>
  <c r="J107" i="23"/>
  <c r="G47" i="23"/>
  <c r="H71" i="23"/>
  <c r="F45" i="23"/>
  <c r="G108" i="23"/>
  <c r="E61" i="23"/>
  <c r="K68" i="23"/>
  <c r="H86" i="23"/>
  <c r="H107" i="23"/>
  <c r="H71" i="24"/>
  <c r="J96" i="23"/>
  <c r="E110" i="23"/>
  <c r="H88" i="23"/>
  <c r="G69" i="23"/>
  <c r="I95" i="23"/>
  <c r="G35" i="23"/>
  <c r="E93" i="23"/>
  <c r="F71" i="23"/>
  <c r="H47" i="23"/>
  <c r="K45" i="23"/>
  <c r="F30" i="23"/>
  <c r="E30" i="23"/>
  <c r="K108" i="23"/>
  <c r="F43" i="24"/>
  <c r="G43" i="24"/>
  <c r="F47" i="23"/>
  <c r="G75" i="23"/>
  <c r="F77" i="23"/>
  <c r="K33" i="23"/>
  <c r="J37" i="23"/>
  <c r="I107" i="23"/>
  <c r="E96" i="23"/>
  <c r="H47" i="24"/>
  <c r="F110" i="23"/>
  <c r="J96" i="24"/>
  <c r="F95" i="24"/>
  <c r="F100" i="23"/>
  <c r="F64" i="23"/>
  <c r="K75" i="23"/>
  <c r="J82" i="23"/>
  <c r="I33" i="23"/>
  <c r="G109" i="23"/>
  <c r="G37" i="23"/>
  <c r="G96" i="23"/>
  <c r="J108" i="23"/>
  <c r="J47" i="24"/>
  <c r="F47" i="24"/>
  <c r="K30" i="23"/>
  <c r="F98" i="23"/>
  <c r="K95" i="23"/>
  <c r="G68" i="23"/>
  <c r="J47" i="23"/>
  <c r="J110" i="23"/>
  <c r="H96" i="24"/>
  <c r="I95" i="24"/>
  <c r="I77" i="23"/>
  <c r="G88" i="23"/>
  <c r="E64" i="23"/>
  <c r="I75" i="23"/>
  <c r="I82" i="23"/>
  <c r="H69" i="23"/>
  <c r="G33" i="23"/>
  <c r="G95" i="23"/>
  <c r="H109" i="23"/>
  <c r="F35" i="23"/>
  <c r="H93" i="23"/>
  <c r="I37" i="23"/>
  <c r="E107" i="23"/>
  <c r="E47" i="23"/>
  <c r="E45" i="23"/>
  <c r="G30" i="23"/>
  <c r="F40" i="18"/>
  <c r="I96" i="23"/>
  <c r="H61" i="23"/>
  <c r="G45" i="23"/>
  <c r="E40" i="18"/>
  <c r="G71" i="23"/>
  <c r="K47" i="23"/>
  <c r="H43" i="23"/>
  <c r="K107" i="23"/>
  <c r="K43" i="24"/>
  <c r="I40" i="18"/>
  <c r="H95" i="24"/>
  <c r="H77" i="23"/>
  <c r="G64" i="23"/>
  <c r="I69" i="23"/>
  <c r="J109" i="23"/>
  <c r="F93" i="23"/>
  <c r="K40" i="18"/>
  <c r="F71" i="24"/>
  <c r="F96" i="23"/>
  <c r="K61" i="23"/>
  <c r="E95" i="24"/>
  <c r="K88" i="23"/>
  <c r="J69" i="23"/>
  <c r="H35" i="23"/>
  <c r="K47" i="24"/>
  <c r="K86" i="23"/>
  <c r="H40" i="18"/>
  <c r="J40" i="18"/>
  <c r="H68" i="23"/>
  <c r="K95" i="24"/>
  <c r="K82" i="23"/>
  <c r="I109" i="23"/>
  <c r="E86" i="23"/>
  <c r="G43" i="23"/>
  <c r="I110" i="24"/>
  <c r="E96" i="24"/>
  <c r="I100" i="23"/>
  <c r="K77" i="23"/>
  <c r="J88" i="23"/>
  <c r="K64" i="23"/>
  <c r="J75" i="23"/>
  <c r="F82" i="23"/>
  <c r="K69" i="23"/>
  <c r="F33" i="23"/>
  <c r="F95" i="23"/>
  <c r="F109" i="23"/>
  <c r="J35" i="23"/>
  <c r="I93" i="23"/>
  <c r="E37" i="23"/>
  <c r="J45" i="23"/>
  <c r="I108" i="23"/>
  <c r="G86" i="23"/>
  <c r="G61" i="23"/>
  <c r="J71" i="24"/>
  <c r="E47" i="24"/>
  <c r="J43" i="23"/>
  <c r="H110" i="24"/>
  <c r="J71" i="23"/>
  <c r="G107" i="23"/>
  <c r="G96" i="24"/>
  <c r="I86" i="23"/>
  <c r="I45" i="23"/>
  <c r="F108" i="23"/>
  <c r="K110" i="24"/>
  <c r="H100" i="23"/>
  <c r="I88" i="23"/>
  <c r="H75" i="23"/>
  <c r="E82" i="23"/>
  <c r="J33" i="23"/>
  <c r="H95" i="23"/>
  <c r="E35" i="23"/>
  <c r="J30" i="23"/>
  <c r="I47" i="24"/>
  <c r="K43" i="23"/>
  <c r="H30" i="23"/>
  <c r="G98" i="23"/>
  <c r="E108" i="23"/>
  <c r="H45" i="23"/>
  <c r="H108" i="23"/>
  <c r="J68" i="23"/>
  <c r="G40" i="18"/>
  <c r="J110" i="24"/>
  <c r="E100" i="23"/>
  <c r="J77" i="23"/>
  <c r="J64" i="23"/>
  <c r="G82" i="23"/>
  <c r="H33" i="23"/>
  <c r="E109" i="23"/>
  <c r="H37" i="23"/>
  <c r="I61" i="23"/>
  <c r="I71" i="24"/>
  <c r="H98" i="23"/>
  <c r="F68" i="23"/>
  <c r="F96" i="24"/>
  <c r="E98" i="23"/>
  <c r="I30" i="23"/>
  <c r="I43" i="23"/>
  <c r="F43" i="23"/>
  <c r="F110" i="24"/>
  <c r="K100" i="23"/>
  <c r="F88" i="23"/>
  <c r="F75" i="23"/>
  <c r="F69" i="23"/>
  <c r="J95" i="23"/>
  <c r="K93" i="23"/>
  <c r="E43" i="23"/>
  <c r="K96" i="24"/>
  <c r="K96" i="23"/>
  <c r="G71" i="24"/>
  <c r="G110" i="23"/>
  <c r="AB33" i="24"/>
  <c r="AF35" i="24"/>
  <c r="AA37" i="24"/>
  <c r="AD39" i="24"/>
  <c r="AE36" i="18"/>
  <c r="AC36" i="18"/>
  <c r="AE39" i="24"/>
  <c r="AC37" i="24"/>
  <c r="AC33" i="24"/>
  <c r="AE37" i="24"/>
  <c r="AF33" i="24"/>
  <c r="AA35" i="24"/>
  <c r="AD36" i="18"/>
  <c r="AE30" i="24"/>
  <c r="AF39" i="24"/>
  <c r="AD40" i="23"/>
  <c r="AA33" i="24"/>
  <c r="AB37" i="24"/>
  <c r="AA39" i="24"/>
  <c r="AU36" i="18"/>
  <c r="AD33" i="24"/>
  <c r="AD35" i="24"/>
  <c r="AD37" i="24"/>
  <c r="AF30" i="24"/>
  <c r="AF36" i="23"/>
  <c r="AB30" i="24"/>
  <c r="AB39" i="24"/>
  <c r="AE35" i="24"/>
  <c r="AE33" i="24"/>
  <c r="AC30" i="24"/>
  <c r="AB36" i="18"/>
  <c r="AF37" i="24"/>
  <c r="AA36" i="23"/>
  <c r="AC39" i="24"/>
  <c r="AC40" i="23"/>
  <c r="AA30" i="24"/>
  <c r="AD30" i="24"/>
  <c r="AA36" i="18"/>
  <c r="AC35" i="24"/>
  <c r="AB35" i="24"/>
  <c r="AE36" i="23"/>
  <c r="AF36" i="18"/>
  <c r="AB36" i="23"/>
  <c r="D35" i="23" l="1"/>
  <c r="AG35" i="24"/>
  <c r="AM35" i="24" s="1"/>
  <c r="C35" i="24" s="1"/>
  <c r="AH35" i="24"/>
  <c r="AK37" i="24"/>
  <c r="AJ33" i="24"/>
  <c r="AJ35" i="24"/>
  <c r="AI37" i="24"/>
  <c r="AI35" i="24"/>
  <c r="AI33" i="24"/>
  <c r="AG37" i="24"/>
  <c r="AM37" i="24" s="1"/>
  <c r="C37" i="24" s="1"/>
  <c r="D33" i="24"/>
  <c r="D35" i="24"/>
  <c r="AK33" i="24"/>
  <c r="AJ37" i="24"/>
  <c r="AH33" i="24"/>
  <c r="AM33" i="24" s="1"/>
  <c r="C33" i="24" s="1"/>
  <c r="AH37" i="24"/>
  <c r="D37" i="24"/>
  <c r="D17" i="24" s="1"/>
  <c r="AK35" i="24"/>
  <c r="AG33" i="24"/>
  <c r="D33" i="23"/>
  <c r="D30" i="24"/>
  <c r="AJ30" i="24"/>
  <c r="D30" i="23"/>
  <c r="AG30" i="24"/>
  <c r="AI30" i="24"/>
  <c r="AH30" i="24"/>
  <c r="AK30" i="24"/>
  <c r="AM34" i="23"/>
  <c r="C34" i="23" s="1"/>
  <c r="AH36" i="18"/>
  <c r="AI36" i="18"/>
  <c r="AM33" i="23"/>
  <c r="C33" i="23" s="1"/>
  <c r="AM31" i="23"/>
  <c r="C31" i="23" s="1"/>
  <c r="AM28" i="23"/>
  <c r="C28" i="23" s="1"/>
  <c r="AM22" i="23"/>
  <c r="C22" i="23" s="1"/>
  <c r="AM29" i="23"/>
  <c r="C29" i="23" s="1"/>
  <c r="AK36" i="23"/>
  <c r="AK39" i="24"/>
  <c r="AJ39" i="24"/>
  <c r="AJ36" i="18"/>
  <c r="AK36" i="18"/>
  <c r="AM35" i="18"/>
  <c r="C35" i="18" s="1"/>
  <c r="AM38" i="24"/>
  <c r="C38" i="24" s="1"/>
  <c r="AM22" i="24"/>
  <c r="C22" i="24" s="1"/>
  <c r="AH39" i="24"/>
  <c r="D39" i="24"/>
  <c r="AI39" i="24"/>
  <c r="AG39" i="24"/>
  <c r="AM35" i="23"/>
  <c r="C35" i="23" s="1"/>
  <c r="AJ36" i="23"/>
  <c r="AI40" i="23"/>
  <c r="AH40" i="23"/>
  <c r="AG36" i="23"/>
  <c r="AG36" i="18"/>
  <c r="D36" i="23"/>
  <c r="D36" i="18"/>
  <c r="D36" i="16"/>
  <c r="Y37" i="16"/>
  <c r="Y41" i="18"/>
  <c r="H37" i="16"/>
  <c r="F37" i="16"/>
  <c r="G37" i="16"/>
  <c r="K36" i="16"/>
  <c r="E37" i="16"/>
  <c r="J37" i="16"/>
  <c r="I37" i="16"/>
  <c r="I41" i="18"/>
  <c r="J41" i="18"/>
  <c r="G41" i="18"/>
  <c r="E41" i="18"/>
  <c r="F41" i="18"/>
  <c r="H41" i="18"/>
  <c r="K41" i="18"/>
  <c r="AA37" i="18"/>
  <c r="AD41" i="23"/>
  <c r="AD37" i="18"/>
  <c r="AE37" i="23"/>
  <c r="AF37" i="23"/>
  <c r="AA40" i="24"/>
  <c r="AB40" i="24"/>
  <c r="AD40" i="24"/>
  <c r="AC41" i="23"/>
  <c r="AB37" i="23"/>
  <c r="AF40" i="24"/>
  <c r="AC37" i="18"/>
  <c r="AE37" i="18"/>
  <c r="AA37" i="23"/>
  <c r="AE40" i="24"/>
  <c r="AU37" i="18"/>
  <c r="AF37" i="18"/>
  <c r="AB37" i="18"/>
  <c r="AC40" i="24"/>
  <c r="AM30" i="24" l="1"/>
  <c r="C30" i="24" s="1"/>
  <c r="AI37" i="18"/>
  <c r="AH37" i="18"/>
  <c r="AK37" i="23"/>
  <c r="AK40" i="24"/>
  <c r="AJ40" i="24"/>
  <c r="AJ37" i="18"/>
  <c r="AK37" i="18"/>
  <c r="AM36" i="18"/>
  <c r="C36" i="18" s="1"/>
  <c r="AM39" i="24"/>
  <c r="C39" i="24" s="1"/>
  <c r="AH40" i="24"/>
  <c r="D40" i="24"/>
  <c r="AI40" i="24"/>
  <c r="AG40" i="24"/>
  <c r="AJ37" i="23"/>
  <c r="AM36" i="23"/>
  <c r="C36" i="23" s="1"/>
  <c r="AI41" i="23"/>
  <c r="AH41" i="23"/>
  <c r="AG37" i="23"/>
  <c r="AG37" i="18"/>
  <c r="D37" i="23"/>
  <c r="D37" i="18"/>
  <c r="D37" i="16"/>
  <c r="Y38" i="16"/>
  <c r="Y42" i="18"/>
  <c r="I38" i="16"/>
  <c r="F38" i="16"/>
  <c r="K37" i="16"/>
  <c r="E38" i="16"/>
  <c r="J38" i="16"/>
  <c r="H38" i="16"/>
  <c r="G38" i="16"/>
  <c r="K42" i="18"/>
  <c r="F42" i="18"/>
  <c r="G42" i="18"/>
  <c r="H42" i="18"/>
  <c r="E42" i="18"/>
  <c r="I42" i="18"/>
  <c r="J42" i="18"/>
  <c r="AD41" i="24"/>
  <c r="AA38" i="23"/>
  <c r="AC42" i="23"/>
  <c r="AB41" i="24"/>
  <c r="AF41" i="24"/>
  <c r="AB38" i="18"/>
  <c r="AA38" i="18"/>
  <c r="AA41" i="24"/>
  <c r="AC38" i="18"/>
  <c r="AC41" i="24"/>
  <c r="AD38" i="18"/>
  <c r="AE38" i="18"/>
  <c r="AU38" i="18"/>
  <c r="AB38" i="23"/>
  <c r="AE41" i="24"/>
  <c r="AF38" i="18"/>
  <c r="AF38" i="23"/>
  <c r="AE38" i="23"/>
  <c r="AD42" i="23"/>
  <c r="AH38" i="18" l="1"/>
  <c r="AI38" i="18"/>
  <c r="AK38" i="23"/>
  <c r="AK41" i="24"/>
  <c r="AJ41" i="24"/>
  <c r="AJ38" i="18"/>
  <c r="AK38" i="18"/>
  <c r="AM37" i="18"/>
  <c r="C37" i="18" s="1"/>
  <c r="AM40" i="24"/>
  <c r="C40" i="24" s="1"/>
  <c r="AI41" i="24"/>
  <c r="D41" i="24"/>
  <c r="AH41" i="24"/>
  <c r="AG41" i="24"/>
  <c r="AJ38" i="23"/>
  <c r="AM37" i="23"/>
  <c r="C37" i="23" s="1"/>
  <c r="AI42" i="23"/>
  <c r="AH42" i="23"/>
  <c r="AG38" i="23"/>
  <c r="AG38" i="18"/>
  <c r="D38" i="23"/>
  <c r="D38" i="18"/>
  <c r="D38" i="16"/>
  <c r="Y39" i="16"/>
  <c r="Y43" i="18"/>
  <c r="K38" i="16"/>
  <c r="H39" i="16"/>
  <c r="I39" i="16"/>
  <c r="J39" i="16"/>
  <c r="G39" i="16"/>
  <c r="F39" i="16"/>
  <c r="E39" i="16"/>
  <c r="F43" i="18"/>
  <c r="G43" i="18"/>
  <c r="J43" i="18"/>
  <c r="H43" i="18"/>
  <c r="K43" i="18"/>
  <c r="I43" i="18"/>
  <c r="E43" i="18"/>
  <c r="AF39" i="18"/>
  <c r="AA42" i="24"/>
  <c r="AA39" i="18"/>
  <c r="AC42" i="24"/>
  <c r="AC43" i="23"/>
  <c r="AE42" i="24"/>
  <c r="AF39" i="23"/>
  <c r="AB39" i="18"/>
  <c r="AD43" i="23"/>
  <c r="AD39" i="18"/>
  <c r="AD42" i="24"/>
  <c r="AE39" i="18"/>
  <c r="AA39" i="23"/>
  <c r="AE39" i="23"/>
  <c r="AC39" i="18"/>
  <c r="AB42" i="24"/>
  <c r="AF42" i="24"/>
  <c r="AU39" i="18"/>
  <c r="AB39" i="23"/>
  <c r="AI39" i="18" l="1"/>
  <c r="AH39" i="18"/>
  <c r="AK39" i="23"/>
  <c r="AK42" i="24"/>
  <c r="AJ42" i="24"/>
  <c r="AJ39" i="18"/>
  <c r="AK39" i="18"/>
  <c r="AM38" i="18"/>
  <c r="C38" i="18" s="1"/>
  <c r="AM41" i="24"/>
  <c r="C41" i="24" s="1"/>
  <c r="AG42" i="24"/>
  <c r="AI42" i="24"/>
  <c r="D42" i="24"/>
  <c r="AH42" i="24"/>
  <c r="AJ39" i="23"/>
  <c r="AM38" i="23"/>
  <c r="C38" i="23" s="1"/>
  <c r="AI43" i="23"/>
  <c r="AH43" i="23"/>
  <c r="AG39" i="23"/>
  <c r="AG39" i="18"/>
  <c r="D39" i="23"/>
  <c r="D39" i="18"/>
  <c r="D39" i="16"/>
  <c r="Y40" i="16"/>
  <c r="Y44" i="18"/>
  <c r="I40" i="16"/>
  <c r="G40" i="16"/>
  <c r="H40" i="16"/>
  <c r="K39" i="16"/>
  <c r="F40" i="16"/>
  <c r="E40" i="16"/>
  <c r="J40" i="16"/>
  <c r="G44" i="18"/>
  <c r="J44" i="18"/>
  <c r="H44" i="18"/>
  <c r="I44" i="18"/>
  <c r="F44" i="18"/>
  <c r="E44" i="18"/>
  <c r="K44" i="18"/>
  <c r="AF43" i="24"/>
  <c r="AE40" i="23"/>
  <c r="AE43" i="24"/>
  <c r="AB43" i="24"/>
  <c r="AA43" i="24"/>
  <c r="AD40" i="18"/>
  <c r="AD43" i="24"/>
  <c r="AC40" i="18"/>
  <c r="AA40" i="23"/>
  <c r="AF40" i="23"/>
  <c r="AC44" i="23"/>
  <c r="AU40" i="18"/>
  <c r="AB40" i="18"/>
  <c r="AD44" i="23"/>
  <c r="AB40" i="23"/>
  <c r="AE40" i="18"/>
  <c r="AF40" i="18"/>
  <c r="AC43" i="24"/>
  <c r="AA40" i="18"/>
  <c r="AI40" i="18" l="1"/>
  <c r="AH40" i="18"/>
  <c r="AK40" i="23"/>
  <c r="AK43" i="24"/>
  <c r="AJ43" i="24"/>
  <c r="AJ40" i="18"/>
  <c r="AK40" i="18"/>
  <c r="AM39" i="18"/>
  <c r="C39" i="18" s="1"/>
  <c r="AM42" i="24"/>
  <c r="C42" i="24" s="1"/>
  <c r="AG43" i="24"/>
  <c r="AH43" i="24"/>
  <c r="D43" i="24"/>
  <c r="AI43" i="24"/>
  <c r="AJ40" i="23"/>
  <c r="AM39" i="23"/>
  <c r="C39" i="23" s="1"/>
  <c r="AI44" i="23"/>
  <c r="AH44" i="23"/>
  <c r="AG40" i="23"/>
  <c r="AG40" i="18"/>
  <c r="D40" i="23"/>
  <c r="D40" i="18"/>
  <c r="D40" i="16"/>
  <c r="Y41" i="16"/>
  <c r="Y45" i="18"/>
  <c r="F41" i="16"/>
  <c r="G41" i="16"/>
  <c r="E41" i="16"/>
  <c r="K40" i="16"/>
  <c r="H41" i="16"/>
  <c r="I41" i="16"/>
  <c r="J41" i="16"/>
  <c r="F45" i="18"/>
  <c r="G45" i="18"/>
  <c r="I45" i="18"/>
  <c r="K45" i="18"/>
  <c r="H45" i="18"/>
  <c r="J45" i="18"/>
  <c r="E45" i="18"/>
  <c r="AA41" i="23"/>
  <c r="AE41" i="23"/>
  <c r="AC41" i="18"/>
  <c r="AB44" i="24"/>
  <c r="AF41" i="18"/>
  <c r="AA44" i="24"/>
  <c r="AF41" i="23"/>
  <c r="AF44" i="24"/>
  <c r="AD41" i="18"/>
  <c r="AD45" i="23"/>
  <c r="AC45" i="23"/>
  <c r="AD44" i="24"/>
  <c r="AE41" i="18"/>
  <c r="AU41" i="18"/>
  <c r="AC44" i="24"/>
  <c r="AB41" i="18"/>
  <c r="AB41" i="23"/>
  <c r="AE44" i="24"/>
  <c r="AA41" i="18"/>
  <c r="AI41" i="18" l="1"/>
  <c r="AH41" i="18"/>
  <c r="AK41" i="23"/>
  <c r="AK44" i="24"/>
  <c r="AJ44" i="24"/>
  <c r="AJ41" i="18"/>
  <c r="AK41" i="18"/>
  <c r="AM40" i="18"/>
  <c r="C40" i="18" s="1"/>
  <c r="AM43" i="24"/>
  <c r="C43" i="24" s="1"/>
  <c r="D44" i="24"/>
  <c r="AI44" i="24"/>
  <c r="AH44" i="24"/>
  <c r="AG44" i="24"/>
  <c r="AJ41" i="23"/>
  <c r="AM40" i="23"/>
  <c r="C40" i="23" s="1"/>
  <c r="AI45" i="23"/>
  <c r="AH45" i="23"/>
  <c r="AG41" i="23"/>
  <c r="AG41" i="18"/>
  <c r="D41" i="23"/>
  <c r="D41" i="18"/>
  <c r="D41" i="16"/>
  <c r="Y42" i="16"/>
  <c r="Y46" i="18"/>
  <c r="F42" i="16"/>
  <c r="E42" i="16"/>
  <c r="H42" i="16"/>
  <c r="J42" i="16"/>
  <c r="K41" i="16"/>
  <c r="G42" i="16"/>
  <c r="I42" i="16"/>
  <c r="J46" i="18"/>
  <c r="K46" i="18"/>
  <c r="E46" i="18"/>
  <c r="H46" i="18"/>
  <c r="G46" i="18"/>
  <c r="I46" i="18"/>
  <c r="F46" i="18"/>
  <c r="AF45" i="24"/>
  <c r="AF42" i="23"/>
  <c r="AE45" i="24"/>
  <c r="AU42" i="18"/>
  <c r="AB45" i="24"/>
  <c r="AA42" i="18"/>
  <c r="AC42" i="18"/>
  <c r="AD46" i="23"/>
  <c r="AE42" i="23"/>
  <c r="AC46" i="23"/>
  <c r="AB42" i="18"/>
  <c r="AE42" i="18"/>
  <c r="AA42" i="23"/>
  <c r="AF42" i="18"/>
  <c r="AB42" i="23"/>
  <c r="AC45" i="24"/>
  <c r="AD42" i="18"/>
  <c r="AA45" i="24"/>
  <c r="AD45" i="24"/>
  <c r="AH42" i="18" l="1"/>
  <c r="AI42" i="18"/>
  <c r="AK42" i="23"/>
  <c r="AK45" i="24"/>
  <c r="AJ45" i="24"/>
  <c r="AJ42" i="18"/>
  <c r="AK42" i="18"/>
  <c r="AM41" i="18"/>
  <c r="C41" i="18" s="1"/>
  <c r="AM44" i="24"/>
  <c r="C44" i="24" s="1"/>
  <c r="AG45" i="24"/>
  <c r="AI45" i="24"/>
  <c r="D45" i="24"/>
  <c r="AH45" i="24"/>
  <c r="AJ42" i="23"/>
  <c r="AM41" i="23"/>
  <c r="C41" i="23" s="1"/>
  <c r="AI46" i="23"/>
  <c r="AH46" i="23"/>
  <c r="AG42" i="23"/>
  <c r="AG42" i="18"/>
  <c r="D42" i="23"/>
  <c r="D42" i="18"/>
  <c r="D42" i="16"/>
  <c r="Y43" i="16"/>
  <c r="Y47" i="18"/>
  <c r="J43" i="16"/>
  <c r="G43" i="16"/>
  <c r="I43" i="16"/>
  <c r="F43" i="16"/>
  <c r="K42" i="16"/>
  <c r="E43" i="16"/>
  <c r="H43" i="16"/>
  <c r="H47" i="18"/>
  <c r="I47" i="18"/>
  <c r="F47" i="18"/>
  <c r="J47" i="18"/>
  <c r="K47" i="18"/>
  <c r="E47" i="18"/>
  <c r="G47" i="18"/>
  <c r="AF43" i="23"/>
  <c r="AF46" i="24"/>
  <c r="AU43" i="18"/>
  <c r="AB46" i="24"/>
  <c r="AE43" i="23"/>
  <c r="AA43" i="23"/>
  <c r="AF43" i="18"/>
  <c r="AA46" i="24"/>
  <c r="AD46" i="24"/>
  <c r="AA43" i="18"/>
  <c r="AD43" i="18"/>
  <c r="AE46" i="24"/>
  <c r="AC46" i="24"/>
  <c r="AC43" i="18"/>
  <c r="AB43" i="23"/>
  <c r="AB43" i="18"/>
  <c r="AC47" i="23"/>
  <c r="AE43" i="18"/>
  <c r="AD47" i="23"/>
  <c r="AI43" i="18" l="1"/>
  <c r="AH43" i="18"/>
  <c r="AK43" i="23"/>
  <c r="AK46" i="24"/>
  <c r="AJ46" i="24"/>
  <c r="AJ43" i="18"/>
  <c r="AK43" i="18"/>
  <c r="AM42" i="18"/>
  <c r="C42" i="18" s="1"/>
  <c r="AM45" i="24"/>
  <c r="C45" i="24" s="1"/>
  <c r="AG46" i="24"/>
  <c r="D46" i="24"/>
  <c r="AI46" i="24"/>
  <c r="AH46" i="24"/>
  <c r="AJ43" i="23"/>
  <c r="AM42" i="23"/>
  <c r="C42" i="23" s="1"/>
  <c r="AI47" i="23"/>
  <c r="AH47" i="23"/>
  <c r="AG43" i="23"/>
  <c r="AG43" i="18"/>
  <c r="D43" i="23"/>
  <c r="D43" i="18"/>
  <c r="D43" i="16"/>
  <c r="Y44" i="16"/>
  <c r="Y48" i="18"/>
  <c r="F44" i="16"/>
  <c r="I44" i="16"/>
  <c r="G44" i="16"/>
  <c r="J44" i="16"/>
  <c r="E44" i="16"/>
  <c r="K43" i="16"/>
  <c r="H44" i="16"/>
  <c r="H48" i="18"/>
  <c r="I48" i="18"/>
  <c r="F48" i="18"/>
  <c r="K48" i="18"/>
  <c r="G48" i="18"/>
  <c r="J48" i="18"/>
  <c r="E48" i="18"/>
  <c r="AU44" i="18"/>
  <c r="AA44" i="23"/>
  <c r="AE44" i="23"/>
  <c r="AB44" i="18"/>
  <c r="AE47" i="24"/>
  <c r="AF44" i="23"/>
  <c r="AD48" i="23"/>
  <c r="AC48" i="23"/>
  <c r="AA44" i="18"/>
  <c r="AF47" i="24"/>
  <c r="AD47" i="24"/>
  <c r="AC47" i="24"/>
  <c r="AE44" i="18"/>
  <c r="AF44" i="18"/>
  <c r="AB47" i="24"/>
  <c r="AA47" i="24"/>
  <c r="AB44" i="23"/>
  <c r="AC44" i="18"/>
  <c r="AD44" i="18"/>
  <c r="AI44" i="18" l="1"/>
  <c r="AH44" i="18"/>
  <c r="AK44" i="23"/>
  <c r="AK47" i="24"/>
  <c r="AJ47" i="24"/>
  <c r="AJ44" i="18"/>
  <c r="AK44" i="18"/>
  <c r="AM43" i="18"/>
  <c r="C43" i="18" s="1"/>
  <c r="AM46" i="24"/>
  <c r="C46" i="24" s="1"/>
  <c r="AH47" i="24"/>
  <c r="D47" i="24"/>
  <c r="AG47" i="24"/>
  <c r="AI47" i="24"/>
  <c r="AJ44" i="23"/>
  <c r="AM43" i="23"/>
  <c r="C43" i="23" s="1"/>
  <c r="AI48" i="23"/>
  <c r="AH48" i="23"/>
  <c r="AG44" i="23"/>
  <c r="AG44" i="18"/>
  <c r="D44" i="23"/>
  <c r="D44" i="18"/>
  <c r="D44" i="16"/>
  <c r="Y45" i="16"/>
  <c r="Y49" i="18"/>
  <c r="H45" i="16"/>
  <c r="J45" i="16"/>
  <c r="F45" i="16"/>
  <c r="I45" i="16"/>
  <c r="G45" i="16"/>
  <c r="K44" i="16"/>
  <c r="E45" i="16"/>
  <c r="G49" i="18"/>
  <c r="K49" i="18"/>
  <c r="E49" i="18"/>
  <c r="H49" i="18"/>
  <c r="J49" i="18"/>
  <c r="F49" i="18"/>
  <c r="I49" i="18"/>
  <c r="AA45" i="23"/>
  <c r="AD48" i="24"/>
  <c r="AC45" i="18"/>
  <c r="AE48" i="24"/>
  <c r="AC48" i="24"/>
  <c r="AF48" i="24"/>
  <c r="AC49" i="23"/>
  <c r="AA45" i="18"/>
  <c r="AF45" i="18"/>
  <c r="AB45" i="18"/>
  <c r="AB45" i="23"/>
  <c r="AE45" i="23"/>
  <c r="AE45" i="18"/>
  <c r="AD49" i="23"/>
  <c r="AU45" i="18"/>
  <c r="AB48" i="24"/>
  <c r="AA48" i="24"/>
  <c r="AD45" i="18"/>
  <c r="AF45" i="23"/>
  <c r="AH45" i="18" l="1"/>
  <c r="AI45" i="18"/>
  <c r="AK45" i="23"/>
  <c r="AK48" i="24"/>
  <c r="AJ48" i="24"/>
  <c r="AJ45" i="18"/>
  <c r="AK45" i="18"/>
  <c r="AM44" i="18"/>
  <c r="C44" i="18" s="1"/>
  <c r="AM47" i="24"/>
  <c r="C47" i="24" s="1"/>
  <c r="AH48" i="24"/>
  <c r="AG48" i="24"/>
  <c r="AI48" i="24"/>
  <c r="D48" i="24"/>
  <c r="AJ45" i="23"/>
  <c r="AM44" i="23"/>
  <c r="C44" i="23" s="1"/>
  <c r="AI49" i="23"/>
  <c r="AH49" i="23"/>
  <c r="AG45" i="23"/>
  <c r="AG45" i="18"/>
  <c r="D45" i="23"/>
  <c r="D45" i="18"/>
  <c r="D45" i="16"/>
  <c r="Y46" i="16"/>
  <c r="Y50" i="18"/>
  <c r="H46" i="16"/>
  <c r="J46" i="16"/>
  <c r="I46" i="16"/>
  <c r="F46" i="16"/>
  <c r="K45" i="16"/>
  <c r="E46" i="16"/>
  <c r="G46" i="16"/>
  <c r="K50" i="18"/>
  <c r="E50" i="18"/>
  <c r="J50" i="18"/>
  <c r="I50" i="18"/>
  <c r="G50" i="18"/>
  <c r="H50" i="18"/>
  <c r="F50" i="18"/>
  <c r="AF49" i="24"/>
  <c r="AD50" i="23"/>
  <c r="AC46" i="18"/>
  <c r="AC50" i="23"/>
  <c r="AD46" i="18"/>
  <c r="AC49" i="24"/>
  <c r="AE49" i="24"/>
  <c r="AD49" i="24"/>
  <c r="AE46" i="18"/>
  <c r="AE46" i="23"/>
  <c r="AU46" i="18"/>
  <c r="AB46" i="18"/>
  <c r="AA49" i="24"/>
  <c r="AA46" i="18"/>
  <c r="AF46" i="23"/>
  <c r="AF46" i="18"/>
  <c r="AB46" i="23"/>
  <c r="AB49" i="24"/>
  <c r="AA46" i="23"/>
  <c r="AI46" i="18" l="1"/>
  <c r="AH46" i="18"/>
  <c r="AK46" i="23"/>
  <c r="AK49" i="24"/>
  <c r="AJ49" i="24"/>
  <c r="AJ46" i="18"/>
  <c r="AK46" i="18"/>
  <c r="AM45" i="18"/>
  <c r="C45" i="18" s="1"/>
  <c r="AM48" i="24"/>
  <c r="C48" i="24" s="1"/>
  <c r="AG49" i="24"/>
  <c r="AH49" i="24"/>
  <c r="AI49" i="24"/>
  <c r="D49" i="24"/>
  <c r="AJ46" i="23"/>
  <c r="AM45" i="23"/>
  <c r="C45" i="23" s="1"/>
  <c r="AI50" i="23"/>
  <c r="AH50" i="23"/>
  <c r="AG46" i="23"/>
  <c r="AG46" i="18"/>
  <c r="D46" i="23"/>
  <c r="D46" i="18"/>
  <c r="D46" i="16"/>
  <c r="Y47" i="16"/>
  <c r="Y51" i="18"/>
  <c r="K46" i="16"/>
  <c r="J47" i="16"/>
  <c r="H47" i="16"/>
  <c r="G47" i="16"/>
  <c r="I47" i="16"/>
  <c r="E47" i="16"/>
  <c r="F47" i="16"/>
  <c r="E51" i="18"/>
  <c r="I51" i="18"/>
  <c r="K51" i="18"/>
  <c r="J51" i="18"/>
  <c r="H51" i="18"/>
  <c r="F51" i="18"/>
  <c r="G51" i="18"/>
  <c r="AC51" i="23"/>
  <c r="AA47" i="18"/>
  <c r="AU47" i="18"/>
  <c r="AD47" i="18"/>
  <c r="AB47" i="23"/>
  <c r="AA47" i="23"/>
  <c r="AF50" i="24"/>
  <c r="AF47" i="23"/>
  <c r="AB50" i="24"/>
  <c r="AE47" i="18"/>
  <c r="AC50" i="24"/>
  <c r="AF47" i="18"/>
  <c r="AD50" i="24"/>
  <c r="AA50" i="24"/>
  <c r="AD51" i="23"/>
  <c r="AE50" i="24"/>
  <c r="AB47" i="18"/>
  <c r="AE47" i="23"/>
  <c r="AC47" i="18"/>
  <c r="AH47" i="18" l="1"/>
  <c r="AI47" i="18"/>
  <c r="AK47" i="23"/>
  <c r="AK50" i="24"/>
  <c r="AJ50" i="24"/>
  <c r="AJ47" i="18"/>
  <c r="AK47" i="18"/>
  <c r="AM46" i="18"/>
  <c r="C46" i="18" s="1"/>
  <c r="AM49" i="24"/>
  <c r="C49" i="24" s="1"/>
  <c r="AH50" i="24"/>
  <c r="D50" i="24"/>
  <c r="AG50" i="24"/>
  <c r="AI50" i="24"/>
  <c r="AJ47" i="23"/>
  <c r="AM46" i="23"/>
  <c r="C46" i="23" s="1"/>
  <c r="AI51" i="23"/>
  <c r="AH51" i="23"/>
  <c r="AG47" i="23"/>
  <c r="AG47" i="18"/>
  <c r="D47" i="23"/>
  <c r="D47" i="18"/>
  <c r="D47" i="16"/>
  <c r="Y48" i="16"/>
  <c r="Y52" i="18"/>
  <c r="E48" i="16"/>
  <c r="J48" i="16"/>
  <c r="H48" i="16"/>
  <c r="K47" i="16"/>
  <c r="F48" i="16"/>
  <c r="G48" i="16"/>
  <c r="I48" i="16"/>
  <c r="E52" i="18"/>
  <c r="I52" i="18"/>
  <c r="F52" i="18"/>
  <c r="G52" i="18"/>
  <c r="K52" i="18"/>
  <c r="J52" i="18"/>
  <c r="H52" i="18"/>
  <c r="AE48" i="18"/>
  <c r="AF51" i="24"/>
  <c r="AC52" i="23"/>
  <c r="AB48" i="23"/>
  <c r="AE48" i="23"/>
  <c r="AU48" i="18"/>
  <c r="AC48" i="18"/>
  <c r="AC51" i="24"/>
  <c r="AB48" i="18"/>
  <c r="AA51" i="24"/>
  <c r="AE51" i="24"/>
  <c r="AB51" i="24"/>
  <c r="AA48" i="23"/>
  <c r="AF48" i="18"/>
  <c r="AD51" i="24"/>
  <c r="AF48" i="23"/>
  <c r="AD48" i="18"/>
  <c r="AA48" i="18"/>
  <c r="AD52" i="23"/>
  <c r="AH48" i="18" l="1"/>
  <c r="AI48" i="18"/>
  <c r="AK48" i="23"/>
  <c r="AK51" i="24"/>
  <c r="AJ51" i="24"/>
  <c r="AJ48" i="18"/>
  <c r="AK48" i="18"/>
  <c r="AM47" i="18"/>
  <c r="C47" i="18" s="1"/>
  <c r="AM50" i="24"/>
  <c r="C50" i="24" s="1"/>
  <c r="AG51" i="24"/>
  <c r="AI51" i="24"/>
  <c r="AH51" i="24"/>
  <c r="D51" i="24"/>
  <c r="AJ48" i="23"/>
  <c r="AM47" i="23"/>
  <c r="C47" i="23" s="1"/>
  <c r="AI52" i="23"/>
  <c r="AH52" i="23"/>
  <c r="AG48" i="23"/>
  <c r="AG48" i="18"/>
  <c r="D48" i="23"/>
  <c r="D48" i="18"/>
  <c r="D48" i="16"/>
  <c r="Y49" i="16"/>
  <c r="Y53" i="18"/>
  <c r="F49" i="16"/>
  <c r="K48" i="16"/>
  <c r="E49" i="16"/>
  <c r="J49" i="16"/>
  <c r="G49" i="16"/>
  <c r="H49" i="16"/>
  <c r="I49" i="16"/>
  <c r="H53" i="18"/>
  <c r="K53" i="18"/>
  <c r="I53" i="18"/>
  <c r="J53" i="18"/>
  <c r="F53" i="18"/>
  <c r="E53" i="18"/>
  <c r="G53" i="18"/>
  <c r="AB49" i="18"/>
  <c r="AB49" i="23"/>
  <c r="AF49" i="18"/>
  <c r="AA49" i="18"/>
  <c r="AC49" i="18"/>
  <c r="AD53" i="23"/>
  <c r="AD49" i="18"/>
  <c r="AA52" i="24"/>
  <c r="AC52" i="24"/>
  <c r="AE52" i="24"/>
  <c r="AB52" i="24"/>
  <c r="AE49" i="23"/>
  <c r="AD52" i="24"/>
  <c r="AF49" i="23"/>
  <c r="AF52" i="24"/>
  <c r="AU49" i="18"/>
  <c r="AC53" i="23"/>
  <c r="AA49" i="23"/>
  <c r="AE49" i="18"/>
  <c r="AI49" i="18" l="1"/>
  <c r="AH49" i="18"/>
  <c r="AK49" i="23"/>
  <c r="AK52" i="24"/>
  <c r="AJ52" i="24"/>
  <c r="AJ49" i="18"/>
  <c r="AK49" i="18"/>
  <c r="AM48" i="18"/>
  <c r="C48" i="18" s="1"/>
  <c r="AM51" i="24"/>
  <c r="C51" i="24" s="1"/>
  <c r="D52" i="24"/>
  <c r="AI52" i="24"/>
  <c r="AG52" i="24"/>
  <c r="AH52" i="24"/>
  <c r="AJ49" i="23"/>
  <c r="AM48" i="23"/>
  <c r="C48" i="23" s="1"/>
  <c r="AI53" i="23"/>
  <c r="AH53" i="23"/>
  <c r="AG49" i="23"/>
  <c r="AG49" i="18"/>
  <c r="D49" i="23"/>
  <c r="D49" i="18"/>
  <c r="D49" i="16"/>
  <c r="Y50" i="16"/>
  <c r="Y54" i="18"/>
  <c r="J50" i="16"/>
  <c r="F50" i="16"/>
  <c r="E50" i="16"/>
  <c r="K49" i="16"/>
  <c r="G50" i="16"/>
  <c r="H50" i="16"/>
  <c r="I50" i="16"/>
  <c r="K54" i="18"/>
  <c r="G54" i="18"/>
  <c r="E54" i="18"/>
  <c r="I54" i="18"/>
  <c r="J54" i="18"/>
  <c r="H54" i="18"/>
  <c r="F54" i="18"/>
  <c r="AU50" i="18"/>
  <c r="AC50" i="18"/>
  <c r="AD54" i="23"/>
  <c r="AA50" i="23"/>
  <c r="AD53" i="24"/>
  <c r="AC54" i="23"/>
  <c r="AF50" i="18"/>
  <c r="AB50" i="18"/>
  <c r="AE50" i="23"/>
  <c r="AB53" i="24"/>
  <c r="AD50" i="18"/>
  <c r="AB50" i="23"/>
  <c r="AF50" i="23"/>
  <c r="AE50" i="18"/>
  <c r="AC53" i="24"/>
  <c r="AA53" i="24"/>
  <c r="AE53" i="24"/>
  <c r="AF53" i="24"/>
  <c r="AA50" i="18"/>
  <c r="AI50" i="18" l="1"/>
  <c r="AH50" i="18"/>
  <c r="AK50" i="23"/>
  <c r="AK53" i="24"/>
  <c r="AJ53" i="24"/>
  <c r="AJ50" i="18"/>
  <c r="AK50" i="18"/>
  <c r="AM49" i="18"/>
  <c r="C49" i="18" s="1"/>
  <c r="AM52" i="24"/>
  <c r="C52" i="24" s="1"/>
  <c r="D53" i="24"/>
  <c r="AI53" i="24"/>
  <c r="AG53" i="24"/>
  <c r="AH53" i="24"/>
  <c r="AJ50" i="23"/>
  <c r="AM49" i="23"/>
  <c r="C49" i="23" s="1"/>
  <c r="AI54" i="23"/>
  <c r="AH54" i="23"/>
  <c r="AG50" i="23"/>
  <c r="AG50" i="18"/>
  <c r="D50" i="23"/>
  <c r="D50" i="18"/>
  <c r="D50" i="16"/>
  <c r="Y51" i="16"/>
  <c r="Y55" i="18"/>
  <c r="J51" i="16"/>
  <c r="E51" i="16"/>
  <c r="I51" i="16"/>
  <c r="H51" i="16"/>
  <c r="G51" i="16"/>
  <c r="F51" i="16"/>
  <c r="K50" i="16"/>
  <c r="I55" i="18"/>
  <c r="F55" i="18"/>
  <c r="H55" i="18"/>
  <c r="G55" i="18"/>
  <c r="E55" i="18"/>
  <c r="J55" i="18"/>
  <c r="K55" i="18"/>
  <c r="AD54" i="24"/>
  <c r="AE54" i="24"/>
  <c r="AC51" i="18"/>
  <c r="AA51" i="18"/>
  <c r="AF51" i="18"/>
  <c r="AC55" i="23"/>
  <c r="AD55" i="23"/>
  <c r="AA54" i="24"/>
  <c r="AB51" i="23"/>
  <c r="AA51" i="23"/>
  <c r="AB54" i="24"/>
  <c r="AB51" i="18"/>
  <c r="AD51" i="18"/>
  <c r="AU51" i="18"/>
  <c r="AC54" i="24"/>
  <c r="AE51" i="23"/>
  <c r="AF54" i="24"/>
  <c r="AF51" i="23"/>
  <c r="AE51" i="18"/>
  <c r="AH51" i="18" l="1"/>
  <c r="AI51" i="18"/>
  <c r="AK51" i="23"/>
  <c r="AK54" i="24"/>
  <c r="AJ54" i="24"/>
  <c r="AJ51" i="18"/>
  <c r="AK51" i="18"/>
  <c r="AM50" i="18"/>
  <c r="C50" i="18" s="1"/>
  <c r="AM53" i="24"/>
  <c r="C53" i="24" s="1"/>
  <c r="AH54" i="24"/>
  <c r="D54" i="24"/>
  <c r="AG54" i="24"/>
  <c r="AI54" i="24"/>
  <c r="AJ51" i="23"/>
  <c r="AM50" i="23"/>
  <c r="C50" i="23" s="1"/>
  <c r="AI55" i="23"/>
  <c r="AH55" i="23"/>
  <c r="AG51" i="23"/>
  <c r="AG51" i="18"/>
  <c r="D51" i="23"/>
  <c r="D51" i="18"/>
  <c r="D51" i="16"/>
  <c r="Y52" i="16"/>
  <c r="Y56" i="18"/>
  <c r="K51" i="16"/>
  <c r="I52" i="16"/>
  <c r="F52" i="16"/>
  <c r="J52" i="16"/>
  <c r="G52" i="16"/>
  <c r="H52" i="16"/>
  <c r="E52" i="16"/>
  <c r="E56" i="18"/>
  <c r="F56" i="18"/>
  <c r="G56" i="18"/>
  <c r="I56" i="18"/>
  <c r="J56" i="18"/>
  <c r="H56" i="18"/>
  <c r="K56" i="18"/>
  <c r="AC55" i="24"/>
  <c r="AB52" i="18"/>
  <c r="AA55" i="24"/>
  <c r="AE55" i="24"/>
  <c r="AD52" i="18"/>
  <c r="AB52" i="23"/>
  <c r="AD55" i="24"/>
  <c r="AF52" i="23"/>
  <c r="AE52" i="23"/>
  <c r="AD56" i="23"/>
  <c r="AC56" i="23"/>
  <c r="AA52" i="18"/>
  <c r="AU52" i="18"/>
  <c r="AE52" i="18"/>
  <c r="AB55" i="24"/>
  <c r="AC52" i="18"/>
  <c r="AF55" i="24"/>
  <c r="AA52" i="23"/>
  <c r="AF52" i="18"/>
  <c r="AI52" i="18" l="1"/>
  <c r="AH52" i="18"/>
  <c r="AK52" i="23"/>
  <c r="AK55" i="24"/>
  <c r="AJ55" i="24"/>
  <c r="AJ52" i="18"/>
  <c r="AK52" i="18"/>
  <c r="AM51" i="18"/>
  <c r="C51" i="18" s="1"/>
  <c r="AM54" i="24"/>
  <c r="C54" i="24" s="1"/>
  <c r="AI55" i="24"/>
  <c r="AH55" i="24"/>
  <c r="AG55" i="24"/>
  <c r="D55" i="24"/>
  <c r="AJ52" i="23"/>
  <c r="AM51" i="23"/>
  <c r="C51" i="23" s="1"/>
  <c r="AI56" i="23"/>
  <c r="AH56" i="23"/>
  <c r="AG52" i="23"/>
  <c r="AG52" i="18"/>
  <c r="D52" i="23"/>
  <c r="D52" i="18"/>
  <c r="D52" i="16"/>
  <c r="Y53" i="16"/>
  <c r="Y57" i="18"/>
  <c r="E53" i="16"/>
  <c r="I53" i="16"/>
  <c r="J53" i="16"/>
  <c r="G53" i="16"/>
  <c r="F53" i="16"/>
  <c r="H53" i="16"/>
  <c r="K52" i="16"/>
  <c r="I57" i="18"/>
  <c r="F57" i="18"/>
  <c r="K57" i="18"/>
  <c r="J57" i="18"/>
  <c r="G57" i="18"/>
  <c r="H57" i="18"/>
  <c r="E57" i="18"/>
  <c r="AF53" i="23"/>
  <c r="AD57" i="23"/>
  <c r="AB56" i="24"/>
  <c r="AD53" i="18"/>
  <c r="AE53" i="23"/>
  <c r="AU53" i="18"/>
  <c r="AF53" i="18"/>
  <c r="AA56" i="24"/>
  <c r="AC57" i="23"/>
  <c r="AD56" i="24"/>
  <c r="AB53" i="18"/>
  <c r="AA53" i="18"/>
  <c r="AC53" i="18"/>
  <c r="AA53" i="23"/>
  <c r="AF56" i="24"/>
  <c r="AE56" i="24"/>
  <c r="AE53" i="18"/>
  <c r="AC56" i="24"/>
  <c r="AB53" i="23"/>
  <c r="AI53" i="18" l="1"/>
  <c r="AH53" i="18"/>
  <c r="AK53" i="23"/>
  <c r="AK56" i="24"/>
  <c r="AJ56" i="24"/>
  <c r="AJ53" i="18"/>
  <c r="AK53" i="18"/>
  <c r="AM52" i="18"/>
  <c r="C52" i="18" s="1"/>
  <c r="AM55" i="24"/>
  <c r="C55" i="24" s="1"/>
  <c r="AG56" i="24"/>
  <c r="AH56" i="24"/>
  <c r="AI56" i="24"/>
  <c r="D56" i="24"/>
  <c r="AJ53" i="23"/>
  <c r="AM52" i="23"/>
  <c r="C52" i="23" s="1"/>
  <c r="AI57" i="23"/>
  <c r="AH57" i="23"/>
  <c r="AG53" i="23"/>
  <c r="AG53" i="18"/>
  <c r="D53" i="23"/>
  <c r="D53" i="18"/>
  <c r="D53" i="16"/>
  <c r="Y54" i="16"/>
  <c r="Y58" i="18"/>
  <c r="J54" i="16"/>
  <c r="I54" i="16"/>
  <c r="E54" i="16"/>
  <c r="K53" i="16"/>
  <c r="F54" i="16"/>
  <c r="G54" i="16"/>
  <c r="H54" i="16"/>
  <c r="F58" i="18"/>
  <c r="I58" i="18"/>
  <c r="H58" i="18"/>
  <c r="E58" i="18"/>
  <c r="G58" i="18"/>
  <c r="J58" i="18"/>
  <c r="K58" i="18"/>
  <c r="AF54" i="23"/>
  <c r="AF54" i="18"/>
  <c r="AB54" i="23"/>
  <c r="AU54" i="18"/>
  <c r="AB54" i="18"/>
  <c r="AD57" i="24"/>
  <c r="AD54" i="18"/>
  <c r="AC57" i="24"/>
  <c r="AC58" i="23"/>
  <c r="AA54" i="18"/>
  <c r="AE54" i="18"/>
  <c r="AC54" i="18"/>
  <c r="AF57" i="24"/>
  <c r="AE54" i="23"/>
  <c r="AB57" i="24"/>
  <c r="AA54" i="23"/>
  <c r="AE57" i="24"/>
  <c r="AA57" i="24"/>
  <c r="AD58" i="23"/>
  <c r="AI54" i="18" l="1"/>
  <c r="AH54" i="18"/>
  <c r="AK54" i="23"/>
  <c r="AK57" i="24"/>
  <c r="AJ57" i="24"/>
  <c r="AJ54" i="18"/>
  <c r="AK54" i="18"/>
  <c r="AM53" i="18"/>
  <c r="C53" i="18" s="1"/>
  <c r="AM56" i="24"/>
  <c r="C56" i="24" s="1"/>
  <c r="AG57" i="24"/>
  <c r="D57" i="24"/>
  <c r="AH57" i="24"/>
  <c r="AI57" i="24"/>
  <c r="AJ54" i="23"/>
  <c r="AM53" i="23"/>
  <c r="C53" i="23" s="1"/>
  <c r="AI58" i="23"/>
  <c r="AH58" i="23"/>
  <c r="AG54" i="23"/>
  <c r="AG54" i="18"/>
  <c r="D54" i="23"/>
  <c r="D54" i="18"/>
  <c r="D54" i="16"/>
  <c r="Y55" i="16"/>
  <c r="Y59" i="18"/>
  <c r="E55" i="16"/>
  <c r="K54" i="16"/>
  <c r="I55" i="16"/>
  <c r="J55" i="16"/>
  <c r="H55" i="16"/>
  <c r="G55" i="16"/>
  <c r="F55" i="16"/>
  <c r="F59" i="18"/>
  <c r="I59" i="18"/>
  <c r="J59" i="18"/>
  <c r="G59" i="18"/>
  <c r="H59" i="18"/>
  <c r="E59" i="18"/>
  <c r="K59" i="18"/>
  <c r="AA55" i="23"/>
  <c r="AB55" i="23"/>
  <c r="AC58" i="24"/>
  <c r="AA58" i="24"/>
  <c r="AE55" i="23"/>
  <c r="AC55" i="18"/>
  <c r="AB55" i="18"/>
  <c r="AU55" i="18"/>
  <c r="AF55" i="23"/>
  <c r="AD58" i="24"/>
  <c r="AD55" i="18"/>
  <c r="AE55" i="18"/>
  <c r="AE58" i="24"/>
  <c r="AC59" i="23"/>
  <c r="AB58" i="24"/>
  <c r="AD59" i="23"/>
  <c r="AF58" i="24"/>
  <c r="AF55" i="18"/>
  <c r="AA55" i="18"/>
  <c r="AH55" i="18" l="1"/>
  <c r="AI55" i="18"/>
  <c r="AK55" i="23"/>
  <c r="AK58" i="24"/>
  <c r="AJ58" i="24"/>
  <c r="AJ55" i="18"/>
  <c r="AK55" i="18"/>
  <c r="AM54" i="18"/>
  <c r="C54" i="18" s="1"/>
  <c r="AM57" i="24"/>
  <c r="C57" i="24" s="1"/>
  <c r="AI58" i="24"/>
  <c r="AH58" i="24"/>
  <c r="D58" i="24"/>
  <c r="AG58" i="24"/>
  <c r="AJ55" i="23"/>
  <c r="AM54" i="23"/>
  <c r="C54" i="23" s="1"/>
  <c r="AI59" i="23"/>
  <c r="AH59" i="23"/>
  <c r="AG55" i="23"/>
  <c r="AG55" i="18"/>
  <c r="D55" i="23"/>
  <c r="D55" i="18"/>
  <c r="D55" i="16"/>
  <c r="Y56" i="16"/>
  <c r="Y60" i="18"/>
  <c r="E56" i="16"/>
  <c r="I56" i="16"/>
  <c r="K55" i="16"/>
  <c r="G56" i="16"/>
  <c r="H56" i="16"/>
  <c r="J56" i="16"/>
  <c r="F56" i="16"/>
  <c r="G60" i="18"/>
  <c r="K60" i="18"/>
  <c r="I60" i="18"/>
  <c r="E60" i="18"/>
  <c r="F60" i="18"/>
  <c r="H60" i="18"/>
  <c r="J60" i="18"/>
  <c r="AB56" i="23"/>
  <c r="AE56" i="18"/>
  <c r="AB56" i="18"/>
  <c r="AC59" i="24"/>
  <c r="AA56" i="23"/>
  <c r="AB59" i="24"/>
  <c r="AD56" i="18"/>
  <c r="AC56" i="18"/>
  <c r="AD60" i="23"/>
  <c r="AA59" i="24"/>
  <c r="AC60" i="23"/>
  <c r="AF56" i="23"/>
  <c r="AU56" i="18"/>
  <c r="AE56" i="23"/>
  <c r="AF56" i="18"/>
  <c r="AA56" i="18"/>
  <c r="AE59" i="24"/>
  <c r="AD59" i="24"/>
  <c r="AF59" i="24"/>
  <c r="AI56" i="18" l="1"/>
  <c r="AH56" i="18"/>
  <c r="AK56" i="23"/>
  <c r="AK59" i="24"/>
  <c r="AJ59" i="24"/>
  <c r="AJ56" i="18"/>
  <c r="AK56" i="18"/>
  <c r="AM55" i="18"/>
  <c r="C55" i="18" s="1"/>
  <c r="AM58" i="24"/>
  <c r="C58" i="24" s="1"/>
  <c r="AH59" i="24"/>
  <c r="AG59" i="24"/>
  <c r="D59" i="24"/>
  <c r="AI59" i="24"/>
  <c r="AJ56" i="23"/>
  <c r="AM55" i="23"/>
  <c r="C55" i="23" s="1"/>
  <c r="AI60" i="23"/>
  <c r="AH60" i="23"/>
  <c r="AG56" i="23"/>
  <c r="AG56" i="18"/>
  <c r="D56" i="23"/>
  <c r="D56" i="18"/>
  <c r="D56" i="16"/>
  <c r="Y57" i="16"/>
  <c r="Y61" i="18"/>
  <c r="E57" i="16"/>
  <c r="I57" i="16"/>
  <c r="F57" i="16"/>
  <c r="J57" i="16"/>
  <c r="G57" i="16"/>
  <c r="K56" i="16"/>
  <c r="H57" i="16"/>
  <c r="F61" i="18"/>
  <c r="J61" i="18"/>
  <c r="H61" i="18"/>
  <c r="G61" i="18"/>
  <c r="K61" i="18"/>
  <c r="E61" i="18"/>
  <c r="I61" i="18"/>
  <c r="AE57" i="18"/>
  <c r="AD60" i="24"/>
  <c r="AC61" i="23"/>
  <c r="AD57" i="18"/>
  <c r="AA57" i="18"/>
  <c r="AC60" i="24"/>
  <c r="AF57" i="23"/>
  <c r="AU57" i="18"/>
  <c r="AF60" i="24"/>
  <c r="AE60" i="24"/>
  <c r="AA60" i="24"/>
  <c r="AC57" i="18"/>
  <c r="AE57" i="23"/>
  <c r="AA57" i="23"/>
  <c r="AD61" i="23"/>
  <c r="AB57" i="18"/>
  <c r="AB57" i="23"/>
  <c r="AF57" i="18"/>
  <c r="AB60" i="24"/>
  <c r="AH57" i="18" l="1"/>
  <c r="AI57" i="18"/>
  <c r="AK57" i="23"/>
  <c r="AK60" i="24"/>
  <c r="AJ60" i="24"/>
  <c r="AJ57" i="18"/>
  <c r="AK57" i="18"/>
  <c r="AM56" i="18"/>
  <c r="C56" i="18" s="1"/>
  <c r="AM59" i="24"/>
  <c r="C59" i="24" s="1"/>
  <c r="D60" i="24"/>
  <c r="AG60" i="24"/>
  <c r="AI60" i="24"/>
  <c r="AH60" i="24"/>
  <c r="AJ57" i="23"/>
  <c r="AM56" i="23"/>
  <c r="C56" i="23" s="1"/>
  <c r="AI61" i="23"/>
  <c r="AH61" i="23"/>
  <c r="AG57" i="23"/>
  <c r="AG57" i="18"/>
  <c r="D57" i="23"/>
  <c r="D57" i="18"/>
  <c r="D57" i="16"/>
  <c r="Y58" i="16"/>
  <c r="Y62" i="18"/>
  <c r="K57" i="16"/>
  <c r="H58" i="16"/>
  <c r="E58" i="16"/>
  <c r="G58" i="16"/>
  <c r="F58" i="16"/>
  <c r="I58" i="16"/>
  <c r="J58" i="16"/>
  <c r="F62" i="18"/>
  <c r="E62" i="18"/>
  <c r="K62" i="18"/>
  <c r="H62" i="18"/>
  <c r="I62" i="18"/>
  <c r="G62" i="18"/>
  <c r="J62" i="18"/>
  <c r="AC61" i="24"/>
  <c r="AC62" i="23"/>
  <c r="AE61" i="24"/>
  <c r="AU58" i="18"/>
  <c r="AE58" i="18"/>
  <c r="AF58" i="18"/>
  <c r="AB61" i="24"/>
  <c r="AD58" i="18"/>
  <c r="AB58" i="23"/>
  <c r="AA58" i="18"/>
  <c r="AC58" i="18"/>
  <c r="AF61" i="24"/>
  <c r="AF58" i="23"/>
  <c r="AE58" i="23"/>
  <c r="AA58" i="23"/>
  <c r="AD61" i="24"/>
  <c r="AD62" i="23"/>
  <c r="AB58" i="18"/>
  <c r="AA61" i="24"/>
  <c r="AH58" i="18" l="1"/>
  <c r="AI58" i="18"/>
  <c r="AK58" i="23"/>
  <c r="AK61" i="24"/>
  <c r="AJ61" i="24"/>
  <c r="AJ58" i="18"/>
  <c r="AK58" i="18"/>
  <c r="AM57" i="18"/>
  <c r="C57" i="18" s="1"/>
  <c r="AM60" i="24"/>
  <c r="C60" i="24" s="1"/>
  <c r="AH61" i="24"/>
  <c r="AG61" i="24"/>
  <c r="AI61" i="24"/>
  <c r="D61" i="24"/>
  <c r="AJ58" i="23"/>
  <c r="AM57" i="23"/>
  <c r="C57" i="23" s="1"/>
  <c r="AI62" i="23"/>
  <c r="AH62" i="23"/>
  <c r="AG58" i="23"/>
  <c r="AG58" i="18"/>
  <c r="D58" i="23"/>
  <c r="D58" i="18"/>
  <c r="D58" i="16"/>
  <c r="Y59" i="16"/>
  <c r="Y63" i="18"/>
  <c r="F59" i="16"/>
  <c r="H59" i="16"/>
  <c r="I59" i="16"/>
  <c r="K58" i="16"/>
  <c r="E59" i="16"/>
  <c r="J59" i="16"/>
  <c r="G59" i="16"/>
  <c r="E63" i="18"/>
  <c r="I63" i="18"/>
  <c r="J63" i="18"/>
  <c r="F63" i="18"/>
  <c r="K63" i="18"/>
  <c r="H63" i="18"/>
  <c r="G63" i="18"/>
  <c r="AD62" i="24"/>
  <c r="AF62" i="24"/>
  <c r="AB59" i="18"/>
  <c r="AC59" i="18"/>
  <c r="AB62" i="24"/>
  <c r="AF59" i="18"/>
  <c r="AC63" i="23"/>
  <c r="AE59" i="23"/>
  <c r="AA59" i="18"/>
  <c r="AD59" i="18"/>
  <c r="AA62" i="24"/>
  <c r="AU59" i="18"/>
  <c r="AE62" i="24"/>
  <c r="AD63" i="23"/>
  <c r="AE59" i="18"/>
  <c r="AF59" i="23"/>
  <c r="AA59" i="23"/>
  <c r="AC62" i="24"/>
  <c r="AB59" i="23"/>
  <c r="AI59" i="18" l="1"/>
  <c r="AH59" i="18"/>
  <c r="AK59" i="23"/>
  <c r="AK62" i="24"/>
  <c r="AJ62" i="24"/>
  <c r="AJ59" i="18"/>
  <c r="AK59" i="18"/>
  <c r="AM58" i="18"/>
  <c r="C58" i="18" s="1"/>
  <c r="AM61" i="24"/>
  <c r="C61" i="24" s="1"/>
  <c r="AH62" i="24"/>
  <c r="AG62" i="24"/>
  <c r="D62" i="24"/>
  <c r="AI62" i="24"/>
  <c r="AJ59" i="23"/>
  <c r="AM58" i="23"/>
  <c r="C58" i="23" s="1"/>
  <c r="AI63" i="23"/>
  <c r="AH63" i="23"/>
  <c r="AG59" i="23"/>
  <c r="AG59" i="18"/>
  <c r="D59" i="23"/>
  <c r="D59" i="18"/>
  <c r="D59" i="16"/>
  <c r="Y60" i="16"/>
  <c r="Y64" i="18"/>
  <c r="J60" i="16"/>
  <c r="F60" i="16"/>
  <c r="I60" i="16"/>
  <c r="H60" i="16"/>
  <c r="G60" i="16"/>
  <c r="E60" i="16"/>
  <c r="K59" i="16"/>
  <c r="F64" i="18"/>
  <c r="J64" i="18"/>
  <c r="K64" i="18"/>
  <c r="I64" i="18"/>
  <c r="H64" i="18"/>
  <c r="E64" i="18"/>
  <c r="G64" i="18"/>
  <c r="AE63" i="24"/>
  <c r="AC64" i="23"/>
  <c r="AE60" i="18"/>
  <c r="AD63" i="24"/>
  <c r="AC60" i="18"/>
  <c r="AF60" i="18"/>
  <c r="AA63" i="24"/>
  <c r="AE60" i="23"/>
  <c r="AB60" i="18"/>
  <c r="AB63" i="24"/>
  <c r="AB60" i="23"/>
  <c r="AF60" i="23"/>
  <c r="AD64" i="23"/>
  <c r="AD60" i="18"/>
  <c r="AF63" i="24"/>
  <c r="AA60" i="23"/>
  <c r="AC63" i="24"/>
  <c r="AU60" i="18"/>
  <c r="AA60" i="18"/>
  <c r="AH60" i="18" l="1"/>
  <c r="AI60" i="18"/>
  <c r="AK60" i="23"/>
  <c r="AK63" i="24"/>
  <c r="AJ63" i="24"/>
  <c r="AJ60" i="18"/>
  <c r="AK60" i="18"/>
  <c r="AM59" i="18"/>
  <c r="C59" i="18" s="1"/>
  <c r="AM62" i="24"/>
  <c r="C62" i="24" s="1"/>
  <c r="AI63" i="24"/>
  <c r="AG63" i="24"/>
  <c r="D63" i="24"/>
  <c r="AH63" i="24"/>
  <c r="AJ60" i="23"/>
  <c r="AM59" i="23"/>
  <c r="C59" i="23" s="1"/>
  <c r="AI64" i="23"/>
  <c r="AH64" i="23"/>
  <c r="AG60" i="23"/>
  <c r="AG60" i="18"/>
  <c r="D60" i="23"/>
  <c r="D60" i="18"/>
  <c r="D60" i="16"/>
  <c r="Y61" i="16"/>
  <c r="Y65" i="18"/>
  <c r="K60" i="16"/>
  <c r="J61" i="16"/>
  <c r="I61" i="16"/>
  <c r="F61" i="16"/>
  <c r="H61" i="16"/>
  <c r="G61" i="16"/>
  <c r="E61" i="16"/>
  <c r="H65" i="18"/>
  <c r="K65" i="18"/>
  <c r="E65" i="18"/>
  <c r="F65" i="18"/>
  <c r="J65" i="18"/>
  <c r="I65" i="18"/>
  <c r="G65" i="18"/>
  <c r="AU61" i="18"/>
  <c r="AC61" i="18"/>
  <c r="AE61" i="18"/>
  <c r="AB64" i="24"/>
  <c r="AD61" i="18"/>
  <c r="AA61" i="23"/>
  <c r="AF61" i="23"/>
  <c r="AA64" i="24"/>
  <c r="AC64" i="24"/>
  <c r="AD65" i="23"/>
  <c r="AB61" i="23"/>
  <c r="AF61" i="18"/>
  <c r="AC65" i="23"/>
  <c r="AA61" i="18"/>
  <c r="AD64" i="24"/>
  <c r="AF64" i="24"/>
  <c r="AB61" i="18"/>
  <c r="AE64" i="24"/>
  <c r="AE61" i="23"/>
  <c r="AI61" i="18" l="1"/>
  <c r="AH61" i="18"/>
  <c r="AK61" i="23"/>
  <c r="AK64" i="24"/>
  <c r="AJ64" i="24"/>
  <c r="AJ61" i="18"/>
  <c r="AK61" i="18"/>
  <c r="AM60" i="18"/>
  <c r="C60" i="18" s="1"/>
  <c r="AM63" i="24"/>
  <c r="C63" i="24" s="1"/>
  <c r="D64" i="24"/>
  <c r="AH64" i="24"/>
  <c r="AI64" i="24"/>
  <c r="AG64" i="24"/>
  <c r="AJ61" i="23"/>
  <c r="AM60" i="23"/>
  <c r="C60" i="23" s="1"/>
  <c r="AI65" i="23"/>
  <c r="AH65" i="23"/>
  <c r="AG61" i="23"/>
  <c r="AG61" i="18"/>
  <c r="D61" i="23"/>
  <c r="D61" i="18"/>
  <c r="D61" i="16"/>
  <c r="Y62" i="16"/>
  <c r="Y66" i="18"/>
  <c r="F62" i="16"/>
  <c r="I62" i="16"/>
  <c r="K61" i="16"/>
  <c r="J62" i="16"/>
  <c r="G62" i="16"/>
  <c r="H62" i="16"/>
  <c r="E62" i="16"/>
  <c r="H66" i="18"/>
  <c r="E66" i="18"/>
  <c r="F66" i="18"/>
  <c r="J66" i="18"/>
  <c r="G66" i="18"/>
  <c r="K66" i="18"/>
  <c r="I66" i="18"/>
  <c r="AF62" i="23"/>
  <c r="AA62" i="23"/>
  <c r="AF62" i="18"/>
  <c r="AF65" i="24"/>
  <c r="AA62" i="18"/>
  <c r="AE65" i="24"/>
  <c r="AC65" i="24"/>
  <c r="AD65" i="24"/>
  <c r="AD62" i="18"/>
  <c r="AC62" i="18"/>
  <c r="AU62" i="18"/>
  <c r="AB65" i="24"/>
  <c r="AB62" i="23"/>
  <c r="AE62" i="18"/>
  <c r="AB62" i="18"/>
  <c r="AC66" i="23"/>
  <c r="AA65" i="24"/>
  <c r="AE62" i="23"/>
  <c r="AD66" i="23"/>
  <c r="AI62" i="18" l="1"/>
  <c r="AH62" i="18"/>
  <c r="AK62" i="23"/>
  <c r="AK65" i="24"/>
  <c r="AJ65" i="24"/>
  <c r="AJ62" i="18"/>
  <c r="AK62" i="18"/>
  <c r="AM61" i="18"/>
  <c r="C61" i="18" s="1"/>
  <c r="AM64" i="24"/>
  <c r="C64" i="24" s="1"/>
  <c r="AG65" i="24"/>
  <c r="D65" i="24"/>
  <c r="AH65" i="24"/>
  <c r="AI65" i="24"/>
  <c r="AJ62" i="23"/>
  <c r="AM61" i="23"/>
  <c r="C61" i="23" s="1"/>
  <c r="AI66" i="23"/>
  <c r="AH66" i="23"/>
  <c r="AG62" i="23"/>
  <c r="AG62" i="18"/>
  <c r="D62" i="23"/>
  <c r="D62" i="18"/>
  <c r="D62" i="16"/>
  <c r="Y63" i="16"/>
  <c r="Y67" i="18"/>
  <c r="I63" i="16"/>
  <c r="K62" i="16"/>
  <c r="J63" i="16"/>
  <c r="E63" i="16"/>
  <c r="F63" i="16"/>
  <c r="H63" i="16"/>
  <c r="G63" i="16"/>
  <c r="E67" i="18"/>
  <c r="I67" i="18"/>
  <c r="G67" i="18"/>
  <c r="H67" i="18"/>
  <c r="K67" i="18"/>
  <c r="F67" i="18"/>
  <c r="J67" i="18"/>
  <c r="AE63" i="23"/>
  <c r="AE63" i="18"/>
  <c r="AE66" i="24"/>
  <c r="AA66" i="24"/>
  <c r="AF66" i="24"/>
  <c r="AF63" i="23"/>
  <c r="AC67" i="23"/>
  <c r="AB63" i="23"/>
  <c r="AD66" i="24"/>
  <c r="AD63" i="18"/>
  <c r="AA63" i="18"/>
  <c r="AF63" i="18"/>
  <c r="AB66" i="24"/>
  <c r="AC66" i="24"/>
  <c r="AC63" i="18"/>
  <c r="AB63" i="18"/>
  <c r="AA63" i="23"/>
  <c r="AD67" i="23"/>
  <c r="AU63" i="18"/>
  <c r="AH63" i="18" l="1"/>
  <c r="AI63" i="18"/>
  <c r="AK63" i="23"/>
  <c r="AK66" i="24"/>
  <c r="AJ66" i="24"/>
  <c r="AJ63" i="18"/>
  <c r="AK63" i="18"/>
  <c r="AM62" i="18"/>
  <c r="C62" i="18" s="1"/>
  <c r="AM65" i="24"/>
  <c r="C65" i="24" s="1"/>
  <c r="AH66" i="24"/>
  <c r="AI66" i="24"/>
  <c r="AG66" i="24"/>
  <c r="D66" i="24"/>
  <c r="AJ63" i="23"/>
  <c r="AM62" i="23"/>
  <c r="C62" i="23" s="1"/>
  <c r="AI67" i="23"/>
  <c r="AH67" i="23"/>
  <c r="AG63" i="23"/>
  <c r="AG63" i="18"/>
  <c r="D63" i="23"/>
  <c r="D63" i="18"/>
  <c r="D63" i="16"/>
  <c r="Y64" i="16"/>
  <c r="Y68" i="18"/>
  <c r="E64" i="16"/>
  <c r="I64" i="16"/>
  <c r="G64" i="16"/>
  <c r="F64" i="16"/>
  <c r="K63" i="16"/>
  <c r="H64" i="16"/>
  <c r="J64" i="16"/>
  <c r="J68" i="18"/>
  <c r="G68" i="18"/>
  <c r="I68" i="18"/>
  <c r="F68" i="18"/>
  <c r="H68" i="18"/>
  <c r="E68" i="18"/>
  <c r="K68" i="18"/>
  <c r="AF67" i="24"/>
  <c r="AF64" i="18"/>
  <c r="AA64" i="23"/>
  <c r="AC68" i="23"/>
  <c r="AE64" i="23"/>
  <c r="AD68" i="23"/>
  <c r="AB64" i="18"/>
  <c r="AC67" i="24"/>
  <c r="AF64" i="23"/>
  <c r="AC64" i="18"/>
  <c r="AB64" i="23"/>
  <c r="AE64" i="18"/>
  <c r="AA67" i="24"/>
  <c r="AU64" i="18"/>
  <c r="AB67" i="24"/>
  <c r="AE67" i="24"/>
  <c r="AD64" i="18"/>
  <c r="AA64" i="18"/>
  <c r="AD67" i="24"/>
  <c r="AI64" i="18" l="1"/>
  <c r="AH64" i="18"/>
  <c r="AK64" i="23"/>
  <c r="AK67" i="24"/>
  <c r="AJ67" i="24"/>
  <c r="AJ64" i="18"/>
  <c r="AK64" i="18"/>
  <c r="AM63" i="18"/>
  <c r="C63" i="18" s="1"/>
  <c r="AM66" i="24"/>
  <c r="C66" i="24" s="1"/>
  <c r="D67" i="24"/>
  <c r="AG67" i="24"/>
  <c r="AH67" i="24"/>
  <c r="AI67" i="24"/>
  <c r="AJ64" i="23"/>
  <c r="AM63" i="23"/>
  <c r="C63" i="23" s="1"/>
  <c r="AI68" i="23"/>
  <c r="AH68" i="23"/>
  <c r="AG64" i="23"/>
  <c r="AG64" i="18"/>
  <c r="D64" i="23"/>
  <c r="D64" i="18"/>
  <c r="D64" i="16"/>
  <c r="Y65" i="16"/>
  <c r="Y69" i="18"/>
  <c r="J65" i="16"/>
  <c r="E65" i="16"/>
  <c r="F65" i="16"/>
  <c r="H65" i="16"/>
  <c r="G65" i="16"/>
  <c r="I65" i="16"/>
  <c r="K64" i="16"/>
  <c r="G69" i="18"/>
  <c r="F69" i="18"/>
  <c r="I69" i="18"/>
  <c r="H69" i="18"/>
  <c r="K69" i="18"/>
  <c r="J69" i="18"/>
  <c r="E69" i="18"/>
  <c r="AA65" i="23"/>
  <c r="AE65" i="23"/>
  <c r="AA68" i="24"/>
  <c r="AD69" i="23"/>
  <c r="AD68" i="24"/>
  <c r="AF65" i="23"/>
  <c r="AD65" i="18"/>
  <c r="AE68" i="24"/>
  <c r="AB65" i="18"/>
  <c r="AC65" i="18"/>
  <c r="AA65" i="18"/>
  <c r="AE65" i="18"/>
  <c r="AB68" i="24"/>
  <c r="AF65" i="18"/>
  <c r="AU65" i="18"/>
  <c r="AB65" i="23"/>
  <c r="AC69" i="23"/>
  <c r="AC68" i="24"/>
  <c r="AF68" i="24"/>
  <c r="AH65" i="18" l="1"/>
  <c r="AI65" i="18"/>
  <c r="AK65" i="23"/>
  <c r="AK68" i="24"/>
  <c r="AJ68" i="24"/>
  <c r="AJ65" i="18"/>
  <c r="AK65" i="18"/>
  <c r="AM64" i="18"/>
  <c r="C64" i="18" s="1"/>
  <c r="AM67" i="24"/>
  <c r="C67" i="24" s="1"/>
  <c r="D68" i="24"/>
  <c r="AG68" i="24"/>
  <c r="AI68" i="24"/>
  <c r="AH68" i="24"/>
  <c r="AJ65" i="23"/>
  <c r="AM64" i="23"/>
  <c r="C64" i="23" s="1"/>
  <c r="AI69" i="23"/>
  <c r="AH69" i="23"/>
  <c r="AG65" i="23"/>
  <c r="AG65" i="18"/>
  <c r="D65" i="23"/>
  <c r="D65" i="18"/>
  <c r="D65" i="16"/>
  <c r="Y66" i="16"/>
  <c r="Y70" i="18"/>
  <c r="I66" i="16"/>
  <c r="K65" i="16"/>
  <c r="G66" i="16"/>
  <c r="F66" i="16"/>
  <c r="H66" i="16"/>
  <c r="E66" i="16"/>
  <c r="J66" i="16"/>
  <c r="J70" i="18"/>
  <c r="K70" i="18"/>
  <c r="E70" i="18"/>
  <c r="G70" i="18"/>
  <c r="H70" i="18"/>
  <c r="F70" i="18"/>
  <c r="I70" i="18"/>
  <c r="AB66" i="23"/>
  <c r="AA66" i="23"/>
  <c r="AC66" i="18"/>
  <c r="AC69" i="24"/>
  <c r="AF66" i="18"/>
  <c r="AA69" i="24"/>
  <c r="AE66" i="18"/>
  <c r="AE66" i="23"/>
  <c r="AA66" i="18"/>
  <c r="AB66" i="18"/>
  <c r="AB69" i="24"/>
  <c r="AD70" i="23"/>
  <c r="AF66" i="23"/>
  <c r="AU66" i="18"/>
  <c r="AC70" i="23"/>
  <c r="AD69" i="24"/>
  <c r="AE69" i="24"/>
  <c r="AF69" i="24"/>
  <c r="AD66" i="18"/>
  <c r="AI66" i="18" l="1"/>
  <c r="AH66" i="18"/>
  <c r="AK66" i="23"/>
  <c r="AK69" i="24"/>
  <c r="AJ69" i="24"/>
  <c r="AJ66" i="18"/>
  <c r="AK66" i="18"/>
  <c r="AM65" i="18"/>
  <c r="C65" i="18" s="1"/>
  <c r="AM68" i="24"/>
  <c r="C68" i="24" s="1"/>
  <c r="AG69" i="24"/>
  <c r="AH69" i="24"/>
  <c r="D69" i="24"/>
  <c r="AI69" i="24"/>
  <c r="AJ66" i="23"/>
  <c r="AM65" i="23"/>
  <c r="C65" i="23" s="1"/>
  <c r="AI70" i="23"/>
  <c r="AH70" i="23"/>
  <c r="AG66" i="23"/>
  <c r="AG66" i="18"/>
  <c r="D66" i="23"/>
  <c r="D66" i="18"/>
  <c r="D66" i="16"/>
  <c r="Y67" i="16"/>
  <c r="Y71" i="18"/>
  <c r="F67" i="16"/>
  <c r="H67" i="16"/>
  <c r="E67" i="16"/>
  <c r="G67" i="16"/>
  <c r="K66" i="16"/>
  <c r="I67" i="16"/>
  <c r="J67" i="16"/>
  <c r="I71" i="18"/>
  <c r="E71" i="18"/>
  <c r="K71" i="18"/>
  <c r="G71" i="18"/>
  <c r="J71" i="18"/>
  <c r="H71" i="18"/>
  <c r="F71" i="18"/>
  <c r="AU67" i="18"/>
  <c r="AA70" i="24"/>
  <c r="AC70" i="24"/>
  <c r="AB67" i="23"/>
  <c r="AC71" i="23"/>
  <c r="AF67" i="23"/>
  <c r="AE67" i="23"/>
  <c r="AD70" i="24"/>
  <c r="AA67" i="23"/>
  <c r="AB70" i="24"/>
  <c r="AE67" i="18"/>
  <c r="AF67" i="18"/>
  <c r="AA67" i="18"/>
  <c r="AC67" i="18"/>
  <c r="AD67" i="18"/>
  <c r="AD71" i="23"/>
  <c r="AF70" i="24"/>
  <c r="AB67" i="18"/>
  <c r="AE70" i="24"/>
  <c r="AH67" i="18" l="1"/>
  <c r="AI67" i="18"/>
  <c r="AK67" i="23"/>
  <c r="AK70" i="24"/>
  <c r="AJ70" i="24"/>
  <c r="AJ67" i="18"/>
  <c r="AK67" i="18"/>
  <c r="AM66" i="18"/>
  <c r="C66" i="18" s="1"/>
  <c r="AM69" i="24"/>
  <c r="C69" i="24" s="1"/>
  <c r="D70" i="24"/>
  <c r="AH70" i="24"/>
  <c r="AG70" i="24"/>
  <c r="AI70" i="24"/>
  <c r="AJ67" i="23"/>
  <c r="AM66" i="23"/>
  <c r="C66" i="23" s="1"/>
  <c r="AI71" i="23"/>
  <c r="AH71" i="23"/>
  <c r="AG67" i="23"/>
  <c r="AG67" i="18"/>
  <c r="D67" i="23"/>
  <c r="D67" i="18"/>
  <c r="D67" i="16"/>
  <c r="Y68" i="16"/>
  <c r="Y72" i="18"/>
  <c r="I68" i="16"/>
  <c r="K67" i="16"/>
  <c r="H68" i="16"/>
  <c r="F68" i="16"/>
  <c r="E68" i="16"/>
  <c r="G68" i="16"/>
  <c r="J68" i="16"/>
  <c r="H72" i="18"/>
  <c r="G72" i="18"/>
  <c r="E72" i="18"/>
  <c r="K72" i="18"/>
  <c r="F72" i="18"/>
  <c r="J72" i="18"/>
  <c r="I72" i="18"/>
  <c r="AF71" i="24"/>
  <c r="AA71" i="24"/>
  <c r="AD71" i="24"/>
  <c r="AB71" i="24"/>
  <c r="AE68" i="23"/>
  <c r="AD72" i="23"/>
  <c r="AC71" i="24"/>
  <c r="AE68" i="18"/>
  <c r="AD68" i="18"/>
  <c r="AA68" i="23"/>
  <c r="AC68" i="18"/>
  <c r="AF68" i="23"/>
  <c r="AU68" i="18"/>
  <c r="AE71" i="24"/>
  <c r="AC72" i="23"/>
  <c r="AF68" i="18"/>
  <c r="AB68" i="18"/>
  <c r="AA68" i="18"/>
  <c r="AB68" i="23"/>
  <c r="AH68" i="18" l="1"/>
  <c r="AI68" i="18"/>
  <c r="AK68" i="23"/>
  <c r="AK71" i="24"/>
  <c r="AJ71" i="24"/>
  <c r="AJ68" i="18"/>
  <c r="AK68" i="18"/>
  <c r="AM67" i="18"/>
  <c r="C67" i="18" s="1"/>
  <c r="AM70" i="24"/>
  <c r="C70" i="24" s="1"/>
  <c r="AH71" i="24"/>
  <c r="D71" i="24"/>
  <c r="AI71" i="24"/>
  <c r="AG71" i="24"/>
  <c r="AJ68" i="23"/>
  <c r="AM67" i="23"/>
  <c r="C67" i="23" s="1"/>
  <c r="AI72" i="23"/>
  <c r="AH72" i="23"/>
  <c r="AG68" i="23"/>
  <c r="AG68" i="18"/>
  <c r="D68" i="23"/>
  <c r="D68" i="18"/>
  <c r="D68" i="16"/>
  <c r="Y69" i="16"/>
  <c r="Y73" i="18"/>
  <c r="J69" i="16"/>
  <c r="H69" i="16"/>
  <c r="G69" i="16"/>
  <c r="I69" i="16"/>
  <c r="E69" i="16"/>
  <c r="K68" i="16"/>
  <c r="F69" i="16"/>
  <c r="H73" i="18"/>
  <c r="F73" i="18"/>
  <c r="E73" i="18"/>
  <c r="I73" i="18"/>
  <c r="J73" i="18"/>
  <c r="K73" i="18"/>
  <c r="G73" i="18"/>
  <c r="AE69" i="23"/>
  <c r="AA72" i="24"/>
  <c r="AA69" i="18"/>
  <c r="AD69" i="18"/>
  <c r="AF69" i="18"/>
  <c r="AE69" i="18"/>
  <c r="AF72" i="24"/>
  <c r="AC69" i="18"/>
  <c r="AC72" i="24"/>
  <c r="AB69" i="23"/>
  <c r="AA69" i="23"/>
  <c r="AE72" i="24"/>
  <c r="AF69" i="23"/>
  <c r="AU69" i="18"/>
  <c r="AD73" i="23"/>
  <c r="AB72" i="24"/>
  <c r="AB69" i="18"/>
  <c r="AC73" i="23"/>
  <c r="AD72" i="24"/>
  <c r="AH69" i="18" l="1"/>
  <c r="AI69" i="18"/>
  <c r="AK69" i="23"/>
  <c r="AK72" i="24"/>
  <c r="AJ72" i="24"/>
  <c r="AJ69" i="18"/>
  <c r="AK69" i="18"/>
  <c r="AM68" i="18"/>
  <c r="C68" i="18" s="1"/>
  <c r="AM71" i="24"/>
  <c r="C71" i="24" s="1"/>
  <c r="AH72" i="24"/>
  <c r="AI72" i="24"/>
  <c r="AG72" i="24"/>
  <c r="D72" i="24"/>
  <c r="AJ69" i="23"/>
  <c r="AM68" i="23"/>
  <c r="C68" i="23" s="1"/>
  <c r="AI73" i="23"/>
  <c r="AH73" i="23"/>
  <c r="AG69" i="23"/>
  <c r="AG69" i="18"/>
  <c r="D69" i="23"/>
  <c r="D69" i="18"/>
  <c r="D69" i="16"/>
  <c r="Y70" i="16"/>
  <c r="Y74" i="18"/>
  <c r="E70" i="16"/>
  <c r="F70" i="16"/>
  <c r="G70" i="16"/>
  <c r="H70" i="16"/>
  <c r="I70" i="16"/>
  <c r="J70" i="16"/>
  <c r="K69" i="16"/>
  <c r="K74" i="18"/>
  <c r="F74" i="18"/>
  <c r="I74" i="18"/>
  <c r="H74" i="18"/>
  <c r="E74" i="18"/>
  <c r="G74" i="18"/>
  <c r="J74" i="18"/>
  <c r="AF73" i="24"/>
  <c r="AF70" i="18"/>
  <c r="AC74" i="23"/>
  <c r="AB73" i="24"/>
  <c r="AC73" i="24"/>
  <c r="AD74" i="23"/>
  <c r="AA70" i="18"/>
  <c r="AE70" i="18"/>
  <c r="AD70" i="18"/>
  <c r="AA70" i="23"/>
  <c r="AA73" i="24"/>
  <c r="AF70" i="23"/>
  <c r="AC70" i="18"/>
  <c r="AE73" i="24"/>
  <c r="AB70" i="23"/>
  <c r="AU70" i="18"/>
  <c r="AD73" i="24"/>
  <c r="AE70" i="23"/>
  <c r="AB70" i="18"/>
  <c r="AI70" i="18" l="1"/>
  <c r="AH70" i="18"/>
  <c r="AK70" i="23"/>
  <c r="AK73" i="24"/>
  <c r="AJ73" i="24"/>
  <c r="AJ70" i="18"/>
  <c r="AK70" i="18"/>
  <c r="AM69" i="18"/>
  <c r="C69" i="18" s="1"/>
  <c r="AM72" i="24"/>
  <c r="C72" i="24" s="1"/>
  <c r="D73" i="24"/>
  <c r="AH73" i="24"/>
  <c r="AG73" i="24"/>
  <c r="AI73" i="24"/>
  <c r="AJ70" i="23"/>
  <c r="AM69" i="23"/>
  <c r="C69" i="23" s="1"/>
  <c r="AI74" i="23"/>
  <c r="AH74" i="23"/>
  <c r="AG70" i="23"/>
  <c r="AG70" i="18"/>
  <c r="D70" i="23"/>
  <c r="D70" i="18"/>
  <c r="D70" i="16"/>
  <c r="Y71" i="16"/>
  <c r="Y75" i="18"/>
  <c r="J71" i="16"/>
  <c r="I71" i="16"/>
  <c r="K70" i="16"/>
  <c r="F71" i="16"/>
  <c r="H71" i="16"/>
  <c r="G71" i="16"/>
  <c r="E71" i="16"/>
  <c r="E75" i="18"/>
  <c r="H75" i="18"/>
  <c r="J75" i="18"/>
  <c r="G75" i="18"/>
  <c r="I75" i="18"/>
  <c r="K75" i="18"/>
  <c r="F75" i="18"/>
  <c r="AE71" i="18"/>
  <c r="AE71" i="23"/>
  <c r="AB74" i="24"/>
  <c r="AF71" i="23"/>
  <c r="AF74" i="24"/>
  <c r="AD74" i="24"/>
  <c r="AA71" i="18"/>
  <c r="AD71" i="18"/>
  <c r="AC74" i="24"/>
  <c r="AU71" i="18"/>
  <c r="AA74" i="24"/>
  <c r="AE74" i="24"/>
  <c r="AA71" i="23"/>
  <c r="AC75" i="23"/>
  <c r="AB71" i="18"/>
  <c r="AF71" i="18"/>
  <c r="AB71" i="23"/>
  <c r="AC71" i="18"/>
  <c r="AD75" i="23"/>
  <c r="AH71" i="18" l="1"/>
  <c r="AI71" i="18"/>
  <c r="AK71" i="23"/>
  <c r="AK74" i="24"/>
  <c r="AJ74" i="24"/>
  <c r="AJ71" i="18"/>
  <c r="AK71" i="18"/>
  <c r="AM70" i="18"/>
  <c r="C70" i="18" s="1"/>
  <c r="AM73" i="24"/>
  <c r="C73" i="24" s="1"/>
  <c r="AG74" i="24"/>
  <c r="D74" i="24"/>
  <c r="AI74" i="24"/>
  <c r="AH74" i="24"/>
  <c r="AJ71" i="23"/>
  <c r="AM70" i="23"/>
  <c r="C70" i="23" s="1"/>
  <c r="AI75" i="23"/>
  <c r="AH75" i="23"/>
  <c r="AG71" i="23"/>
  <c r="AG71" i="18"/>
  <c r="D71" i="23"/>
  <c r="D71" i="18"/>
  <c r="D71" i="16"/>
  <c r="Y72" i="16"/>
  <c r="Y76" i="18"/>
  <c r="F72" i="16"/>
  <c r="E72" i="16"/>
  <c r="K71" i="16"/>
  <c r="I72" i="16"/>
  <c r="H72" i="16"/>
  <c r="G72" i="16"/>
  <c r="J72" i="16"/>
  <c r="K76" i="18"/>
  <c r="E76" i="18"/>
  <c r="G76" i="18"/>
  <c r="H76" i="18"/>
  <c r="I76" i="18"/>
  <c r="F76" i="18"/>
  <c r="J76" i="18"/>
  <c r="AF75" i="24"/>
  <c r="AD72" i="18"/>
  <c r="AC72" i="18"/>
  <c r="AE72" i="18"/>
  <c r="AA72" i="18"/>
  <c r="AD76" i="23"/>
  <c r="AA75" i="24"/>
  <c r="AB72" i="18"/>
  <c r="AB72" i="23"/>
  <c r="AA72" i="23"/>
  <c r="AU72" i="18"/>
  <c r="AC76" i="23"/>
  <c r="AD75" i="24"/>
  <c r="AC75" i="24"/>
  <c r="AB75" i="24"/>
  <c r="AE75" i="24"/>
  <c r="AF72" i="23"/>
  <c r="AF72" i="18"/>
  <c r="AE72" i="23"/>
  <c r="AH72" i="18" l="1"/>
  <c r="AI72" i="18"/>
  <c r="AK72" i="23"/>
  <c r="AK75" i="24"/>
  <c r="AJ75" i="24"/>
  <c r="AJ72" i="18"/>
  <c r="AK72" i="18"/>
  <c r="AM71" i="18"/>
  <c r="C71" i="18" s="1"/>
  <c r="AM74" i="24"/>
  <c r="C74" i="24" s="1"/>
  <c r="AG75" i="24"/>
  <c r="D75" i="24"/>
  <c r="AH75" i="24"/>
  <c r="AI75" i="24"/>
  <c r="AJ72" i="23"/>
  <c r="AM71" i="23"/>
  <c r="C71" i="23" s="1"/>
  <c r="AI76" i="23"/>
  <c r="AH76" i="23"/>
  <c r="AG72" i="23"/>
  <c r="AG72" i="18"/>
  <c r="D72" i="23"/>
  <c r="D72" i="18"/>
  <c r="D72" i="16"/>
  <c r="Y73" i="16"/>
  <c r="Y77" i="18"/>
  <c r="I73" i="16"/>
  <c r="J73" i="16"/>
  <c r="F73" i="16"/>
  <c r="E73" i="16"/>
  <c r="K72" i="16"/>
  <c r="G73" i="16"/>
  <c r="H73" i="16"/>
  <c r="H77" i="18"/>
  <c r="E77" i="18"/>
  <c r="J77" i="18"/>
  <c r="K77" i="18"/>
  <c r="I77" i="18"/>
  <c r="F77" i="18"/>
  <c r="G77" i="18"/>
  <c r="AE73" i="18"/>
  <c r="AB76" i="24"/>
  <c r="AU73" i="18"/>
  <c r="AC76" i="24"/>
  <c r="AF76" i="24"/>
  <c r="AB73" i="18"/>
  <c r="AF73" i="18"/>
  <c r="AC73" i="18"/>
  <c r="AD77" i="23"/>
  <c r="AC77" i="23"/>
  <c r="AE73" i="23"/>
  <c r="AA73" i="23"/>
  <c r="AE76" i="24"/>
  <c r="AA76" i="24"/>
  <c r="AB73" i="23"/>
  <c r="AD76" i="24"/>
  <c r="AD73" i="18"/>
  <c r="AF73" i="23"/>
  <c r="AA73" i="18"/>
  <c r="AI73" i="18" l="1"/>
  <c r="AH73" i="18"/>
  <c r="AK73" i="23"/>
  <c r="AK76" i="24"/>
  <c r="AJ76" i="24"/>
  <c r="AJ73" i="18"/>
  <c r="AK73" i="18"/>
  <c r="AM72" i="18"/>
  <c r="C72" i="18" s="1"/>
  <c r="AM75" i="24"/>
  <c r="C75" i="24" s="1"/>
  <c r="AH76" i="24"/>
  <c r="D76" i="24"/>
  <c r="AI76" i="24"/>
  <c r="AG76" i="24"/>
  <c r="AJ73" i="23"/>
  <c r="AM72" i="23"/>
  <c r="C72" i="23" s="1"/>
  <c r="AI77" i="23"/>
  <c r="AH77" i="23"/>
  <c r="AG73" i="23"/>
  <c r="AG73" i="18"/>
  <c r="D73" i="23"/>
  <c r="D73" i="18"/>
  <c r="D73" i="16"/>
  <c r="Y74" i="16"/>
  <c r="Y78" i="18"/>
  <c r="J74" i="16"/>
  <c r="E74" i="16"/>
  <c r="G74" i="16"/>
  <c r="H74" i="16"/>
  <c r="F74" i="16"/>
  <c r="I74" i="16"/>
  <c r="K73" i="16"/>
  <c r="J78" i="18"/>
  <c r="H78" i="18"/>
  <c r="I78" i="18"/>
  <c r="K78" i="18"/>
  <c r="F78" i="18"/>
  <c r="E78" i="18"/>
  <c r="G78" i="18"/>
  <c r="AF77" i="24"/>
  <c r="AC77" i="24"/>
  <c r="AE74" i="23"/>
  <c r="AB74" i="23"/>
  <c r="AB77" i="24"/>
  <c r="AA74" i="23"/>
  <c r="AB74" i="18"/>
  <c r="AA77" i="24"/>
  <c r="AF74" i="18"/>
  <c r="AF74" i="23"/>
  <c r="AU74" i="18"/>
  <c r="AD74" i="18"/>
  <c r="AD77" i="24"/>
  <c r="AC74" i="18"/>
  <c r="AE74" i="18"/>
  <c r="AA74" i="18"/>
  <c r="AC78" i="23"/>
  <c r="AD78" i="23"/>
  <c r="AE77" i="24"/>
  <c r="AI74" i="18" l="1"/>
  <c r="AH74" i="18"/>
  <c r="AK74" i="23"/>
  <c r="AK77" i="24"/>
  <c r="AJ77" i="24"/>
  <c r="AJ74" i="18"/>
  <c r="AK74" i="18"/>
  <c r="AM73" i="18"/>
  <c r="C73" i="18" s="1"/>
  <c r="AM76" i="24"/>
  <c r="C76" i="24" s="1"/>
  <c r="D77" i="24"/>
  <c r="AH77" i="24"/>
  <c r="AG77" i="24"/>
  <c r="AI77" i="24"/>
  <c r="AJ74" i="23"/>
  <c r="AM73" i="23"/>
  <c r="C73" i="23" s="1"/>
  <c r="AI78" i="23"/>
  <c r="AH78" i="23"/>
  <c r="AG74" i="23"/>
  <c r="AG74" i="18"/>
  <c r="D74" i="23"/>
  <c r="D74" i="18"/>
  <c r="D74" i="16"/>
  <c r="Y75" i="16"/>
  <c r="Y79" i="18"/>
  <c r="F75" i="16"/>
  <c r="E75" i="16"/>
  <c r="H75" i="16"/>
  <c r="K74" i="16"/>
  <c r="G75" i="16"/>
  <c r="J75" i="16"/>
  <c r="I75" i="16"/>
  <c r="H79" i="18"/>
  <c r="G79" i="18"/>
  <c r="K79" i="18"/>
  <c r="E79" i="18"/>
  <c r="I79" i="18"/>
  <c r="F79" i="18"/>
  <c r="J79" i="18"/>
  <c r="AF75" i="18"/>
  <c r="AF78" i="24"/>
  <c r="AA78" i="24"/>
  <c r="AC79" i="23"/>
  <c r="AB78" i="24"/>
  <c r="AF75" i="23"/>
  <c r="AA75" i="23"/>
  <c r="AE75" i="23"/>
  <c r="AC78" i="24"/>
  <c r="AD75" i="18"/>
  <c r="AA75" i="18"/>
  <c r="AC75" i="18"/>
  <c r="AB75" i="18"/>
  <c r="AD79" i="23"/>
  <c r="AE75" i="18"/>
  <c r="AU75" i="18"/>
  <c r="AE78" i="24"/>
  <c r="AB75" i="23"/>
  <c r="AD78" i="24"/>
  <c r="AH75" i="18" l="1"/>
  <c r="AI75" i="18"/>
  <c r="AK75" i="23"/>
  <c r="AK78" i="24"/>
  <c r="AJ78" i="24"/>
  <c r="AJ75" i="18"/>
  <c r="AK75" i="18"/>
  <c r="AM74" i="18"/>
  <c r="C74" i="18" s="1"/>
  <c r="AM77" i="24"/>
  <c r="C77" i="24" s="1"/>
  <c r="AG78" i="24"/>
  <c r="D78" i="24"/>
  <c r="AI78" i="24"/>
  <c r="AH78" i="24"/>
  <c r="AJ75" i="23"/>
  <c r="AM74" i="23"/>
  <c r="C74" i="23" s="1"/>
  <c r="AI79" i="23"/>
  <c r="AH79" i="23"/>
  <c r="AG75" i="23"/>
  <c r="AG75" i="18"/>
  <c r="D75" i="23"/>
  <c r="D75" i="18"/>
  <c r="D75" i="16"/>
  <c r="Y76" i="16"/>
  <c r="Y80" i="18"/>
  <c r="E76" i="16"/>
  <c r="F76" i="16"/>
  <c r="I76" i="16"/>
  <c r="K75" i="16"/>
  <c r="J76" i="16"/>
  <c r="H76" i="16"/>
  <c r="G76" i="16"/>
  <c r="I80" i="18"/>
  <c r="K80" i="18"/>
  <c r="J80" i="18"/>
  <c r="G80" i="18"/>
  <c r="E80" i="18"/>
  <c r="H80" i="18"/>
  <c r="F80" i="18"/>
  <c r="AC76" i="18"/>
  <c r="AF76" i="18"/>
  <c r="AE76" i="18"/>
  <c r="AE76" i="23"/>
  <c r="AA76" i="18"/>
  <c r="AU76" i="18"/>
  <c r="AD79" i="24"/>
  <c r="AA76" i="23"/>
  <c r="AE79" i="24"/>
  <c r="AB76" i="23"/>
  <c r="AD76" i="18"/>
  <c r="AF76" i="23"/>
  <c r="AB79" i="24"/>
  <c r="AD80" i="23"/>
  <c r="AB76" i="18"/>
  <c r="AA79" i="24"/>
  <c r="AC79" i="24"/>
  <c r="AC80" i="23"/>
  <c r="AF79" i="24"/>
  <c r="AH76" i="18" l="1"/>
  <c r="AI76" i="18"/>
  <c r="AK76" i="23"/>
  <c r="AK79" i="24"/>
  <c r="AJ79" i="24"/>
  <c r="AJ76" i="18"/>
  <c r="AK76" i="18"/>
  <c r="AM75" i="18"/>
  <c r="C75" i="18" s="1"/>
  <c r="AM78" i="24"/>
  <c r="C78" i="24" s="1"/>
  <c r="AH79" i="24"/>
  <c r="D79" i="24"/>
  <c r="AG79" i="24"/>
  <c r="AI79" i="24"/>
  <c r="AJ76" i="23"/>
  <c r="AM75" i="23"/>
  <c r="C75" i="23" s="1"/>
  <c r="AI80" i="23"/>
  <c r="AH80" i="23"/>
  <c r="AG76" i="23"/>
  <c r="AG76" i="18"/>
  <c r="D76" i="23"/>
  <c r="D76" i="18"/>
  <c r="D76" i="16"/>
  <c r="Y77" i="16"/>
  <c r="Y81" i="18"/>
  <c r="J77" i="16"/>
  <c r="F77" i="16"/>
  <c r="E77" i="16"/>
  <c r="G77" i="16"/>
  <c r="H77" i="16"/>
  <c r="K76" i="16"/>
  <c r="I77" i="16"/>
  <c r="E81" i="18"/>
  <c r="H81" i="18"/>
  <c r="I81" i="18"/>
  <c r="F81" i="18"/>
  <c r="K81" i="18"/>
  <c r="G81" i="18"/>
  <c r="J81" i="18"/>
  <c r="AB80" i="24"/>
  <c r="AD80" i="24"/>
  <c r="AB77" i="18"/>
  <c r="AF77" i="23"/>
  <c r="AB77" i="23"/>
  <c r="AD77" i="18"/>
  <c r="AC81" i="23"/>
  <c r="AE77" i="23"/>
  <c r="AA77" i="23"/>
  <c r="AF80" i="24"/>
  <c r="AA77" i="18"/>
  <c r="AU77" i="18"/>
  <c r="AA80" i="24"/>
  <c r="AD81" i="23"/>
  <c r="AE80" i="24"/>
  <c r="AE77" i="18"/>
  <c r="AC80" i="24"/>
  <c r="AC77" i="18"/>
  <c r="AF77" i="18"/>
  <c r="AI77" i="18" l="1"/>
  <c r="AH77" i="18"/>
  <c r="AK77" i="23"/>
  <c r="AK80" i="24"/>
  <c r="AJ80" i="24"/>
  <c r="AJ77" i="18"/>
  <c r="AK77" i="18"/>
  <c r="AM76" i="18"/>
  <c r="C76" i="18" s="1"/>
  <c r="AM79" i="24"/>
  <c r="C79" i="24" s="1"/>
  <c r="AH80" i="24"/>
  <c r="AI80" i="24"/>
  <c r="AG80" i="24"/>
  <c r="D80" i="24"/>
  <c r="AJ77" i="23"/>
  <c r="AM76" i="23"/>
  <c r="C76" i="23" s="1"/>
  <c r="AI81" i="23"/>
  <c r="AH81" i="23"/>
  <c r="AG77" i="23"/>
  <c r="AG77" i="18"/>
  <c r="D77" i="23"/>
  <c r="D77" i="18"/>
  <c r="D77" i="16"/>
  <c r="Y78" i="16"/>
  <c r="Y82" i="18"/>
  <c r="K77" i="16"/>
  <c r="F78" i="16"/>
  <c r="I78" i="16"/>
  <c r="J78" i="16"/>
  <c r="E78" i="16"/>
  <c r="G78" i="16"/>
  <c r="H78" i="16"/>
  <c r="J82" i="18"/>
  <c r="G82" i="18"/>
  <c r="F82" i="18"/>
  <c r="E82" i="18"/>
  <c r="I82" i="18"/>
  <c r="H82" i="18"/>
  <c r="K82" i="18"/>
  <c r="AF78" i="23"/>
  <c r="AA78" i="18"/>
  <c r="AA78" i="23"/>
  <c r="AC82" i="23"/>
  <c r="AB78" i="23"/>
  <c r="AB81" i="24"/>
  <c r="AD82" i="23"/>
  <c r="AA81" i="24"/>
  <c r="AE78" i="23"/>
  <c r="AE81" i="24"/>
  <c r="AU78" i="18"/>
  <c r="AC81" i="24"/>
  <c r="AC78" i="18"/>
  <c r="AB78" i="18"/>
  <c r="AF78" i="18"/>
  <c r="AE78" i="18"/>
  <c r="AD78" i="18"/>
  <c r="AF81" i="24"/>
  <c r="AD81" i="24"/>
  <c r="AI78" i="18" l="1"/>
  <c r="AH78" i="18"/>
  <c r="AK78" i="23"/>
  <c r="AK81" i="24"/>
  <c r="AJ81" i="24"/>
  <c r="AJ78" i="18"/>
  <c r="AK78" i="18"/>
  <c r="AM77" i="18"/>
  <c r="C77" i="18" s="1"/>
  <c r="AM80" i="24"/>
  <c r="C80" i="24" s="1"/>
  <c r="AI81" i="24"/>
  <c r="AH81" i="24"/>
  <c r="AG81" i="24"/>
  <c r="D81" i="24"/>
  <c r="AJ78" i="23"/>
  <c r="AM77" i="23"/>
  <c r="C77" i="23" s="1"/>
  <c r="AI82" i="23"/>
  <c r="AH82" i="23"/>
  <c r="AG78" i="23"/>
  <c r="AG78" i="18"/>
  <c r="D78" i="23"/>
  <c r="D78" i="18"/>
  <c r="D78" i="16"/>
  <c r="Y79" i="16"/>
  <c r="Y83" i="18"/>
  <c r="J79" i="16"/>
  <c r="E79" i="16"/>
  <c r="I79" i="16"/>
  <c r="H79" i="16"/>
  <c r="G79" i="16"/>
  <c r="K78" i="16"/>
  <c r="F79" i="16"/>
  <c r="J83" i="18"/>
  <c r="G83" i="18"/>
  <c r="H83" i="18"/>
  <c r="E83" i="18"/>
  <c r="K83" i="18"/>
  <c r="I83" i="18"/>
  <c r="F83" i="18"/>
  <c r="AA79" i="18"/>
  <c r="AB79" i="23"/>
  <c r="AE82" i="24"/>
  <c r="AF79" i="18"/>
  <c r="AD79" i="18"/>
  <c r="AC82" i="24"/>
  <c r="AF79" i="23"/>
  <c r="AA82" i="24"/>
  <c r="AF82" i="24"/>
  <c r="AD83" i="23"/>
  <c r="AE79" i="23"/>
  <c r="AC83" i="23"/>
  <c r="AE79" i="18"/>
  <c r="AU79" i="18"/>
  <c r="AA79" i="23"/>
  <c r="AB79" i="18"/>
  <c r="AC79" i="18"/>
  <c r="AB82" i="24"/>
  <c r="AD82" i="24"/>
  <c r="AH79" i="18" l="1"/>
  <c r="AI79" i="18"/>
  <c r="AK79" i="23"/>
  <c r="AK82" i="24"/>
  <c r="AJ82" i="24"/>
  <c r="AJ79" i="18"/>
  <c r="AK79" i="18"/>
  <c r="AM78" i="18"/>
  <c r="C78" i="18" s="1"/>
  <c r="AM81" i="24"/>
  <c r="C81" i="24" s="1"/>
  <c r="AH82" i="24"/>
  <c r="AI82" i="24"/>
  <c r="D82" i="24"/>
  <c r="AG82" i="24"/>
  <c r="AM78" i="23"/>
  <c r="C78" i="23" s="1"/>
  <c r="AJ79" i="23"/>
  <c r="AI83" i="23"/>
  <c r="AH83" i="23"/>
  <c r="AG79" i="23"/>
  <c r="AG79" i="18"/>
  <c r="D79" i="23"/>
  <c r="D79" i="18"/>
  <c r="D79" i="16"/>
  <c r="Y80" i="16"/>
  <c r="Y84" i="18"/>
  <c r="F80" i="16"/>
  <c r="E80" i="16"/>
  <c r="K79" i="16"/>
  <c r="H80" i="16"/>
  <c r="G80" i="16"/>
  <c r="J80" i="16"/>
  <c r="I80" i="16"/>
  <c r="E84" i="18"/>
  <c r="H84" i="18"/>
  <c r="G84" i="18"/>
  <c r="I84" i="18"/>
  <c r="K84" i="18"/>
  <c r="J84" i="18"/>
  <c r="F84" i="18"/>
  <c r="AB83" i="24"/>
  <c r="AB80" i="23"/>
  <c r="AD83" i="24"/>
  <c r="AF80" i="23"/>
  <c r="AF83" i="24"/>
  <c r="AF80" i="18"/>
  <c r="AA83" i="24"/>
  <c r="AD84" i="23"/>
  <c r="AU80" i="18"/>
  <c r="AA80" i="18"/>
  <c r="AA80" i="23"/>
  <c r="AC83" i="24"/>
  <c r="AE83" i="24"/>
  <c r="AD80" i="18"/>
  <c r="AB80" i="18"/>
  <c r="AC84" i="23"/>
  <c r="AE80" i="23"/>
  <c r="AE80" i="18"/>
  <c r="AC80" i="18"/>
  <c r="AH80" i="18" l="1"/>
  <c r="AI80" i="18"/>
  <c r="AK80" i="23"/>
  <c r="AK83" i="24"/>
  <c r="AJ83" i="24"/>
  <c r="AJ80" i="18"/>
  <c r="AK80" i="18"/>
  <c r="AM79" i="18"/>
  <c r="C79" i="18" s="1"/>
  <c r="AM82" i="24"/>
  <c r="C82" i="24" s="1"/>
  <c r="AI83" i="24"/>
  <c r="AH83" i="24"/>
  <c r="AG83" i="24"/>
  <c r="D83" i="24"/>
  <c r="AJ80" i="23"/>
  <c r="AM79" i="23"/>
  <c r="C79" i="23" s="1"/>
  <c r="AI84" i="23"/>
  <c r="AH84" i="23"/>
  <c r="AG80" i="23"/>
  <c r="AG80" i="18"/>
  <c r="D80" i="23"/>
  <c r="D80" i="18"/>
  <c r="D80" i="16"/>
  <c r="Y81" i="16"/>
  <c r="Y85" i="18"/>
  <c r="E81" i="16"/>
  <c r="K80" i="16"/>
  <c r="I81" i="16"/>
  <c r="G81" i="16"/>
  <c r="H81" i="16"/>
  <c r="F81" i="16"/>
  <c r="J81" i="16"/>
  <c r="H85" i="18"/>
  <c r="E85" i="18"/>
  <c r="I85" i="18"/>
  <c r="J85" i="18"/>
  <c r="F85" i="18"/>
  <c r="K85" i="18"/>
  <c r="G85" i="18"/>
  <c r="AE81" i="23"/>
  <c r="AD84" i="24"/>
  <c r="AF81" i="23"/>
  <c r="AE84" i="24"/>
  <c r="AA81" i="18"/>
  <c r="AF81" i="18"/>
  <c r="AC81" i="18"/>
  <c r="AD81" i="18"/>
  <c r="AU81" i="18"/>
  <c r="AA81" i="23"/>
  <c r="AD85" i="23"/>
  <c r="AC85" i="23"/>
  <c r="AF84" i="24"/>
  <c r="AA84" i="24"/>
  <c r="AB84" i="24"/>
  <c r="AB81" i="23"/>
  <c r="AE81" i="18"/>
  <c r="AC84" i="24"/>
  <c r="AB81" i="18"/>
  <c r="AI81" i="18" l="1"/>
  <c r="AH81" i="18"/>
  <c r="AK81" i="23"/>
  <c r="AK84" i="24"/>
  <c r="AJ84" i="24"/>
  <c r="AJ81" i="18"/>
  <c r="AK81" i="18"/>
  <c r="AM80" i="18"/>
  <c r="C80" i="18" s="1"/>
  <c r="AM83" i="24"/>
  <c r="C83" i="24" s="1"/>
  <c r="AI84" i="24"/>
  <c r="AH84" i="24"/>
  <c r="D84" i="24"/>
  <c r="AG84" i="24"/>
  <c r="AJ81" i="23"/>
  <c r="AM80" i="23"/>
  <c r="C80" i="23" s="1"/>
  <c r="AI85" i="23"/>
  <c r="AH85" i="23"/>
  <c r="AG81" i="23"/>
  <c r="AG81" i="18"/>
  <c r="D81" i="23"/>
  <c r="D81" i="18"/>
  <c r="D81" i="16"/>
  <c r="Y82" i="16"/>
  <c r="Y86" i="18"/>
  <c r="E82" i="16"/>
  <c r="J82" i="16"/>
  <c r="F82" i="16"/>
  <c r="H82" i="16"/>
  <c r="G82" i="16"/>
  <c r="I82" i="16"/>
  <c r="K81" i="16"/>
  <c r="F86" i="18"/>
  <c r="K86" i="18"/>
  <c r="H86" i="18"/>
  <c r="I86" i="18"/>
  <c r="E86" i="18"/>
  <c r="G86" i="18"/>
  <c r="J86" i="18"/>
  <c r="AF82" i="23"/>
  <c r="AC86" i="23"/>
  <c r="AD82" i="18"/>
  <c r="AB82" i="23"/>
  <c r="AF85" i="24"/>
  <c r="AF82" i="18"/>
  <c r="AA82" i="23"/>
  <c r="AB85" i="24"/>
  <c r="AC85" i="24"/>
  <c r="AC82" i="18"/>
  <c r="AB82" i="18"/>
  <c r="AD86" i="23"/>
  <c r="AU82" i="18"/>
  <c r="AD85" i="24"/>
  <c r="AA85" i="24"/>
  <c r="AA82" i="18"/>
  <c r="AE82" i="18"/>
  <c r="AE85" i="24"/>
  <c r="AE82" i="23"/>
  <c r="AH82" i="18" l="1"/>
  <c r="AI82" i="18"/>
  <c r="AK82" i="23"/>
  <c r="AK85" i="24"/>
  <c r="AJ85" i="24"/>
  <c r="AJ82" i="18"/>
  <c r="AK82" i="18"/>
  <c r="AM81" i="18"/>
  <c r="C81" i="18" s="1"/>
  <c r="AM84" i="24"/>
  <c r="C84" i="24" s="1"/>
  <c r="AG85" i="24"/>
  <c r="AH85" i="24"/>
  <c r="AI85" i="24"/>
  <c r="D85" i="24"/>
  <c r="AJ82" i="23"/>
  <c r="AM81" i="23"/>
  <c r="C81" i="23" s="1"/>
  <c r="AI86" i="23"/>
  <c r="AH86" i="23"/>
  <c r="AG82" i="23"/>
  <c r="AG82" i="18"/>
  <c r="D82" i="23"/>
  <c r="D82" i="18"/>
  <c r="D82" i="16"/>
  <c r="Y83" i="16"/>
  <c r="Y87" i="18"/>
  <c r="K82" i="16"/>
  <c r="E83" i="16"/>
  <c r="I83" i="16"/>
  <c r="J83" i="16"/>
  <c r="G83" i="16"/>
  <c r="H83" i="16"/>
  <c r="F83" i="16"/>
  <c r="I87" i="18"/>
  <c r="K87" i="18"/>
  <c r="E87" i="18"/>
  <c r="H87" i="18"/>
  <c r="J87" i="18"/>
  <c r="F87" i="18"/>
  <c r="G87" i="18"/>
  <c r="AF86" i="24"/>
  <c r="AU83" i="18"/>
  <c r="AE83" i="18"/>
  <c r="AC83" i="18"/>
  <c r="AC87" i="23"/>
  <c r="AE83" i="23"/>
  <c r="AD83" i="18"/>
  <c r="AB86" i="24"/>
  <c r="AE86" i="24"/>
  <c r="AA83" i="23"/>
  <c r="AA83" i="18"/>
  <c r="AB83" i="18"/>
  <c r="AF83" i="18"/>
  <c r="AF83" i="23"/>
  <c r="AA86" i="24"/>
  <c r="AC86" i="24"/>
  <c r="AD86" i="24"/>
  <c r="AD87" i="23"/>
  <c r="AB83" i="23"/>
  <c r="AI83" i="18" l="1"/>
  <c r="AH83" i="18"/>
  <c r="AK83" i="23"/>
  <c r="AK86" i="24"/>
  <c r="AJ86" i="24"/>
  <c r="AJ83" i="18"/>
  <c r="AK83" i="18"/>
  <c r="AM82" i="18"/>
  <c r="C82" i="18" s="1"/>
  <c r="AM85" i="24"/>
  <c r="C85" i="24" s="1"/>
  <c r="D86" i="24"/>
  <c r="AI86" i="24"/>
  <c r="AH86" i="24"/>
  <c r="AG86" i="24"/>
  <c r="AJ83" i="23"/>
  <c r="AM82" i="23"/>
  <c r="C82" i="23" s="1"/>
  <c r="AI87" i="23"/>
  <c r="AH87" i="23"/>
  <c r="AG83" i="23"/>
  <c r="AG83" i="18"/>
  <c r="D83" i="23"/>
  <c r="D83" i="18"/>
  <c r="D83" i="16"/>
  <c r="Y84" i="16"/>
  <c r="Y88" i="18"/>
  <c r="F84" i="16"/>
  <c r="J84" i="16"/>
  <c r="K83" i="16"/>
  <c r="H84" i="16"/>
  <c r="G84" i="16"/>
  <c r="I84" i="16"/>
  <c r="E84" i="16"/>
  <c r="F88" i="18"/>
  <c r="K88" i="18"/>
  <c r="I88" i="18"/>
  <c r="J88" i="18"/>
  <c r="E88" i="18"/>
  <c r="H88" i="18"/>
  <c r="G88" i="18"/>
  <c r="AF84" i="23"/>
  <c r="AU84" i="18"/>
  <c r="AF87" i="24"/>
  <c r="AE87" i="24"/>
  <c r="AE84" i="18"/>
  <c r="AC88" i="23"/>
  <c r="AE84" i="23"/>
  <c r="AA84" i="23"/>
  <c r="AD84" i="18"/>
  <c r="AC87" i="24"/>
  <c r="AF84" i="18"/>
  <c r="AA84" i="18"/>
  <c r="AD87" i="24"/>
  <c r="AB87" i="24"/>
  <c r="AD88" i="23"/>
  <c r="AC84" i="18"/>
  <c r="AB84" i="23"/>
  <c r="AA87" i="24"/>
  <c r="AB84" i="18"/>
  <c r="AH84" i="18" l="1"/>
  <c r="AI84" i="18"/>
  <c r="AK84" i="23"/>
  <c r="AK87" i="24"/>
  <c r="AJ87" i="24"/>
  <c r="AJ84" i="18"/>
  <c r="AK84" i="18"/>
  <c r="AM83" i="18"/>
  <c r="C83" i="18" s="1"/>
  <c r="AM86" i="24"/>
  <c r="C86" i="24" s="1"/>
  <c r="AI87" i="24"/>
  <c r="AH87" i="24"/>
  <c r="D87" i="24"/>
  <c r="AG87" i="24"/>
  <c r="AJ84" i="23"/>
  <c r="AM83" i="23"/>
  <c r="C83" i="23" s="1"/>
  <c r="AI88" i="23"/>
  <c r="AH88" i="23"/>
  <c r="AG84" i="23"/>
  <c r="AG84" i="18"/>
  <c r="D84" i="23"/>
  <c r="D84" i="18"/>
  <c r="D84" i="16"/>
  <c r="Y85" i="16"/>
  <c r="Y89" i="18"/>
  <c r="K84" i="16"/>
  <c r="E85" i="16"/>
  <c r="F85" i="16"/>
  <c r="I85" i="16"/>
  <c r="J85" i="16"/>
  <c r="H85" i="16"/>
  <c r="G85" i="16"/>
  <c r="E89" i="18"/>
  <c r="G89" i="18"/>
  <c r="J89" i="18"/>
  <c r="I89" i="18"/>
  <c r="K89" i="18"/>
  <c r="H89" i="18"/>
  <c r="F89" i="18"/>
  <c r="AC88" i="24"/>
  <c r="AB85" i="23"/>
  <c r="AF85" i="18"/>
  <c r="AC89" i="23"/>
  <c r="AB88" i="24"/>
  <c r="AF88" i="24"/>
  <c r="AE85" i="18"/>
  <c r="AD89" i="23"/>
  <c r="AE85" i="23"/>
  <c r="AA85" i="23"/>
  <c r="AC85" i="18"/>
  <c r="AA85" i="18"/>
  <c r="AB85" i="18"/>
  <c r="AF85" i="23"/>
  <c r="AD88" i="24"/>
  <c r="AU85" i="18"/>
  <c r="AD85" i="18"/>
  <c r="AA88" i="24"/>
  <c r="AE88" i="24"/>
  <c r="AI85" i="18" l="1"/>
  <c r="AH85" i="18"/>
  <c r="AK85" i="23"/>
  <c r="AK88" i="24"/>
  <c r="AJ88" i="24"/>
  <c r="AJ85" i="18"/>
  <c r="AK85" i="18"/>
  <c r="AM84" i="18"/>
  <c r="C84" i="18" s="1"/>
  <c r="AM87" i="24"/>
  <c r="C87" i="24" s="1"/>
  <c r="AG88" i="24"/>
  <c r="D88" i="24"/>
  <c r="AI88" i="24"/>
  <c r="AH88" i="24"/>
  <c r="AJ85" i="23"/>
  <c r="AM84" i="23"/>
  <c r="C84" i="23" s="1"/>
  <c r="AI89" i="23"/>
  <c r="AH89" i="23"/>
  <c r="AG85" i="23"/>
  <c r="AG85" i="18"/>
  <c r="D85" i="23"/>
  <c r="D85" i="18"/>
  <c r="D85" i="16"/>
  <c r="Y86" i="16"/>
  <c r="Y90" i="18"/>
  <c r="F86" i="16"/>
  <c r="J86" i="16"/>
  <c r="K85" i="16"/>
  <c r="E86" i="16"/>
  <c r="G86" i="16"/>
  <c r="H86" i="16"/>
  <c r="I86" i="16"/>
  <c r="F90" i="18"/>
  <c r="I90" i="18"/>
  <c r="G90" i="18"/>
  <c r="K90" i="18"/>
  <c r="E90" i="18"/>
  <c r="H90" i="18"/>
  <c r="J90" i="18"/>
  <c r="AU86" i="18"/>
  <c r="AB86" i="23"/>
  <c r="AE89" i="24"/>
  <c r="AE86" i="18"/>
  <c r="AA86" i="23"/>
  <c r="AC86" i="18"/>
  <c r="AD90" i="23"/>
  <c r="AA86" i="18"/>
  <c r="AC90" i="23"/>
  <c r="AE86" i="23"/>
  <c r="AD89" i="24"/>
  <c r="AB86" i="18"/>
  <c r="AA89" i="24"/>
  <c r="AF86" i="23"/>
  <c r="AF86" i="18"/>
  <c r="AC89" i="24"/>
  <c r="AF89" i="24"/>
  <c r="AB89" i="24"/>
  <c r="AD86" i="18"/>
  <c r="AI86" i="18" l="1"/>
  <c r="AH86" i="18"/>
  <c r="AK86" i="23"/>
  <c r="AK89" i="24"/>
  <c r="AJ89" i="24"/>
  <c r="AJ86" i="18"/>
  <c r="AK86" i="18"/>
  <c r="AM85" i="18"/>
  <c r="C85" i="18" s="1"/>
  <c r="AM88" i="24"/>
  <c r="C88" i="24" s="1"/>
  <c r="AI89" i="24"/>
  <c r="AH89" i="24"/>
  <c r="D89" i="24"/>
  <c r="AG89" i="24"/>
  <c r="AJ86" i="23"/>
  <c r="AM85" i="23"/>
  <c r="C85" i="23" s="1"/>
  <c r="AI90" i="23"/>
  <c r="AH90" i="23"/>
  <c r="AG86" i="23"/>
  <c r="AG86" i="18"/>
  <c r="D86" i="23"/>
  <c r="D86" i="18"/>
  <c r="D86" i="16"/>
  <c r="Y87" i="16"/>
  <c r="Y91" i="18"/>
  <c r="K86" i="16"/>
  <c r="E87" i="16"/>
  <c r="I87" i="16"/>
  <c r="H87" i="16"/>
  <c r="G87" i="16"/>
  <c r="J87" i="16"/>
  <c r="F87" i="16"/>
  <c r="E91" i="18"/>
  <c r="K91" i="18"/>
  <c r="G91" i="18"/>
  <c r="H91" i="18"/>
  <c r="J91" i="18"/>
  <c r="F91" i="18"/>
  <c r="I91" i="18"/>
  <c r="AD90" i="24"/>
  <c r="AA87" i="18"/>
  <c r="AC91" i="23"/>
  <c r="AD91" i="23"/>
  <c r="AA90" i="24"/>
  <c r="AE87" i="23"/>
  <c r="AE87" i="18"/>
  <c r="AB87" i="23"/>
  <c r="AB90" i="24"/>
  <c r="AD87" i="18"/>
  <c r="AU87" i="18"/>
  <c r="AE90" i="24"/>
  <c r="AC87" i="18"/>
  <c r="AC90" i="24"/>
  <c r="AF87" i="23"/>
  <c r="AF87" i="18"/>
  <c r="AA87" i="23"/>
  <c r="AF90" i="24"/>
  <c r="AB87" i="18"/>
  <c r="AH87" i="18" l="1"/>
  <c r="AI87" i="18"/>
  <c r="AK87" i="23"/>
  <c r="AK90" i="24"/>
  <c r="AJ90" i="24"/>
  <c r="AJ87" i="18"/>
  <c r="AK87" i="18"/>
  <c r="AM86" i="18"/>
  <c r="C86" i="18" s="1"/>
  <c r="AM89" i="24"/>
  <c r="C89" i="24" s="1"/>
  <c r="AH90" i="24"/>
  <c r="D90" i="24"/>
  <c r="AG90" i="24"/>
  <c r="AI90" i="24"/>
  <c r="AJ87" i="23"/>
  <c r="AM86" i="23"/>
  <c r="C86" i="23" s="1"/>
  <c r="AI91" i="23"/>
  <c r="AH91" i="23"/>
  <c r="AG87" i="23"/>
  <c r="AG87" i="18"/>
  <c r="D87" i="23"/>
  <c r="D87" i="18"/>
  <c r="D87" i="16"/>
  <c r="Y88" i="16"/>
  <c r="Y92" i="18"/>
  <c r="F88" i="16"/>
  <c r="E88" i="16"/>
  <c r="J88" i="16"/>
  <c r="G88" i="16"/>
  <c r="H88" i="16"/>
  <c r="I88" i="16"/>
  <c r="K87" i="16"/>
  <c r="F92" i="18"/>
  <c r="I92" i="18"/>
  <c r="G92" i="18"/>
  <c r="K92" i="18"/>
  <c r="H92" i="18"/>
  <c r="E92" i="18"/>
  <c r="J92" i="18"/>
  <c r="AE91" i="24"/>
  <c r="AD92" i="23"/>
  <c r="AE88" i="23"/>
  <c r="AD88" i="18"/>
  <c r="AC88" i="18"/>
  <c r="AB88" i="23"/>
  <c r="AA91" i="24"/>
  <c r="AU88" i="18"/>
  <c r="AA88" i="23"/>
  <c r="AD91" i="24"/>
  <c r="AF88" i="23"/>
  <c r="AC92" i="23"/>
  <c r="AA88" i="18"/>
  <c r="AF88" i="18"/>
  <c r="AF91" i="24"/>
  <c r="AB88" i="18"/>
  <c r="AE88" i="18"/>
  <c r="AC91" i="24"/>
  <c r="AB91" i="24"/>
  <c r="AI88" i="18" l="1"/>
  <c r="AH88" i="18"/>
  <c r="AK88" i="23"/>
  <c r="AK91" i="24"/>
  <c r="AJ91" i="24"/>
  <c r="AJ88" i="18"/>
  <c r="AK88" i="18"/>
  <c r="AM87" i="18"/>
  <c r="C87" i="18" s="1"/>
  <c r="AM90" i="24"/>
  <c r="C90" i="24" s="1"/>
  <c r="AG91" i="24"/>
  <c r="D91" i="24"/>
  <c r="AI91" i="24"/>
  <c r="AH91" i="24"/>
  <c r="AJ88" i="23"/>
  <c r="AM87" i="23"/>
  <c r="C87" i="23" s="1"/>
  <c r="AI92" i="23"/>
  <c r="AH92" i="23"/>
  <c r="AG88" i="23"/>
  <c r="AG88" i="18"/>
  <c r="D88" i="23"/>
  <c r="D88" i="18"/>
  <c r="D88" i="16"/>
  <c r="Y89" i="16"/>
  <c r="Y93" i="18"/>
  <c r="F89" i="16"/>
  <c r="E89" i="16"/>
  <c r="K88" i="16"/>
  <c r="H89" i="16"/>
  <c r="J89" i="16"/>
  <c r="G89" i="16"/>
  <c r="I89" i="16"/>
  <c r="I93" i="18"/>
  <c r="K93" i="18"/>
  <c r="F93" i="18"/>
  <c r="J93" i="18"/>
  <c r="E93" i="18"/>
  <c r="G93" i="18"/>
  <c r="H93" i="18"/>
  <c r="AB89" i="23"/>
  <c r="AE89" i="18"/>
  <c r="AD93" i="23"/>
  <c r="AE89" i="23"/>
  <c r="AE92" i="24"/>
  <c r="AF89" i="18"/>
  <c r="AA89" i="23"/>
  <c r="AF92" i="24"/>
  <c r="AC92" i="24"/>
  <c r="AC93" i="23"/>
  <c r="AU89" i="18"/>
  <c r="AA89" i="18"/>
  <c r="AB89" i="18"/>
  <c r="AA92" i="24"/>
  <c r="AC89" i="18"/>
  <c r="AD89" i="18"/>
  <c r="AF89" i="23"/>
  <c r="AB92" i="24"/>
  <c r="AD92" i="24"/>
  <c r="AH89" i="18" l="1"/>
  <c r="AI89" i="18"/>
  <c r="AK89" i="23"/>
  <c r="AK92" i="24"/>
  <c r="AJ92" i="24"/>
  <c r="AJ89" i="18"/>
  <c r="AK89" i="18"/>
  <c r="AM88" i="18"/>
  <c r="C88" i="18" s="1"/>
  <c r="AM91" i="24"/>
  <c r="C91" i="24" s="1"/>
  <c r="D92" i="24"/>
  <c r="AI92" i="24"/>
  <c r="AH92" i="24"/>
  <c r="AG92" i="24"/>
  <c r="AJ89" i="23"/>
  <c r="AM88" i="23"/>
  <c r="C88" i="23" s="1"/>
  <c r="AI93" i="23"/>
  <c r="AH93" i="23"/>
  <c r="AG89" i="23"/>
  <c r="AG89" i="18"/>
  <c r="D89" i="23"/>
  <c r="D89" i="18"/>
  <c r="D89" i="16"/>
  <c r="Y90" i="16"/>
  <c r="Y94" i="18"/>
  <c r="E90" i="16"/>
  <c r="J90" i="16"/>
  <c r="I90" i="16"/>
  <c r="G90" i="16"/>
  <c r="K89" i="16"/>
  <c r="F90" i="16"/>
  <c r="H90" i="16"/>
  <c r="J94" i="18"/>
  <c r="G94" i="18"/>
  <c r="H94" i="18"/>
  <c r="K94" i="18"/>
  <c r="I94" i="18"/>
  <c r="F94" i="18"/>
  <c r="E94" i="18"/>
  <c r="AU90" i="18"/>
  <c r="AF90" i="23"/>
  <c r="AC94" i="23"/>
  <c r="AB90" i="23"/>
  <c r="AE90" i="18"/>
  <c r="AD94" i="23"/>
  <c r="AA90" i="18"/>
  <c r="AF90" i="18"/>
  <c r="AE93" i="24"/>
  <c r="AC90" i="18"/>
  <c r="AB90" i="18"/>
  <c r="AA93" i="24"/>
  <c r="AA90" i="23"/>
  <c r="AD90" i="18"/>
  <c r="AB93" i="24"/>
  <c r="AE90" i="23"/>
  <c r="AF93" i="24"/>
  <c r="AC93" i="24"/>
  <c r="AD93" i="24"/>
  <c r="AH90" i="18" l="1"/>
  <c r="AI90" i="18"/>
  <c r="AK90" i="23"/>
  <c r="AK93" i="24"/>
  <c r="AJ93" i="24"/>
  <c r="AJ90" i="18"/>
  <c r="AK90" i="18"/>
  <c r="AM89" i="18"/>
  <c r="C89" i="18" s="1"/>
  <c r="AM92" i="24"/>
  <c r="C92" i="24" s="1"/>
  <c r="AI93" i="24"/>
  <c r="AH93" i="24"/>
  <c r="D93" i="24"/>
  <c r="AG93" i="24"/>
  <c r="AJ90" i="23"/>
  <c r="AM89" i="23"/>
  <c r="C89" i="23" s="1"/>
  <c r="AI94" i="23"/>
  <c r="AH94" i="23"/>
  <c r="AG90" i="23"/>
  <c r="AG90" i="18"/>
  <c r="D90" i="23"/>
  <c r="D90" i="18"/>
  <c r="D90" i="16"/>
  <c r="Y91" i="16"/>
  <c r="Y95" i="18"/>
  <c r="K90" i="16"/>
  <c r="I91" i="16"/>
  <c r="F91" i="16"/>
  <c r="G91" i="16"/>
  <c r="E91" i="16"/>
  <c r="H91" i="16"/>
  <c r="J91" i="16"/>
  <c r="E95" i="18"/>
  <c r="K95" i="18"/>
  <c r="G95" i="18"/>
  <c r="F95" i="18"/>
  <c r="I95" i="18"/>
  <c r="J95" i="18"/>
  <c r="H95" i="18"/>
  <c r="AD91" i="18"/>
  <c r="AC91" i="18"/>
  <c r="AU91" i="18"/>
  <c r="AF91" i="18"/>
  <c r="AF91" i="23"/>
  <c r="AA91" i="23"/>
  <c r="AA94" i="24"/>
  <c r="AF94" i="24"/>
  <c r="AB94" i="24"/>
  <c r="AB91" i="23"/>
  <c r="AE91" i="18"/>
  <c r="AC94" i="24"/>
  <c r="AA91" i="18"/>
  <c r="AD95" i="23"/>
  <c r="AE94" i="24"/>
  <c r="AB91" i="18"/>
  <c r="AC95" i="23"/>
  <c r="AE91" i="23"/>
  <c r="AD94" i="24"/>
  <c r="AI91" i="18" l="1"/>
  <c r="AH91" i="18"/>
  <c r="AK91" i="23"/>
  <c r="AK94" i="24"/>
  <c r="AJ94" i="24"/>
  <c r="AJ91" i="18"/>
  <c r="AK91" i="18"/>
  <c r="AM90" i="18"/>
  <c r="C90" i="18" s="1"/>
  <c r="AM93" i="24"/>
  <c r="C93" i="24" s="1"/>
  <c r="D94" i="24"/>
  <c r="AI94" i="24"/>
  <c r="AH94" i="24"/>
  <c r="AG94" i="24"/>
  <c r="AJ91" i="23"/>
  <c r="AM90" i="23"/>
  <c r="C90" i="23" s="1"/>
  <c r="AI95" i="23"/>
  <c r="AH95" i="23"/>
  <c r="AG91" i="23"/>
  <c r="AG91" i="18"/>
  <c r="D91" i="23"/>
  <c r="D91" i="18"/>
  <c r="D91" i="16"/>
  <c r="Y92" i="16"/>
  <c r="Y96" i="18"/>
  <c r="J92" i="16"/>
  <c r="I92" i="16"/>
  <c r="K91" i="16"/>
  <c r="H92" i="16"/>
  <c r="G92" i="16"/>
  <c r="F92" i="16"/>
  <c r="E92" i="16"/>
  <c r="G96" i="18"/>
  <c r="K96" i="18"/>
  <c r="J96" i="18"/>
  <c r="F96" i="18"/>
  <c r="H96" i="18"/>
  <c r="E96" i="18"/>
  <c r="I96" i="18"/>
  <c r="AE95" i="24"/>
  <c r="AC96" i="23"/>
  <c r="AD92" i="18"/>
  <c r="AF92" i="23"/>
  <c r="AB95" i="24"/>
  <c r="AF95" i="24"/>
  <c r="AB92" i="23"/>
  <c r="AC95" i="24"/>
  <c r="AC92" i="18"/>
  <c r="AD95" i="24"/>
  <c r="AE92" i="18"/>
  <c r="AA95" i="24"/>
  <c r="AE92" i="23"/>
  <c r="AF92" i="18"/>
  <c r="AA92" i="23"/>
  <c r="AB92" i="18"/>
  <c r="AU92" i="18"/>
  <c r="AD96" i="23"/>
  <c r="AA92" i="18"/>
  <c r="AH92" i="18" l="1"/>
  <c r="AI92" i="18"/>
  <c r="AK92" i="23"/>
  <c r="AK95" i="24"/>
  <c r="AJ95" i="24"/>
  <c r="AJ92" i="18"/>
  <c r="AK92" i="18"/>
  <c r="AM91" i="18"/>
  <c r="C91" i="18" s="1"/>
  <c r="AM94" i="24"/>
  <c r="C94" i="24" s="1"/>
  <c r="AG95" i="24"/>
  <c r="AH95" i="24"/>
  <c r="D95" i="24"/>
  <c r="AI95" i="24"/>
  <c r="AJ92" i="23"/>
  <c r="AM91" i="23"/>
  <c r="C91" i="23" s="1"/>
  <c r="AI96" i="23"/>
  <c r="AH96" i="23"/>
  <c r="AG92" i="23"/>
  <c r="AG92" i="18"/>
  <c r="D92" i="23"/>
  <c r="D92" i="18"/>
  <c r="D92" i="16"/>
  <c r="Y93" i="16"/>
  <c r="Y97" i="18"/>
  <c r="I93" i="16"/>
  <c r="J93" i="16"/>
  <c r="H93" i="16"/>
  <c r="G93" i="16"/>
  <c r="F93" i="16"/>
  <c r="E93" i="16"/>
  <c r="K92" i="16"/>
  <c r="J97" i="18"/>
  <c r="I97" i="18"/>
  <c r="E97" i="18"/>
  <c r="F97" i="18"/>
  <c r="K97" i="18"/>
  <c r="G97" i="18"/>
  <c r="H97" i="18"/>
  <c r="AB96" i="24"/>
  <c r="AE93" i="18"/>
  <c r="AF96" i="24"/>
  <c r="AU93" i="18"/>
  <c r="AF93" i="18"/>
  <c r="AF93" i="23"/>
  <c r="AE96" i="24"/>
  <c r="AC97" i="23"/>
  <c r="AD96" i="24"/>
  <c r="AD93" i="18"/>
  <c r="AB93" i="18"/>
  <c r="AC93" i="18"/>
  <c r="AD97" i="23"/>
  <c r="AB93" i="23"/>
  <c r="AA96" i="24"/>
  <c r="AA93" i="23"/>
  <c r="AC96" i="24"/>
  <c r="AE93" i="23"/>
  <c r="AA93" i="18"/>
  <c r="AH93" i="18" l="1"/>
  <c r="AI93" i="18"/>
  <c r="AK93" i="23"/>
  <c r="AK96" i="24"/>
  <c r="AJ96" i="24"/>
  <c r="AJ93" i="18"/>
  <c r="AK93" i="18"/>
  <c r="AM92" i="18"/>
  <c r="C92" i="18" s="1"/>
  <c r="AM95" i="24"/>
  <c r="C95" i="24" s="1"/>
  <c r="AI96" i="24"/>
  <c r="AG96" i="24"/>
  <c r="AH96" i="24"/>
  <c r="D96" i="24"/>
  <c r="AJ93" i="23"/>
  <c r="AM92" i="23"/>
  <c r="C92" i="23" s="1"/>
  <c r="AI97" i="23"/>
  <c r="AH97" i="23"/>
  <c r="AG93" i="23"/>
  <c r="AG93" i="18"/>
  <c r="D93" i="23"/>
  <c r="D93" i="18"/>
  <c r="D93" i="16"/>
  <c r="Y94" i="16"/>
  <c r="Y98" i="18"/>
  <c r="J94" i="16"/>
  <c r="E94" i="16"/>
  <c r="I94" i="16"/>
  <c r="K93" i="16"/>
  <c r="F94" i="16"/>
  <c r="H94" i="16"/>
  <c r="G94" i="16"/>
  <c r="E98" i="18"/>
  <c r="J98" i="18"/>
  <c r="I98" i="18"/>
  <c r="G98" i="18"/>
  <c r="K98" i="18"/>
  <c r="F98" i="18"/>
  <c r="H98" i="18"/>
  <c r="AU94" i="18"/>
  <c r="AC98" i="23"/>
  <c r="AC94" i="18"/>
  <c r="AD97" i="24"/>
  <c r="AC97" i="24"/>
  <c r="AF94" i="23"/>
  <c r="AB97" i="24"/>
  <c r="AF97" i="24"/>
  <c r="AE97" i="24"/>
  <c r="AA94" i="23"/>
  <c r="AD98" i="23"/>
  <c r="AA97" i="24"/>
  <c r="AF94" i="18"/>
  <c r="AE94" i="18"/>
  <c r="AB94" i="23"/>
  <c r="AB94" i="18"/>
  <c r="AA94" i="18"/>
  <c r="AD94" i="18"/>
  <c r="AE94" i="23"/>
  <c r="AH94" i="18" l="1"/>
  <c r="AI94" i="18"/>
  <c r="AK94" i="23"/>
  <c r="AK97" i="24"/>
  <c r="AJ97" i="24"/>
  <c r="AJ94" i="18"/>
  <c r="AK94" i="18"/>
  <c r="AM93" i="18"/>
  <c r="C93" i="18" s="1"/>
  <c r="AM96" i="24"/>
  <c r="C96" i="24" s="1"/>
  <c r="D97" i="24"/>
  <c r="AH97" i="24"/>
  <c r="AG97" i="24"/>
  <c r="AI97" i="24"/>
  <c r="AJ94" i="23"/>
  <c r="AM93" i="23"/>
  <c r="C93" i="23" s="1"/>
  <c r="AI98" i="23"/>
  <c r="AH98" i="23"/>
  <c r="AG94" i="23"/>
  <c r="AG94" i="18"/>
  <c r="D94" i="23"/>
  <c r="D94" i="18"/>
  <c r="D94" i="16"/>
  <c r="Y95" i="16"/>
  <c r="Y99" i="18"/>
  <c r="J95" i="16"/>
  <c r="E95" i="16"/>
  <c r="K94" i="16"/>
  <c r="H95" i="16"/>
  <c r="I95" i="16"/>
  <c r="G95" i="16"/>
  <c r="F95" i="16"/>
  <c r="K99" i="18"/>
  <c r="F99" i="18"/>
  <c r="E99" i="18"/>
  <c r="I99" i="18"/>
  <c r="H99" i="18"/>
  <c r="G99" i="18"/>
  <c r="J99" i="18"/>
  <c r="AD95" i="18"/>
  <c r="AE98" i="24"/>
  <c r="AD99" i="23"/>
  <c r="AA95" i="23"/>
  <c r="AB95" i="23"/>
  <c r="AE95" i="18"/>
  <c r="AU95" i="18"/>
  <c r="AC95" i="18"/>
  <c r="AC99" i="23"/>
  <c r="AE95" i="23"/>
  <c r="AB98" i="24"/>
  <c r="AC98" i="24"/>
  <c r="AA98" i="24"/>
  <c r="AF95" i="18"/>
  <c r="AB95" i="18"/>
  <c r="AA95" i="18"/>
  <c r="AD98" i="24"/>
  <c r="AF95" i="23"/>
  <c r="AF98" i="24"/>
  <c r="AH95" i="18" l="1"/>
  <c r="AI95" i="18"/>
  <c r="AK95" i="23"/>
  <c r="AK98" i="24"/>
  <c r="AJ98" i="24"/>
  <c r="AJ95" i="18"/>
  <c r="AK95" i="18"/>
  <c r="AM94" i="18"/>
  <c r="C94" i="18" s="1"/>
  <c r="AM97" i="24"/>
  <c r="C97" i="24" s="1"/>
  <c r="AI98" i="24"/>
  <c r="D98" i="24"/>
  <c r="AG98" i="24"/>
  <c r="AH98" i="24"/>
  <c r="AJ95" i="23"/>
  <c r="AM94" i="23"/>
  <c r="C94" i="23" s="1"/>
  <c r="AI99" i="23"/>
  <c r="AH99" i="23"/>
  <c r="AG95" i="23"/>
  <c r="AG95" i="18"/>
  <c r="D95" i="23"/>
  <c r="D95" i="18"/>
  <c r="D95" i="16"/>
  <c r="Y96" i="16"/>
  <c r="Y100" i="18"/>
  <c r="F96" i="16"/>
  <c r="I96" i="16"/>
  <c r="K95" i="16"/>
  <c r="J96" i="16"/>
  <c r="E96" i="16"/>
  <c r="G96" i="16"/>
  <c r="H96" i="16"/>
  <c r="E100" i="18"/>
  <c r="H100" i="18"/>
  <c r="I100" i="18"/>
  <c r="J100" i="18"/>
  <c r="K100" i="18"/>
  <c r="F100" i="18"/>
  <c r="G100" i="18"/>
  <c r="AF99" i="24"/>
  <c r="AF96" i="23"/>
  <c r="AB99" i="24"/>
  <c r="AU96" i="18"/>
  <c r="AD96" i="18"/>
  <c r="AE99" i="24"/>
  <c r="AB96" i="23"/>
  <c r="AC100" i="23"/>
  <c r="AA99" i="24"/>
  <c r="AD99" i="24"/>
  <c r="AE96" i="18"/>
  <c r="AF96" i="18"/>
  <c r="AC96" i="18"/>
  <c r="AE96" i="23"/>
  <c r="AA96" i="18"/>
  <c r="AA96" i="23"/>
  <c r="AB96" i="18"/>
  <c r="AD100" i="23"/>
  <c r="AC99" i="24"/>
  <c r="AI96" i="18" l="1"/>
  <c r="AH96" i="18"/>
  <c r="AK96" i="23"/>
  <c r="AK99" i="24"/>
  <c r="AJ99" i="24"/>
  <c r="AJ96" i="18"/>
  <c r="AK96" i="18"/>
  <c r="AM95" i="18"/>
  <c r="C95" i="18" s="1"/>
  <c r="AM98" i="24"/>
  <c r="C98" i="24" s="1"/>
  <c r="AG99" i="24"/>
  <c r="AH99" i="24"/>
  <c r="AI99" i="24"/>
  <c r="D99" i="24"/>
  <c r="AJ96" i="23"/>
  <c r="AM95" i="23"/>
  <c r="C95" i="23" s="1"/>
  <c r="AI100" i="23"/>
  <c r="AH100" i="23"/>
  <c r="AG96" i="23"/>
  <c r="AG96" i="18"/>
  <c r="D96" i="23"/>
  <c r="D96" i="18"/>
  <c r="D96" i="16"/>
  <c r="Y97" i="16"/>
  <c r="Y101" i="18"/>
  <c r="I97" i="16"/>
  <c r="F97" i="16"/>
  <c r="K96" i="16"/>
  <c r="E97" i="16"/>
  <c r="J97" i="16"/>
  <c r="H97" i="16"/>
  <c r="G97" i="16"/>
  <c r="G101" i="18"/>
  <c r="E101" i="18"/>
  <c r="H101" i="18"/>
  <c r="J101" i="18"/>
  <c r="K101" i="18"/>
  <c r="F101" i="18"/>
  <c r="I101" i="18"/>
  <c r="AC97" i="18"/>
  <c r="AA97" i="23"/>
  <c r="AE97" i="23"/>
  <c r="AD100" i="24"/>
  <c r="AB97" i="23"/>
  <c r="AF97" i="18"/>
  <c r="AF100" i="24"/>
  <c r="AA97" i="18"/>
  <c r="AC101" i="23"/>
  <c r="AE97" i="18"/>
  <c r="AF97" i="23"/>
  <c r="AB97" i="18"/>
  <c r="AU97" i="18"/>
  <c r="AD101" i="23"/>
  <c r="AA100" i="24"/>
  <c r="AD97" i="18"/>
  <c r="AC100" i="24"/>
  <c r="AE100" i="24"/>
  <c r="AB100" i="24"/>
  <c r="AH97" i="18" l="1"/>
  <c r="AI97" i="18"/>
  <c r="AK97" i="23"/>
  <c r="AK100" i="24"/>
  <c r="AJ100" i="24"/>
  <c r="AJ97" i="18"/>
  <c r="AK97" i="18"/>
  <c r="AM96" i="18"/>
  <c r="C96" i="18" s="1"/>
  <c r="AM99" i="24"/>
  <c r="C99" i="24" s="1"/>
  <c r="AI100" i="24"/>
  <c r="AG100" i="24"/>
  <c r="D100" i="24"/>
  <c r="AH100" i="24"/>
  <c r="AJ97" i="23"/>
  <c r="AM96" i="23"/>
  <c r="C96" i="23" s="1"/>
  <c r="AI101" i="23"/>
  <c r="AH101" i="23"/>
  <c r="AG97" i="23"/>
  <c r="AG97" i="18"/>
  <c r="D97" i="23"/>
  <c r="D97" i="18"/>
  <c r="D97" i="16"/>
  <c r="Y98" i="16"/>
  <c r="Y102" i="18"/>
  <c r="J98" i="16"/>
  <c r="I98" i="16"/>
  <c r="E98" i="16"/>
  <c r="H98" i="16"/>
  <c r="G98" i="16"/>
  <c r="F98" i="16"/>
  <c r="K97" i="16"/>
  <c r="G102" i="18"/>
  <c r="F102" i="18"/>
  <c r="I102" i="18"/>
  <c r="K102" i="18"/>
  <c r="E102" i="18"/>
  <c r="J102" i="18"/>
  <c r="H102" i="18"/>
  <c r="AD101" i="24"/>
  <c r="AU98" i="18"/>
  <c r="AF98" i="18"/>
  <c r="AD102" i="23"/>
  <c r="AB101" i="24"/>
  <c r="AB98" i="18"/>
  <c r="AF101" i="24"/>
  <c r="AD98" i="18"/>
  <c r="AE101" i="24"/>
  <c r="AA98" i="18"/>
  <c r="AC101" i="24"/>
  <c r="AF98" i="23"/>
  <c r="AC98" i="18"/>
  <c r="AB98" i="23"/>
  <c r="AE98" i="18"/>
  <c r="AA101" i="24"/>
  <c r="AA98" i="23"/>
  <c r="AC102" i="23"/>
  <c r="AE98" i="23"/>
  <c r="AH98" i="18" l="1"/>
  <c r="AI98" i="18"/>
  <c r="AK98" i="23"/>
  <c r="AK101" i="24"/>
  <c r="AJ101" i="24"/>
  <c r="AJ98" i="18"/>
  <c r="AK98" i="18"/>
  <c r="AM97" i="18"/>
  <c r="C97" i="18" s="1"/>
  <c r="AM100" i="24"/>
  <c r="C100" i="24" s="1"/>
  <c r="AH101" i="24"/>
  <c r="D101" i="24"/>
  <c r="AG101" i="24"/>
  <c r="AI101" i="24"/>
  <c r="AJ98" i="23"/>
  <c r="AM97" i="23"/>
  <c r="C97" i="23" s="1"/>
  <c r="AI102" i="23"/>
  <c r="AH102" i="23"/>
  <c r="AG98" i="23"/>
  <c r="AG98" i="18"/>
  <c r="D98" i="23"/>
  <c r="D98" i="18"/>
  <c r="D98" i="16"/>
  <c r="Y99" i="16"/>
  <c r="Y103" i="18"/>
  <c r="I99" i="16"/>
  <c r="E99" i="16"/>
  <c r="J99" i="16"/>
  <c r="G99" i="16"/>
  <c r="K98" i="16"/>
  <c r="H99" i="16"/>
  <c r="F99" i="16"/>
  <c r="G103" i="18"/>
  <c r="F103" i="18"/>
  <c r="K103" i="18"/>
  <c r="E103" i="18"/>
  <c r="H103" i="18"/>
  <c r="I103" i="18"/>
  <c r="J103" i="18"/>
  <c r="AC99" i="18"/>
  <c r="AF102" i="24"/>
  <c r="AD103" i="23"/>
  <c r="AC103" i="23"/>
  <c r="AA102" i="24"/>
  <c r="AF99" i="23"/>
  <c r="AB99" i="23"/>
  <c r="AB102" i="24"/>
  <c r="AD99" i="18"/>
  <c r="AU99" i="18"/>
  <c r="AE99" i="23"/>
  <c r="AB99" i="18"/>
  <c r="AF99" i="18"/>
  <c r="AD102" i="24"/>
  <c r="AA99" i="18"/>
  <c r="AE99" i="18"/>
  <c r="AE102" i="24"/>
  <c r="AA99" i="23"/>
  <c r="AC102" i="24"/>
  <c r="AI99" i="18" l="1"/>
  <c r="AH99" i="18"/>
  <c r="AK99" i="23"/>
  <c r="AK102" i="24"/>
  <c r="AJ102" i="24"/>
  <c r="AJ99" i="18"/>
  <c r="AK99" i="18"/>
  <c r="AM98" i="18"/>
  <c r="C98" i="18" s="1"/>
  <c r="AM101" i="24"/>
  <c r="C101" i="24" s="1"/>
  <c r="AG102" i="24"/>
  <c r="AI102" i="24"/>
  <c r="D102" i="24"/>
  <c r="AH102" i="24"/>
  <c r="AJ99" i="23"/>
  <c r="AM98" i="23"/>
  <c r="C98" i="23" s="1"/>
  <c r="AI103" i="23"/>
  <c r="AH103" i="23"/>
  <c r="AG99" i="23"/>
  <c r="AG99" i="18"/>
  <c r="D99" i="23"/>
  <c r="D99" i="18"/>
  <c r="D99" i="16"/>
  <c r="Y100" i="16"/>
  <c r="Y104" i="18"/>
  <c r="F100" i="16"/>
  <c r="I100" i="16"/>
  <c r="E100" i="16"/>
  <c r="K99" i="16"/>
  <c r="G100" i="16"/>
  <c r="H100" i="16"/>
  <c r="J100" i="16"/>
  <c r="I104" i="18"/>
  <c r="K104" i="18"/>
  <c r="J104" i="18"/>
  <c r="E104" i="18"/>
  <c r="F104" i="18"/>
  <c r="G104" i="18"/>
  <c r="H104" i="18"/>
  <c r="AF103" i="24"/>
  <c r="AA103" i="24"/>
  <c r="AD103" i="24"/>
  <c r="AB103" i="24"/>
  <c r="AU100" i="18"/>
  <c r="AC100" i="18"/>
  <c r="AF100" i="18"/>
  <c r="AC103" i="24"/>
  <c r="AA100" i="18"/>
  <c r="AE100" i="18"/>
  <c r="AF100" i="23"/>
  <c r="AB100" i="23"/>
  <c r="AC104" i="23"/>
  <c r="AB100" i="18"/>
  <c r="AD100" i="18"/>
  <c r="AA100" i="23"/>
  <c r="AD104" i="23"/>
  <c r="AE100" i="23"/>
  <c r="AE103" i="24"/>
  <c r="AI100" i="18" l="1"/>
  <c r="AH100" i="18"/>
  <c r="AK100" i="23"/>
  <c r="AK103" i="24"/>
  <c r="AJ103" i="24"/>
  <c r="AJ100" i="18"/>
  <c r="AK100" i="18"/>
  <c r="AM99" i="18"/>
  <c r="C99" i="18" s="1"/>
  <c r="AM102" i="24"/>
  <c r="C102" i="24" s="1"/>
  <c r="AI103" i="24"/>
  <c r="D103" i="24"/>
  <c r="AG103" i="24"/>
  <c r="AH103" i="24"/>
  <c r="AJ100" i="23"/>
  <c r="AM99" i="23"/>
  <c r="C99" i="23" s="1"/>
  <c r="AI104" i="23"/>
  <c r="AH104" i="23"/>
  <c r="AG100" i="23"/>
  <c r="AG100" i="18"/>
  <c r="D100" i="23"/>
  <c r="D100" i="18"/>
  <c r="D100" i="16"/>
  <c r="Y101" i="16"/>
  <c r="Y105" i="18"/>
  <c r="E101" i="16"/>
  <c r="F101" i="16"/>
  <c r="G101" i="16"/>
  <c r="I101" i="16"/>
  <c r="H101" i="16"/>
  <c r="J101" i="16"/>
  <c r="K100" i="16"/>
  <c r="F105" i="18"/>
  <c r="H105" i="18"/>
  <c r="I105" i="18"/>
  <c r="G105" i="18"/>
  <c r="K105" i="18"/>
  <c r="E105" i="18"/>
  <c r="J105" i="18"/>
  <c r="AA101" i="18"/>
  <c r="AE101" i="23"/>
  <c r="AB104" i="24"/>
  <c r="AD101" i="18"/>
  <c r="AB101" i="18"/>
  <c r="AE104" i="24"/>
  <c r="AD104" i="24"/>
  <c r="AE101" i="18"/>
  <c r="AB101" i="23"/>
  <c r="AC104" i="24"/>
  <c r="AC101" i="18"/>
  <c r="AA104" i="24"/>
  <c r="AF101" i="18"/>
  <c r="AU101" i="18"/>
  <c r="AD105" i="23"/>
  <c r="AA101" i="23"/>
  <c r="AF101" i="23"/>
  <c r="AF104" i="24"/>
  <c r="AC105" i="23"/>
  <c r="AI101" i="18" l="1"/>
  <c r="AH101" i="18"/>
  <c r="AK101" i="23"/>
  <c r="AK104" i="24"/>
  <c r="AJ104" i="24"/>
  <c r="AJ101" i="18"/>
  <c r="AK101" i="18"/>
  <c r="AM100" i="18"/>
  <c r="C100" i="18" s="1"/>
  <c r="AM103" i="24"/>
  <c r="C103" i="24" s="1"/>
  <c r="D104" i="24"/>
  <c r="AH104" i="24"/>
  <c r="AG104" i="24"/>
  <c r="AI104" i="24"/>
  <c r="AJ101" i="23"/>
  <c r="AM100" i="23"/>
  <c r="C100" i="23" s="1"/>
  <c r="AI105" i="23"/>
  <c r="AH105" i="23"/>
  <c r="AG101" i="23"/>
  <c r="AG101" i="18"/>
  <c r="D101" i="23"/>
  <c r="D101" i="18"/>
  <c r="D101" i="16"/>
  <c r="Y102" i="16"/>
  <c r="Y106" i="18"/>
  <c r="K101" i="16"/>
  <c r="E102" i="16"/>
  <c r="G102" i="16"/>
  <c r="H102" i="16"/>
  <c r="F102" i="16"/>
  <c r="I102" i="16"/>
  <c r="J102" i="16"/>
  <c r="I106" i="18"/>
  <c r="F106" i="18"/>
  <c r="H106" i="18"/>
  <c r="E106" i="18"/>
  <c r="K106" i="18"/>
  <c r="G106" i="18"/>
  <c r="J106" i="18"/>
  <c r="AU102" i="18"/>
  <c r="AB105" i="24"/>
  <c r="AF102" i="18"/>
  <c r="AF102" i="23"/>
  <c r="AD102" i="18"/>
  <c r="AE105" i="24"/>
  <c r="AB102" i="18"/>
  <c r="AA102" i="18"/>
  <c r="AC106" i="23"/>
  <c r="AA105" i="24"/>
  <c r="AB102" i="23"/>
  <c r="AA102" i="23"/>
  <c r="AE102" i="23"/>
  <c r="AD106" i="23"/>
  <c r="AC102" i="18"/>
  <c r="AD105" i="24"/>
  <c r="AE102" i="18"/>
  <c r="AC105" i="24"/>
  <c r="AF105" i="24"/>
  <c r="AI102" i="18" l="1"/>
  <c r="AH102" i="18"/>
  <c r="AK102" i="23"/>
  <c r="AK105" i="24"/>
  <c r="AJ105" i="24"/>
  <c r="AJ102" i="18"/>
  <c r="AK102" i="18"/>
  <c r="AM101" i="18"/>
  <c r="C101" i="18" s="1"/>
  <c r="AM104" i="24"/>
  <c r="C104" i="24" s="1"/>
  <c r="AG105" i="24"/>
  <c r="AH105" i="24"/>
  <c r="D105" i="24"/>
  <c r="AI105" i="24"/>
  <c r="AJ102" i="23"/>
  <c r="AM101" i="23"/>
  <c r="C101" i="23" s="1"/>
  <c r="AI106" i="23"/>
  <c r="AH106" i="23"/>
  <c r="AG102" i="23"/>
  <c r="AG102" i="18"/>
  <c r="D102" i="23"/>
  <c r="D102" i="18"/>
  <c r="D102" i="16"/>
  <c r="Y103" i="16"/>
  <c r="Y107" i="18"/>
  <c r="F103" i="16"/>
  <c r="K102" i="16"/>
  <c r="J103" i="16"/>
  <c r="I103" i="16"/>
  <c r="G103" i="16"/>
  <c r="E103" i="16"/>
  <c r="H103" i="16"/>
  <c r="H107" i="18"/>
  <c r="I107" i="18"/>
  <c r="E107" i="18"/>
  <c r="K107" i="18"/>
  <c r="F107" i="18"/>
  <c r="J107" i="18"/>
  <c r="G107" i="18"/>
  <c r="AC106" i="24"/>
  <c r="AF103" i="18"/>
  <c r="AA106" i="24"/>
  <c r="AD103" i="18"/>
  <c r="AE106" i="24"/>
  <c r="AF103" i="23"/>
  <c r="AF106" i="24"/>
  <c r="AB103" i="18"/>
  <c r="AE103" i="23"/>
  <c r="AU103" i="18"/>
  <c r="AC103" i="18"/>
  <c r="AB106" i="24"/>
  <c r="AA103" i="18"/>
  <c r="AD107" i="23"/>
  <c r="AC107" i="23"/>
  <c r="AD106" i="24"/>
  <c r="AB103" i="23"/>
  <c r="AE103" i="18"/>
  <c r="AA103" i="23"/>
  <c r="AH103" i="18" l="1"/>
  <c r="AI103" i="18"/>
  <c r="AK103" i="23"/>
  <c r="AK106" i="24"/>
  <c r="AJ106" i="24"/>
  <c r="AJ103" i="18"/>
  <c r="AK103" i="18"/>
  <c r="AM102" i="18"/>
  <c r="C102" i="18" s="1"/>
  <c r="AM105" i="24"/>
  <c r="C105" i="24" s="1"/>
  <c r="D106" i="24"/>
  <c r="AH106" i="24"/>
  <c r="AG106" i="24"/>
  <c r="AI106" i="24"/>
  <c r="AM102" i="23"/>
  <c r="C102" i="23" s="1"/>
  <c r="AJ103" i="23"/>
  <c r="AI107" i="23"/>
  <c r="AH107" i="23"/>
  <c r="AG103" i="23"/>
  <c r="AG103" i="18"/>
  <c r="D103" i="23"/>
  <c r="D103" i="18"/>
  <c r="D103" i="16"/>
  <c r="Y104" i="16"/>
  <c r="Y108" i="18"/>
  <c r="E104" i="16"/>
  <c r="I104" i="16"/>
  <c r="F104" i="16"/>
  <c r="H104" i="16"/>
  <c r="J104" i="16"/>
  <c r="K103" i="16"/>
  <c r="G104" i="16"/>
  <c r="E108" i="18"/>
  <c r="J108" i="18"/>
  <c r="H108" i="18"/>
  <c r="G108" i="18"/>
  <c r="I108" i="18"/>
  <c r="F108" i="18"/>
  <c r="K108" i="18"/>
  <c r="AF107" i="24"/>
  <c r="AA104" i="18"/>
  <c r="AD108" i="23"/>
  <c r="AD107" i="24"/>
  <c r="AA104" i="23"/>
  <c r="AD104" i="18"/>
  <c r="AC107" i="24"/>
  <c r="AC108" i="23"/>
  <c r="AB104" i="18"/>
  <c r="AF104" i="23"/>
  <c r="AB107" i="24"/>
  <c r="AA107" i="24"/>
  <c r="AE104" i="23"/>
  <c r="AB104" i="23"/>
  <c r="AC104" i="18"/>
  <c r="AU104" i="18"/>
  <c r="AF104" i="18"/>
  <c r="AE107" i="24"/>
  <c r="AE104" i="18"/>
  <c r="AH104" i="18" l="1"/>
  <c r="AI104" i="18"/>
  <c r="AK104" i="23"/>
  <c r="AK107" i="24"/>
  <c r="AJ107" i="24"/>
  <c r="AJ104" i="18"/>
  <c r="AK104" i="18"/>
  <c r="AM103" i="18"/>
  <c r="C103" i="18" s="1"/>
  <c r="AM106" i="24"/>
  <c r="C106" i="24" s="1"/>
  <c r="D107" i="24"/>
  <c r="AH107" i="24"/>
  <c r="AI107" i="24"/>
  <c r="AG107" i="24"/>
  <c r="AJ104" i="23"/>
  <c r="AM103" i="23"/>
  <c r="C103" i="23" s="1"/>
  <c r="AI108" i="23"/>
  <c r="AH108" i="23"/>
  <c r="AG104" i="23"/>
  <c r="AG104" i="18"/>
  <c r="D104" i="23"/>
  <c r="D104" i="18"/>
  <c r="D104" i="16"/>
  <c r="Y105" i="16"/>
  <c r="Y109" i="18"/>
  <c r="K104" i="16"/>
  <c r="J105" i="16"/>
  <c r="E105" i="16"/>
  <c r="I105" i="16"/>
  <c r="F105" i="16"/>
  <c r="H105" i="16"/>
  <c r="G105" i="16"/>
  <c r="F109" i="18"/>
  <c r="H109" i="18"/>
  <c r="J109" i="18"/>
  <c r="E109" i="18"/>
  <c r="I109" i="18"/>
  <c r="G109" i="18"/>
  <c r="K109" i="18"/>
  <c r="AB108" i="24"/>
  <c r="AA105" i="23"/>
  <c r="AB105" i="23"/>
  <c r="AB105" i="18"/>
  <c r="AE108" i="24"/>
  <c r="AA108" i="24"/>
  <c r="AD109" i="23"/>
  <c r="AE105" i="18"/>
  <c r="AF108" i="24"/>
  <c r="AD105" i="18"/>
  <c r="AC108" i="24"/>
  <c r="AF105" i="23"/>
  <c r="AC109" i="23"/>
  <c r="AD108" i="24"/>
  <c r="AC105" i="18"/>
  <c r="AA105" i="18"/>
  <c r="AF105" i="18"/>
  <c r="AU105" i="18"/>
  <c r="AE105" i="23"/>
  <c r="AH105" i="18" l="1"/>
  <c r="AI105" i="18"/>
  <c r="AK105" i="23"/>
  <c r="AK108" i="24"/>
  <c r="AJ108" i="24"/>
  <c r="AJ105" i="18"/>
  <c r="AK105" i="18"/>
  <c r="AM104" i="18"/>
  <c r="C104" i="18" s="1"/>
  <c r="AM107" i="24"/>
  <c r="C107" i="24" s="1"/>
  <c r="AG108" i="24"/>
  <c r="AH108" i="24"/>
  <c r="D108" i="24"/>
  <c r="AI108" i="24"/>
  <c r="AM104" i="23"/>
  <c r="C104" i="23" s="1"/>
  <c r="AJ105" i="23"/>
  <c r="AI109" i="23"/>
  <c r="AH109" i="23"/>
  <c r="AG105" i="23"/>
  <c r="AG105" i="18"/>
  <c r="D105" i="23"/>
  <c r="D105" i="18"/>
  <c r="D105" i="16"/>
  <c r="Y106" i="16"/>
  <c r="Y110" i="18"/>
  <c r="K105" i="16"/>
  <c r="I106" i="16"/>
  <c r="E106" i="16"/>
  <c r="G106" i="16"/>
  <c r="F106" i="16"/>
  <c r="J106" i="16"/>
  <c r="H106" i="16"/>
  <c r="E110" i="18"/>
  <c r="F110" i="18"/>
  <c r="J110" i="18"/>
  <c r="K110" i="18"/>
  <c r="H110" i="18"/>
  <c r="G110" i="18"/>
  <c r="I110" i="18"/>
  <c r="AF109" i="24"/>
  <c r="AA106" i="18"/>
  <c r="AE106" i="18"/>
  <c r="AC106" i="18"/>
  <c r="AC109" i="24"/>
  <c r="AD106" i="18"/>
  <c r="AB109" i="24"/>
  <c r="AA106" i="23"/>
  <c r="AB106" i="23"/>
  <c r="AU106" i="18"/>
  <c r="AC110" i="23"/>
  <c r="AB106" i="18"/>
  <c r="AD110" i="23"/>
  <c r="AE109" i="24"/>
  <c r="AA109" i="24"/>
  <c r="AE106" i="23"/>
  <c r="AF106" i="23"/>
  <c r="AD109" i="24"/>
  <c r="AF106" i="18"/>
  <c r="AH106" i="18" l="1"/>
  <c r="AI106" i="18"/>
  <c r="AK106" i="23"/>
  <c r="AK109" i="24"/>
  <c r="AJ109" i="24"/>
  <c r="AJ106" i="18"/>
  <c r="AK106" i="18"/>
  <c r="AM105" i="18"/>
  <c r="C105" i="18" s="1"/>
  <c r="AM108" i="24"/>
  <c r="C108" i="24" s="1"/>
  <c r="AH109" i="24"/>
  <c r="AG109" i="24"/>
  <c r="D109" i="24"/>
  <c r="AI109" i="24"/>
  <c r="AJ106" i="23"/>
  <c r="AM105" i="23"/>
  <c r="C105" i="23" s="1"/>
  <c r="AI110" i="23"/>
  <c r="AH110" i="23"/>
  <c r="AG106" i="23"/>
  <c r="AG106" i="18"/>
  <c r="D106" i="23"/>
  <c r="D106" i="18"/>
  <c r="D106" i="16"/>
  <c r="Y107" i="16"/>
  <c r="E107" i="16"/>
  <c r="G107" i="16"/>
  <c r="H107" i="16"/>
  <c r="J107" i="16"/>
  <c r="F107" i="16"/>
  <c r="I107" i="16"/>
  <c r="K106" i="16"/>
  <c r="AA107" i="18"/>
  <c r="AD107" i="18"/>
  <c r="AF107" i="23"/>
  <c r="AE110" i="24"/>
  <c r="AA107" i="23"/>
  <c r="AC110" i="24"/>
  <c r="AC107" i="18"/>
  <c r="AE107" i="18"/>
  <c r="AU107" i="18"/>
  <c r="AD110" i="24"/>
  <c r="AE107" i="23"/>
  <c r="AB107" i="23"/>
  <c r="AF110" i="24"/>
  <c r="AF107" i="18"/>
  <c r="AA110" i="24"/>
  <c r="AB110" i="24"/>
  <c r="AB107" i="18"/>
  <c r="AI107" i="18" l="1"/>
  <c r="AH107" i="18"/>
  <c r="AK107" i="23"/>
  <c r="AK110" i="24"/>
  <c r="AJ110" i="24"/>
  <c r="AJ107" i="18"/>
  <c r="AK107" i="18"/>
  <c r="AM106" i="18"/>
  <c r="C106" i="18" s="1"/>
  <c r="AM109" i="24"/>
  <c r="C109" i="24" s="1"/>
  <c r="AI110" i="24"/>
  <c r="D110" i="24"/>
  <c r="AH110" i="24"/>
  <c r="AG110" i="24"/>
  <c r="AJ107" i="23"/>
  <c r="AM106" i="23"/>
  <c r="C106" i="23" s="1"/>
  <c r="AG107" i="23"/>
  <c r="AG107" i="18"/>
  <c r="D107" i="23"/>
  <c r="D107" i="18"/>
  <c r="D107" i="16"/>
  <c r="Y108" i="16"/>
  <c r="E108" i="16"/>
  <c r="G108" i="16"/>
  <c r="H108" i="16"/>
  <c r="F108" i="16"/>
  <c r="I108" i="16"/>
  <c r="K107" i="16"/>
  <c r="J108" i="16"/>
  <c r="AU108" i="18"/>
  <c r="AF108" i="23"/>
  <c r="AC108" i="18"/>
  <c r="AA108" i="23"/>
  <c r="AD108" i="18"/>
  <c r="AF108" i="18"/>
  <c r="AB108" i="23"/>
  <c r="AE108" i="23"/>
  <c r="AB108" i="18"/>
  <c r="AE108" i="18"/>
  <c r="AA108" i="18"/>
  <c r="AI108" i="18" l="1"/>
  <c r="AH108" i="18"/>
  <c r="AK108" i="23"/>
  <c r="AM107" i="18"/>
  <c r="C107" i="18" s="1"/>
  <c r="AJ108" i="18"/>
  <c r="AK108" i="18"/>
  <c r="AM110" i="24"/>
  <c r="C110" i="24" s="1"/>
  <c r="AJ108" i="23"/>
  <c r="AM107" i="23"/>
  <c r="C107" i="23" s="1"/>
  <c r="AG108" i="23"/>
  <c r="AG108" i="18"/>
  <c r="D108" i="23"/>
  <c r="D108" i="18"/>
  <c r="D108" i="16"/>
  <c r="Y109" i="16"/>
  <c r="K108" i="16"/>
  <c r="H109" i="16"/>
  <c r="G109" i="16"/>
  <c r="J109" i="16"/>
  <c r="I109" i="16"/>
  <c r="F109" i="16"/>
  <c r="E109" i="16"/>
  <c r="AE109" i="23"/>
  <c r="AB109" i="23"/>
  <c r="AA109" i="23"/>
  <c r="AF109" i="18"/>
  <c r="AU109" i="18"/>
  <c r="AA109" i="18"/>
  <c r="AE109" i="18"/>
  <c r="AD109" i="18"/>
  <c r="AF109" i="23"/>
  <c r="AB109" i="18"/>
  <c r="AC109" i="18"/>
  <c r="AH109" i="18" l="1"/>
  <c r="AI109" i="18"/>
  <c r="AK109" i="23"/>
  <c r="AJ109" i="18"/>
  <c r="AK109" i="18"/>
  <c r="AM108" i="18"/>
  <c r="C108" i="18" s="1"/>
  <c r="AJ109" i="23"/>
  <c r="AM108" i="23"/>
  <c r="C108" i="23" s="1"/>
  <c r="AG109" i="23"/>
  <c r="AG109" i="18"/>
  <c r="D109" i="23"/>
  <c r="D109" i="18"/>
  <c r="D109" i="16"/>
  <c r="Y110" i="16"/>
  <c r="J110" i="16"/>
  <c r="F110" i="16"/>
  <c r="H110" i="16"/>
  <c r="G110" i="16"/>
  <c r="I110" i="16"/>
  <c r="E110" i="16"/>
  <c r="K109" i="16"/>
  <c r="AE110" i="18"/>
  <c r="AF110" i="18"/>
  <c r="AA110" i="18"/>
  <c r="AE110" i="23"/>
  <c r="AC110" i="18"/>
  <c r="AU110" i="18"/>
  <c r="AF110" i="23"/>
  <c r="AA110" i="23"/>
  <c r="AB110" i="23"/>
  <c r="AB110" i="18"/>
  <c r="AD110" i="18"/>
  <c r="AH110" i="18" l="1"/>
  <c r="AI110" i="18"/>
  <c r="AK110" i="23"/>
  <c r="AJ110" i="18"/>
  <c r="AK110" i="18"/>
  <c r="AM109" i="18"/>
  <c r="C109" i="18" s="1"/>
  <c r="AJ110" i="23"/>
  <c r="AM109" i="23"/>
  <c r="C109" i="23" s="1"/>
  <c r="AG110" i="23"/>
  <c r="AG110" i="18"/>
  <c r="D110" i="23"/>
  <c r="D110" i="18"/>
  <c r="D110" i="16"/>
  <c r="Y111" i="16"/>
  <c r="I111" i="16"/>
  <c r="G111" i="16"/>
  <c r="J111" i="16"/>
  <c r="E111" i="16"/>
  <c r="H111" i="16"/>
  <c r="F111" i="16"/>
  <c r="K110" i="16"/>
  <c r="AM110" i="18" l="1"/>
  <c r="AM110" i="23"/>
  <c r="C110" i="23" s="1"/>
  <c r="D111" i="16"/>
  <c r="Y112" i="16"/>
  <c r="K111" i="16"/>
  <c r="G112" i="16"/>
  <c r="H112" i="16"/>
  <c r="F112" i="16"/>
  <c r="E112" i="16"/>
  <c r="J112" i="16"/>
  <c r="I112" i="16"/>
  <c r="C110" i="18" l="1"/>
  <c r="D112" i="16"/>
  <c r="Y113" i="16"/>
  <c r="J113" i="16"/>
  <c r="K112" i="16"/>
  <c r="G113" i="16"/>
  <c r="E113" i="16"/>
  <c r="H113" i="16"/>
  <c r="I113" i="16"/>
  <c r="F113" i="16"/>
  <c r="D113" i="16" l="1"/>
  <c r="Y114" i="16"/>
  <c r="G114" i="16"/>
  <c r="I114" i="16"/>
  <c r="F114" i="16"/>
  <c r="H114" i="16"/>
  <c r="K113" i="16"/>
  <c r="E114" i="16"/>
  <c r="J114" i="16"/>
  <c r="D114" i="16" l="1"/>
  <c r="Y115" i="16"/>
  <c r="H115" i="16"/>
  <c r="I115" i="16"/>
  <c r="J115" i="16"/>
  <c r="F115" i="16"/>
  <c r="G115" i="16"/>
  <c r="E115" i="16"/>
  <c r="K114" i="16"/>
  <c r="D115" i="16" l="1"/>
  <c r="Y116" i="16"/>
  <c r="F116" i="16"/>
  <c r="J116" i="16"/>
  <c r="I116" i="16"/>
  <c r="H116" i="16"/>
  <c r="K115" i="16"/>
  <c r="G116" i="16"/>
  <c r="E116" i="16"/>
  <c r="D116" i="16" l="1"/>
  <c r="Y117" i="16"/>
  <c r="H117" i="16"/>
  <c r="G117" i="16"/>
  <c r="E117" i="16"/>
  <c r="F117" i="16"/>
  <c r="J117" i="16"/>
  <c r="K116" i="16"/>
  <c r="I117" i="16"/>
  <c r="D117" i="16" l="1"/>
  <c r="Y118" i="16"/>
  <c r="G118" i="16"/>
  <c r="F118" i="16"/>
  <c r="J118" i="16"/>
  <c r="H118" i="16"/>
  <c r="I118" i="16"/>
  <c r="E118" i="16"/>
  <c r="K117" i="16"/>
  <c r="D118" i="16" l="1"/>
  <c r="Y119" i="16"/>
  <c r="G119" i="16"/>
  <c r="H119" i="16"/>
  <c r="F119" i="16"/>
  <c r="K118" i="16"/>
  <c r="E119" i="16"/>
  <c r="J119" i="16"/>
  <c r="I119" i="16"/>
  <c r="D119" i="16" l="1"/>
  <c r="Y120" i="16"/>
  <c r="H120" i="16"/>
  <c r="F120" i="16"/>
  <c r="I120" i="16"/>
  <c r="J120" i="16"/>
  <c r="K119" i="16"/>
  <c r="G120" i="16"/>
  <c r="E120" i="16"/>
  <c r="D120" i="16" l="1"/>
  <c r="Y121" i="16"/>
  <c r="I121" i="16"/>
  <c r="H121" i="16"/>
  <c r="F121" i="16"/>
  <c r="G121" i="16"/>
  <c r="J121" i="16"/>
  <c r="E121" i="16"/>
  <c r="K120" i="16"/>
  <c r="D121" i="16" l="1"/>
  <c r="Y122" i="16"/>
  <c r="F122" i="16"/>
  <c r="H122" i="16"/>
  <c r="K121" i="16"/>
  <c r="G122" i="16"/>
  <c r="E122" i="16"/>
  <c r="J122" i="16"/>
  <c r="I122" i="16"/>
  <c r="D122" i="16" l="1"/>
  <c r="Y123" i="16"/>
  <c r="J123" i="16"/>
  <c r="I123" i="16"/>
  <c r="G123" i="16"/>
  <c r="K122" i="16"/>
  <c r="H123" i="16"/>
  <c r="F123" i="16"/>
  <c r="E123" i="16"/>
  <c r="D123" i="16" l="1"/>
  <c r="Y124" i="16"/>
  <c r="H124" i="16"/>
  <c r="G124" i="16"/>
  <c r="I124" i="16"/>
  <c r="J124" i="16"/>
  <c r="F124" i="16"/>
  <c r="E124" i="16"/>
  <c r="K123" i="16"/>
  <c r="D124" i="16" l="1"/>
  <c r="Y125" i="16"/>
  <c r="G125" i="16"/>
  <c r="E125" i="16"/>
  <c r="J125" i="16"/>
  <c r="I125" i="16"/>
  <c r="H125" i="16"/>
  <c r="K124" i="16"/>
  <c r="F125" i="16"/>
  <c r="D125" i="16" l="1"/>
  <c r="Y126" i="16"/>
  <c r="E126" i="16"/>
  <c r="G126" i="16"/>
  <c r="F126" i="16"/>
  <c r="H126" i="16"/>
  <c r="K125" i="16"/>
  <c r="I126" i="16"/>
  <c r="J126" i="16"/>
  <c r="D126" i="16" l="1"/>
  <c r="Y127" i="16"/>
  <c r="J127" i="16"/>
  <c r="G127" i="16"/>
  <c r="K126" i="16"/>
  <c r="H127" i="16"/>
  <c r="I127" i="16"/>
  <c r="E127" i="16"/>
  <c r="F127" i="16"/>
  <c r="D127" i="16" l="1"/>
  <c r="Y128" i="16"/>
  <c r="I128" i="16"/>
  <c r="H128" i="16"/>
  <c r="K127" i="16"/>
  <c r="G128" i="16"/>
  <c r="E128" i="16"/>
  <c r="J128" i="16"/>
  <c r="F128" i="16"/>
  <c r="D128" i="16" l="1"/>
  <c r="Y129" i="16"/>
  <c r="J129" i="16"/>
  <c r="H129" i="16"/>
  <c r="G129" i="16"/>
  <c r="K128" i="16"/>
  <c r="F129" i="16"/>
  <c r="E129" i="16"/>
  <c r="I129" i="16"/>
  <c r="D129" i="16" l="1"/>
  <c r="Y130" i="16"/>
  <c r="K129" i="16"/>
  <c r="E130" i="16"/>
  <c r="G130" i="16"/>
  <c r="H130" i="16"/>
  <c r="F130" i="16"/>
  <c r="J130" i="16"/>
  <c r="I130" i="16"/>
  <c r="D130" i="16" l="1"/>
  <c r="Y131" i="16"/>
  <c r="I131" i="16"/>
  <c r="E131" i="16"/>
  <c r="H131" i="16"/>
  <c r="F131" i="16"/>
  <c r="J131" i="16"/>
  <c r="G131" i="16"/>
  <c r="K130" i="16"/>
  <c r="D131" i="16" l="1"/>
  <c r="Y132" i="16"/>
  <c r="J132" i="16"/>
  <c r="G132" i="16"/>
  <c r="E132" i="16"/>
  <c r="F132" i="16"/>
  <c r="I132" i="16"/>
  <c r="H132" i="16"/>
  <c r="K131" i="16"/>
  <c r="D132" i="16" l="1"/>
  <c r="Y133" i="16"/>
  <c r="E133" i="16"/>
  <c r="H133" i="16"/>
  <c r="F133" i="16"/>
  <c r="J133" i="16"/>
  <c r="K132" i="16"/>
  <c r="G133" i="16"/>
  <c r="I133" i="16"/>
  <c r="D133" i="16" l="1"/>
  <c r="Y134" i="16"/>
  <c r="E134" i="16"/>
  <c r="H134" i="16"/>
  <c r="F134" i="16"/>
  <c r="J134" i="16"/>
  <c r="G134" i="16"/>
  <c r="I134" i="16"/>
  <c r="K133" i="16"/>
  <c r="D134" i="16" l="1"/>
  <c r="Y135" i="16"/>
  <c r="J135" i="16"/>
  <c r="H135" i="16"/>
  <c r="E135" i="16"/>
  <c r="K134" i="16"/>
  <c r="G135" i="16"/>
  <c r="I135" i="16"/>
  <c r="F135" i="16"/>
  <c r="D135" i="16" l="1"/>
  <c r="Y136" i="16"/>
  <c r="I136" i="16"/>
  <c r="G136" i="16"/>
  <c r="K135" i="16"/>
  <c r="H136" i="16"/>
  <c r="F136" i="16"/>
  <c r="E136" i="16"/>
  <c r="J136" i="16"/>
  <c r="D136" i="16" l="1"/>
  <c r="Y137" i="16"/>
  <c r="J137" i="16"/>
  <c r="G137" i="16"/>
  <c r="I137" i="16"/>
  <c r="E137" i="16"/>
  <c r="H137" i="16"/>
  <c r="F137" i="16"/>
  <c r="K136" i="16"/>
  <c r="D137" i="16" l="1"/>
  <c r="Y138" i="16"/>
  <c r="F138" i="16"/>
  <c r="E138" i="16"/>
  <c r="J138" i="16"/>
  <c r="G138" i="16"/>
  <c r="I138" i="16"/>
  <c r="H138" i="16"/>
  <c r="K137" i="16"/>
  <c r="D138" i="16" l="1"/>
  <c r="Y139" i="16"/>
  <c r="J139" i="16"/>
  <c r="G139" i="16"/>
  <c r="H139" i="16"/>
  <c r="E139" i="16"/>
  <c r="I139" i="16"/>
  <c r="F139" i="16"/>
  <c r="K138" i="16"/>
  <c r="D139" i="16" l="1"/>
  <c r="Y140" i="16"/>
  <c r="J140" i="16"/>
  <c r="K139" i="16"/>
  <c r="F140" i="16"/>
  <c r="E140" i="16"/>
  <c r="I140" i="16"/>
  <c r="G140" i="16"/>
  <c r="H140" i="16"/>
  <c r="D140" i="16" l="1"/>
  <c r="Y141" i="16"/>
  <c r="E141" i="16"/>
  <c r="H141" i="16"/>
  <c r="F141" i="16"/>
  <c r="K140" i="16"/>
  <c r="G141" i="16"/>
  <c r="I141" i="16"/>
  <c r="J141" i="16"/>
  <c r="D141" i="16" l="1"/>
  <c r="Y142" i="16"/>
  <c r="E142" i="16"/>
  <c r="G142" i="16"/>
  <c r="F142" i="16"/>
  <c r="J142" i="16"/>
  <c r="H142" i="16"/>
  <c r="I142" i="16"/>
  <c r="K141" i="16"/>
  <c r="D142" i="16" l="1"/>
  <c r="Y143" i="16"/>
  <c r="K142" i="16"/>
  <c r="F143" i="16"/>
  <c r="E143" i="16"/>
  <c r="G143" i="16"/>
  <c r="J143" i="16"/>
  <c r="I143" i="16"/>
  <c r="H143" i="16"/>
  <c r="D143" i="16" l="1"/>
  <c r="Y144" i="16"/>
  <c r="I144" i="16"/>
  <c r="H144" i="16"/>
  <c r="E144" i="16"/>
  <c r="F144" i="16"/>
  <c r="G144" i="16"/>
  <c r="J144" i="16"/>
  <c r="K143" i="16"/>
  <c r="D144" i="16" l="1"/>
  <c r="Y145" i="16"/>
  <c r="I145" i="16"/>
  <c r="G145" i="16"/>
  <c r="J145" i="16"/>
  <c r="E145" i="16"/>
  <c r="H145" i="16"/>
  <c r="F145" i="16"/>
  <c r="K144" i="16"/>
  <c r="D145" i="16" l="1"/>
  <c r="Y146" i="16"/>
  <c r="K145" i="16"/>
  <c r="E146" i="16"/>
  <c r="I146" i="16"/>
  <c r="G146" i="16"/>
  <c r="H146" i="16"/>
  <c r="J146" i="16"/>
  <c r="F146" i="16"/>
  <c r="D146" i="16" l="1"/>
  <c r="Y147" i="16"/>
  <c r="J147" i="16"/>
  <c r="H147" i="16"/>
  <c r="K146" i="16"/>
  <c r="I147" i="16"/>
  <c r="G147" i="16"/>
  <c r="E147" i="16"/>
  <c r="F147" i="16"/>
  <c r="D147" i="16" l="1"/>
  <c r="Y148" i="16"/>
  <c r="I148" i="16"/>
  <c r="H148" i="16"/>
  <c r="F148" i="16"/>
  <c r="E148" i="16"/>
  <c r="G148" i="16"/>
  <c r="J148" i="16"/>
  <c r="K147" i="16"/>
  <c r="D148" i="16" l="1"/>
  <c r="Y149" i="16"/>
  <c r="E149" i="16"/>
  <c r="H149" i="16"/>
  <c r="K148" i="16"/>
  <c r="G149" i="16"/>
  <c r="J149" i="16"/>
  <c r="I149" i="16"/>
  <c r="F149" i="16"/>
  <c r="D149" i="16" l="1"/>
  <c r="Y150" i="16"/>
  <c r="F150" i="16"/>
  <c r="H150" i="16"/>
  <c r="I150" i="16"/>
  <c r="E150" i="16"/>
  <c r="K149" i="16"/>
  <c r="G150" i="16"/>
  <c r="J150" i="16"/>
  <c r="D150" i="16" l="1"/>
  <c r="Y151" i="16"/>
  <c r="I151" i="16"/>
  <c r="G151" i="16"/>
  <c r="J151" i="16"/>
  <c r="F151" i="16"/>
  <c r="K150" i="16"/>
  <c r="H151" i="16"/>
  <c r="E151" i="16"/>
  <c r="D151" i="16" l="1"/>
  <c r="Y152" i="16"/>
  <c r="I152" i="16"/>
  <c r="G152" i="16"/>
  <c r="F152" i="16"/>
  <c r="K151" i="16"/>
  <c r="H152" i="16"/>
  <c r="E152" i="16"/>
  <c r="J152" i="16"/>
  <c r="D152" i="16" l="1"/>
  <c r="Y153" i="16"/>
  <c r="E153" i="16"/>
  <c r="K152" i="16"/>
  <c r="H153" i="16"/>
  <c r="I153" i="16"/>
  <c r="F153" i="16"/>
  <c r="G153" i="16"/>
  <c r="J153" i="16"/>
  <c r="D153" i="16" l="1"/>
  <c r="Y154" i="16"/>
  <c r="E154" i="16"/>
  <c r="H154" i="16"/>
  <c r="K153" i="16"/>
  <c r="G154" i="16"/>
  <c r="J154" i="16"/>
  <c r="I154" i="16"/>
  <c r="F154" i="16"/>
  <c r="D154" i="16" l="1"/>
  <c r="Y155" i="16"/>
  <c r="K154" i="16"/>
  <c r="H155" i="16"/>
  <c r="I155" i="16"/>
  <c r="E155" i="16"/>
  <c r="G155" i="16"/>
  <c r="F155" i="16"/>
  <c r="J155" i="16"/>
  <c r="D155" i="16" l="1"/>
  <c r="Y156" i="16"/>
  <c r="K155" i="16"/>
  <c r="E156" i="16"/>
  <c r="F156" i="16"/>
  <c r="H156" i="16"/>
  <c r="J156" i="16"/>
  <c r="G156" i="16"/>
  <c r="I156" i="16"/>
  <c r="D156" i="16" l="1"/>
  <c r="Y157" i="16"/>
  <c r="I157" i="16"/>
  <c r="H157" i="16"/>
  <c r="J157" i="16"/>
  <c r="E157" i="16"/>
  <c r="K156" i="16"/>
  <c r="G157" i="16"/>
  <c r="F157" i="16"/>
  <c r="D157" i="16" l="1"/>
  <c r="Y158" i="16"/>
  <c r="K157" i="16"/>
  <c r="I158" i="16"/>
  <c r="F158" i="16"/>
  <c r="G158" i="16"/>
  <c r="H158" i="16"/>
  <c r="J158" i="16"/>
  <c r="E158" i="16"/>
  <c r="D158" i="16" l="1"/>
  <c r="Y159" i="16"/>
  <c r="J159" i="16"/>
  <c r="G159" i="16"/>
  <c r="H159" i="16"/>
  <c r="E159" i="16"/>
  <c r="I159" i="16"/>
  <c r="K158" i="16"/>
  <c r="F159" i="16"/>
  <c r="D159" i="16" l="1"/>
  <c r="Y160" i="16"/>
  <c r="F160" i="16"/>
  <c r="G160" i="16"/>
  <c r="I160" i="16"/>
  <c r="E160" i="16"/>
  <c r="H160" i="16"/>
  <c r="J160" i="16"/>
  <c r="K159" i="16"/>
  <c r="D160" i="16" l="1"/>
  <c r="Y161" i="16"/>
  <c r="K160" i="16"/>
  <c r="H161" i="16"/>
  <c r="E161" i="16"/>
  <c r="I161" i="16"/>
  <c r="G161" i="16"/>
  <c r="F161" i="16"/>
  <c r="J161" i="16"/>
  <c r="D161" i="16" l="1"/>
  <c r="Y162" i="16"/>
  <c r="K161" i="16"/>
  <c r="J162" i="16"/>
  <c r="I162" i="16"/>
  <c r="H162" i="16"/>
  <c r="G162" i="16"/>
  <c r="E162" i="16"/>
  <c r="F162" i="16"/>
  <c r="D162" i="16" l="1"/>
  <c r="Y163" i="16"/>
  <c r="J163" i="16"/>
  <c r="H163" i="16"/>
  <c r="G163" i="16"/>
  <c r="E163" i="16"/>
  <c r="I163" i="16"/>
  <c r="K162" i="16"/>
  <c r="F163" i="16"/>
  <c r="D163" i="16" l="1"/>
  <c r="Y164" i="16"/>
  <c r="G164" i="16"/>
  <c r="I164" i="16"/>
  <c r="E164" i="16"/>
  <c r="F164" i="16"/>
  <c r="J164" i="16"/>
  <c r="K163" i="16"/>
  <c r="H164" i="16"/>
  <c r="D164" i="16" l="1"/>
  <c r="Y165" i="16"/>
  <c r="K164" i="16"/>
  <c r="G165" i="16"/>
  <c r="E165" i="16"/>
  <c r="F165" i="16"/>
  <c r="H165" i="16"/>
  <c r="I165" i="16"/>
  <c r="J165" i="16"/>
  <c r="D165" i="16" l="1"/>
  <c r="Y166" i="16"/>
  <c r="K165" i="16"/>
  <c r="J166" i="16"/>
  <c r="F166" i="16"/>
  <c r="H166" i="16"/>
  <c r="G166" i="16"/>
  <c r="I166" i="16"/>
  <c r="E166" i="16"/>
  <c r="D166" i="16" l="1"/>
  <c r="Y167" i="16"/>
  <c r="K166" i="16"/>
  <c r="E167" i="16"/>
  <c r="J167" i="16"/>
  <c r="H167" i="16"/>
  <c r="G167" i="16"/>
  <c r="F167" i="16"/>
  <c r="I167" i="16"/>
  <c r="D167" i="16" l="1"/>
  <c r="Y168" i="16"/>
  <c r="J168" i="16"/>
  <c r="I168" i="16"/>
  <c r="H168" i="16"/>
  <c r="K167" i="16"/>
  <c r="G168" i="16"/>
  <c r="F168" i="16"/>
  <c r="E168" i="16"/>
  <c r="D168" i="16" l="1"/>
  <c r="Y169" i="16"/>
  <c r="F169" i="16"/>
  <c r="H169" i="16"/>
  <c r="I169" i="16"/>
  <c r="J169" i="16"/>
  <c r="G169" i="16"/>
  <c r="E169" i="16"/>
  <c r="K168" i="16"/>
  <c r="D169" i="16" l="1"/>
  <c r="Y170" i="16"/>
  <c r="I170" i="16"/>
  <c r="H170" i="16"/>
  <c r="G170" i="16"/>
  <c r="E170" i="16"/>
  <c r="F170" i="16"/>
  <c r="J170" i="16"/>
  <c r="K169" i="16"/>
  <c r="D170" i="16" l="1"/>
  <c r="Y171" i="16"/>
  <c r="K170" i="16"/>
  <c r="I171" i="16"/>
  <c r="H171" i="16"/>
  <c r="E171" i="16"/>
  <c r="J171" i="16"/>
  <c r="F171" i="16"/>
  <c r="G171" i="16"/>
  <c r="D171" i="16" l="1"/>
  <c r="Y172" i="16"/>
  <c r="K171" i="16"/>
  <c r="G172" i="16"/>
  <c r="E172" i="16"/>
  <c r="H172" i="16"/>
  <c r="F172" i="16"/>
  <c r="I172" i="16"/>
  <c r="J172" i="16"/>
  <c r="D172" i="16" l="1"/>
  <c r="Y173" i="16"/>
  <c r="K172" i="16"/>
  <c r="E173" i="16"/>
  <c r="G173" i="16"/>
  <c r="J173" i="16"/>
  <c r="H173" i="16"/>
  <c r="I173" i="16"/>
  <c r="F173" i="16"/>
  <c r="D173" i="16" l="1"/>
  <c r="Y174" i="16"/>
  <c r="K173" i="16"/>
  <c r="H174" i="16"/>
  <c r="G174" i="16"/>
  <c r="I174" i="16"/>
  <c r="J174" i="16"/>
  <c r="E174" i="16"/>
  <c r="F174" i="16"/>
  <c r="D174" i="16" l="1"/>
  <c r="Y175" i="16"/>
  <c r="K174" i="16"/>
  <c r="H175" i="16"/>
  <c r="G175" i="16"/>
  <c r="J175" i="16"/>
  <c r="F175" i="16"/>
  <c r="I175" i="16"/>
  <c r="E175" i="16"/>
  <c r="D175" i="16" l="1"/>
  <c r="Y176" i="16"/>
  <c r="J176" i="16"/>
  <c r="K175" i="16"/>
  <c r="F176" i="16"/>
  <c r="H176" i="16"/>
  <c r="G176" i="16"/>
  <c r="E176" i="16"/>
  <c r="I176" i="16"/>
  <c r="D176" i="16" l="1"/>
  <c r="Y177" i="16"/>
  <c r="K176" i="16"/>
  <c r="J177" i="16"/>
  <c r="E177" i="16"/>
  <c r="F177" i="16"/>
  <c r="G177" i="16"/>
  <c r="I177" i="16"/>
  <c r="H177" i="16"/>
  <c r="D177" i="16" l="1"/>
  <c r="Y178" i="16"/>
  <c r="F178" i="16"/>
  <c r="H178" i="16"/>
  <c r="G178" i="16"/>
  <c r="E178" i="16"/>
  <c r="K177" i="16"/>
  <c r="I178" i="16"/>
  <c r="J178" i="16"/>
  <c r="D178" i="16" l="1"/>
  <c r="Y179" i="16"/>
  <c r="K178" i="16"/>
  <c r="F179" i="16"/>
  <c r="I179" i="16"/>
  <c r="E179" i="16"/>
  <c r="H179" i="16"/>
  <c r="G179" i="16"/>
  <c r="J179" i="16"/>
  <c r="D179" i="16" l="1"/>
  <c r="Y180" i="16"/>
  <c r="I180" i="16"/>
  <c r="G180" i="16"/>
  <c r="H180" i="16"/>
  <c r="E180" i="16"/>
  <c r="J180" i="16"/>
  <c r="K179" i="16"/>
  <c r="F180" i="16"/>
  <c r="D180" i="16" l="1"/>
  <c r="Y181" i="16"/>
  <c r="J181" i="16"/>
  <c r="G181" i="16"/>
  <c r="E181" i="16"/>
  <c r="I181" i="16"/>
  <c r="H181" i="16"/>
  <c r="K180" i="16"/>
  <c r="F181" i="16"/>
  <c r="D181" i="16" l="1"/>
  <c r="Y182" i="16"/>
  <c r="G182" i="16"/>
  <c r="K181" i="16"/>
  <c r="H182" i="16"/>
  <c r="I182" i="16"/>
  <c r="F182" i="16"/>
  <c r="J182" i="16"/>
  <c r="E182" i="16"/>
  <c r="D182" i="16" l="1"/>
  <c r="Y183" i="16"/>
  <c r="K182" i="16"/>
  <c r="H183" i="16"/>
  <c r="E183" i="16"/>
  <c r="J183" i="16"/>
  <c r="F183" i="16"/>
  <c r="G183" i="16"/>
  <c r="I183" i="16"/>
  <c r="D183" i="16" l="1"/>
  <c r="Y184" i="16"/>
  <c r="J184" i="16"/>
  <c r="E184" i="16"/>
  <c r="H184" i="16"/>
  <c r="I184" i="16"/>
  <c r="G184" i="16"/>
  <c r="F184" i="16"/>
  <c r="K183" i="16"/>
  <c r="D184" i="16" l="1"/>
  <c r="Y185" i="16"/>
  <c r="I185" i="16"/>
  <c r="G185" i="16"/>
  <c r="K184" i="16"/>
  <c r="H185" i="16"/>
  <c r="J185" i="16"/>
  <c r="F185" i="16"/>
  <c r="E185" i="16"/>
  <c r="D185" i="16" l="1"/>
  <c r="Y186" i="16"/>
  <c r="I186" i="16"/>
  <c r="K185" i="16"/>
  <c r="E186" i="16"/>
  <c r="F186" i="16"/>
  <c r="G186" i="16"/>
  <c r="H186" i="16"/>
  <c r="J186" i="16"/>
  <c r="D186" i="16" l="1"/>
  <c r="Y187" i="16"/>
  <c r="I187" i="16"/>
  <c r="H187" i="16"/>
  <c r="E187" i="16"/>
  <c r="J187" i="16"/>
  <c r="F187" i="16"/>
  <c r="G187" i="16"/>
  <c r="K186" i="16"/>
  <c r="D187" i="16" l="1"/>
  <c r="Y188" i="16"/>
  <c r="K187" i="16"/>
  <c r="J188" i="16"/>
  <c r="F188" i="16"/>
  <c r="E188" i="16"/>
  <c r="I188" i="16"/>
  <c r="G188" i="16"/>
  <c r="H188" i="16"/>
  <c r="D188" i="16" l="1"/>
  <c r="Y189" i="16"/>
  <c r="I189" i="16"/>
  <c r="H189" i="16"/>
  <c r="K188" i="16"/>
  <c r="G189" i="16"/>
  <c r="E189" i="16"/>
  <c r="F189" i="16"/>
  <c r="J189" i="16"/>
  <c r="D189" i="16" l="1"/>
  <c r="Y190" i="16"/>
  <c r="G190" i="16"/>
  <c r="K189" i="16"/>
  <c r="F190" i="16"/>
  <c r="I190" i="16"/>
  <c r="E190" i="16"/>
  <c r="J190" i="16"/>
  <c r="H190" i="16"/>
  <c r="D190" i="16" l="1"/>
  <c r="Y191" i="16"/>
  <c r="J191" i="16"/>
  <c r="G191" i="16"/>
  <c r="K190" i="16"/>
  <c r="H191" i="16"/>
  <c r="I191" i="16"/>
  <c r="F191" i="16"/>
  <c r="E191" i="16"/>
  <c r="D191" i="16" l="1"/>
  <c r="Y192" i="16"/>
  <c r="K191" i="16"/>
  <c r="E192" i="16"/>
  <c r="I192" i="16"/>
  <c r="H192" i="16"/>
  <c r="G192" i="16"/>
  <c r="J192" i="16"/>
  <c r="F192" i="16"/>
  <c r="D192" i="16" l="1"/>
  <c r="Y193" i="16"/>
  <c r="J193" i="16"/>
  <c r="H193" i="16"/>
  <c r="E193" i="16"/>
  <c r="K192" i="16"/>
  <c r="G193" i="16"/>
  <c r="F193" i="16"/>
  <c r="I193" i="16"/>
  <c r="D193" i="16" l="1"/>
  <c r="Y194" i="16"/>
  <c r="J194" i="16"/>
  <c r="H194" i="16"/>
  <c r="K193" i="16"/>
  <c r="G194" i="16"/>
  <c r="E194" i="16"/>
  <c r="F194" i="16"/>
  <c r="I194" i="16"/>
  <c r="D194" i="16" l="1"/>
  <c r="Y195" i="16"/>
  <c r="E195" i="16"/>
  <c r="H195" i="16"/>
  <c r="G195" i="16"/>
  <c r="J195" i="16"/>
  <c r="I195" i="16"/>
  <c r="K194" i="16"/>
  <c r="F195" i="16"/>
  <c r="D195" i="16" l="1"/>
  <c r="Y196" i="16"/>
  <c r="I196" i="16"/>
  <c r="G196" i="16"/>
  <c r="E196" i="16"/>
  <c r="J196" i="16"/>
  <c r="K195" i="16"/>
  <c r="H196" i="16"/>
  <c r="F196" i="16"/>
  <c r="D196" i="16" l="1"/>
  <c r="Y197" i="16"/>
  <c r="E197" i="16"/>
  <c r="G197" i="16"/>
  <c r="K196" i="16"/>
  <c r="H197" i="16"/>
  <c r="I197" i="16"/>
  <c r="F197" i="16"/>
  <c r="J197" i="16"/>
  <c r="D197" i="16" l="1"/>
  <c r="Y198" i="16"/>
  <c r="E198" i="16"/>
  <c r="H198" i="16"/>
  <c r="I198" i="16"/>
  <c r="J198" i="16"/>
  <c r="K197" i="16"/>
  <c r="G198" i="16"/>
  <c r="F198" i="16"/>
  <c r="D198" i="16" l="1"/>
  <c r="Y199" i="16"/>
  <c r="J199" i="16"/>
  <c r="G199" i="16"/>
  <c r="K198" i="16"/>
  <c r="H199" i="16"/>
  <c r="E199" i="16"/>
  <c r="I199" i="16"/>
  <c r="F199" i="16"/>
  <c r="D199" i="16" l="1"/>
  <c r="Y200" i="16"/>
  <c r="K199" i="16"/>
  <c r="F200" i="16"/>
  <c r="J200" i="16"/>
  <c r="I200" i="16"/>
  <c r="E200" i="16"/>
  <c r="H200" i="16"/>
  <c r="G200" i="16"/>
  <c r="D200" i="16" l="1"/>
  <c r="Y201" i="16"/>
  <c r="J201" i="16"/>
  <c r="G201" i="16"/>
  <c r="K200" i="16"/>
  <c r="H201" i="16"/>
  <c r="I201" i="16"/>
  <c r="E201" i="16"/>
  <c r="F201" i="16"/>
  <c r="D201" i="16" l="1"/>
  <c r="Y202" i="16"/>
  <c r="F202" i="16"/>
  <c r="G202" i="16"/>
  <c r="J202" i="16"/>
  <c r="E202" i="16"/>
  <c r="I202" i="16"/>
  <c r="H202" i="16"/>
  <c r="K201" i="16"/>
  <c r="D202" i="16" l="1"/>
  <c r="Y203" i="16"/>
  <c r="J203" i="16"/>
  <c r="H203" i="16"/>
  <c r="E203" i="16"/>
  <c r="K202" i="16"/>
  <c r="G203" i="16"/>
  <c r="F203" i="16"/>
  <c r="I203" i="16"/>
  <c r="D203" i="16" l="1"/>
  <c r="Y204" i="16"/>
  <c r="J204" i="16"/>
  <c r="G204" i="16"/>
  <c r="I204" i="16"/>
  <c r="K203" i="16"/>
  <c r="H204" i="16"/>
  <c r="E204" i="16"/>
  <c r="F204" i="16"/>
  <c r="D204" i="16" l="1"/>
  <c r="Y205" i="16"/>
  <c r="K204" i="16"/>
  <c r="G205" i="16"/>
  <c r="I205" i="16"/>
  <c r="J205" i="16"/>
  <c r="H205" i="16"/>
  <c r="E205" i="16"/>
  <c r="F205" i="16"/>
  <c r="D205" i="16" l="1"/>
  <c r="Y206" i="16"/>
  <c r="J206" i="16"/>
  <c r="H206" i="16"/>
  <c r="F206" i="16"/>
  <c r="I206" i="16"/>
  <c r="E206" i="16"/>
  <c r="G206" i="16"/>
  <c r="K205" i="16"/>
  <c r="D206" i="16" l="1"/>
  <c r="Y207" i="16"/>
  <c r="K206" i="16"/>
  <c r="J207" i="16"/>
  <c r="E207" i="16"/>
  <c r="G207" i="16"/>
  <c r="F207" i="16"/>
  <c r="I207" i="16"/>
  <c r="H207" i="16"/>
  <c r="D207" i="16" l="1"/>
  <c r="Y208" i="16"/>
  <c r="K207" i="16"/>
  <c r="H208" i="16"/>
  <c r="I208" i="16"/>
  <c r="J208" i="16"/>
  <c r="G208" i="16"/>
  <c r="F208" i="16"/>
  <c r="E208" i="16"/>
  <c r="D208" i="16" l="1"/>
  <c r="Y209" i="16"/>
  <c r="K208" i="16"/>
  <c r="G209" i="16"/>
  <c r="J209" i="16"/>
  <c r="E209" i="16"/>
  <c r="H209" i="16"/>
  <c r="I209" i="16"/>
  <c r="F209" i="16"/>
  <c r="D209" i="16" l="1"/>
  <c r="Y210" i="16"/>
  <c r="K209" i="16"/>
  <c r="F210" i="16"/>
  <c r="E210" i="16"/>
  <c r="H210" i="16"/>
  <c r="G210" i="16"/>
  <c r="J210" i="16"/>
  <c r="I210" i="16"/>
  <c r="D210" i="16" l="1"/>
  <c r="Y211" i="16"/>
  <c r="K210" i="16"/>
  <c r="H211" i="16"/>
  <c r="E211" i="16"/>
  <c r="J211" i="16"/>
  <c r="I211" i="16"/>
  <c r="G211" i="16"/>
  <c r="F211" i="16"/>
  <c r="D211" i="16" l="1"/>
  <c r="Y212" i="16"/>
  <c r="E212" i="16"/>
  <c r="J212" i="16"/>
  <c r="H212" i="16"/>
  <c r="I212" i="16"/>
  <c r="G212" i="16"/>
  <c r="F212" i="16"/>
  <c r="K211" i="16"/>
  <c r="D212" i="16" l="1"/>
  <c r="Y213" i="16"/>
  <c r="I213" i="16"/>
  <c r="G213" i="16"/>
  <c r="E213" i="16"/>
  <c r="K212" i="16"/>
  <c r="H213" i="16"/>
  <c r="J213" i="16"/>
  <c r="F213" i="16"/>
  <c r="D213" i="16" l="1"/>
  <c r="Y214" i="16"/>
  <c r="K213" i="16"/>
  <c r="E214" i="16"/>
  <c r="I214" i="16"/>
  <c r="H214" i="16"/>
  <c r="G214" i="16"/>
  <c r="F214" i="16"/>
  <c r="J214" i="16"/>
  <c r="D214" i="16" l="1"/>
  <c r="Y215" i="16"/>
  <c r="J215" i="16"/>
  <c r="G215" i="16"/>
  <c r="K214" i="16"/>
  <c r="H215" i="16"/>
  <c r="F215" i="16"/>
  <c r="E215" i="16"/>
  <c r="I215" i="16"/>
  <c r="D215" i="16" l="1"/>
  <c r="Y216" i="16"/>
  <c r="E216" i="16"/>
  <c r="G216" i="16"/>
  <c r="J216" i="16"/>
  <c r="F216" i="16"/>
  <c r="H216" i="16"/>
  <c r="I216" i="16"/>
  <c r="K215" i="16"/>
  <c r="D216" i="16" l="1"/>
  <c r="Y217" i="16"/>
  <c r="I217" i="16"/>
  <c r="K216" i="16"/>
  <c r="J217" i="16"/>
  <c r="F217" i="16"/>
  <c r="H217" i="16"/>
  <c r="G217" i="16"/>
  <c r="E217" i="16"/>
  <c r="D217" i="16" l="1"/>
  <c r="Y218" i="16"/>
  <c r="J218" i="16"/>
  <c r="H218" i="16"/>
  <c r="K217" i="16"/>
  <c r="G218" i="16"/>
  <c r="E218" i="16"/>
  <c r="I218" i="16"/>
  <c r="F218" i="16"/>
  <c r="D218" i="16" l="1"/>
  <c r="Y219" i="16"/>
  <c r="K218" i="16"/>
  <c r="H219" i="16"/>
  <c r="I219" i="16"/>
  <c r="E219" i="16"/>
  <c r="G219" i="16"/>
  <c r="J219" i="16"/>
  <c r="F219" i="16"/>
  <c r="D219" i="16" l="1"/>
  <c r="Y220" i="16"/>
  <c r="J220" i="16"/>
  <c r="G220" i="16"/>
  <c r="E220" i="16"/>
  <c r="I220" i="16"/>
  <c r="K219" i="16"/>
  <c r="H220" i="16"/>
  <c r="F220" i="16"/>
  <c r="D220" i="16" l="1"/>
  <c r="Y221" i="16"/>
  <c r="K220" i="16"/>
  <c r="F221" i="16"/>
  <c r="I221" i="16"/>
  <c r="E221" i="16"/>
  <c r="J221" i="16"/>
  <c r="H221" i="16"/>
  <c r="G221" i="16"/>
  <c r="D221" i="16" l="1"/>
  <c r="Y222" i="16"/>
  <c r="K221" i="16"/>
  <c r="H222" i="16"/>
  <c r="J222" i="16"/>
  <c r="G222" i="16"/>
  <c r="I222" i="16"/>
  <c r="E222" i="16"/>
  <c r="F222" i="16"/>
  <c r="D222" i="16" l="1"/>
  <c r="Y223" i="16"/>
  <c r="I223" i="16"/>
  <c r="E223" i="16"/>
  <c r="J223" i="16"/>
  <c r="H223" i="16"/>
  <c r="F223" i="16"/>
  <c r="K222" i="16"/>
  <c r="G223" i="16"/>
  <c r="D223" i="16" l="1"/>
  <c r="Y224" i="16"/>
  <c r="K223" i="16"/>
  <c r="E224" i="16"/>
  <c r="I224" i="16"/>
  <c r="H224" i="16"/>
  <c r="G224" i="16"/>
  <c r="J224" i="16"/>
  <c r="F224" i="16"/>
  <c r="D224" i="16" l="1"/>
  <c r="Y225" i="16"/>
  <c r="F225" i="16"/>
  <c r="H225" i="16"/>
  <c r="J225" i="16"/>
  <c r="E225" i="16"/>
  <c r="I225" i="16"/>
  <c r="G225" i="16"/>
  <c r="K224" i="16"/>
  <c r="D225" i="16" l="1"/>
  <c r="Y226" i="16"/>
  <c r="K225" i="16"/>
  <c r="G226" i="16"/>
  <c r="I226" i="16"/>
  <c r="H226" i="16"/>
  <c r="E226" i="16"/>
  <c r="F226" i="16"/>
  <c r="J226" i="16"/>
  <c r="D226" i="16" l="1"/>
  <c r="Y227" i="16"/>
  <c r="K226" i="16"/>
  <c r="E227" i="16"/>
  <c r="G227" i="16"/>
  <c r="I227" i="16"/>
  <c r="H227" i="16"/>
  <c r="F227" i="16"/>
  <c r="J227" i="16"/>
  <c r="D227" i="16" l="1"/>
  <c r="Y228" i="16"/>
  <c r="E228" i="16"/>
  <c r="H228" i="16"/>
  <c r="I228" i="16"/>
  <c r="F228" i="16"/>
  <c r="G228" i="16"/>
  <c r="J228" i="16"/>
  <c r="K227" i="16"/>
  <c r="D228" i="16" l="1"/>
  <c r="Y229" i="16"/>
  <c r="J229" i="16"/>
  <c r="H229" i="16"/>
  <c r="K228" i="16"/>
  <c r="G229" i="16"/>
  <c r="E229" i="16"/>
  <c r="F229" i="16"/>
  <c r="I229" i="16"/>
  <c r="D229" i="16" l="1"/>
  <c r="Y230" i="16"/>
  <c r="E230" i="16"/>
  <c r="G230" i="16"/>
  <c r="K229" i="16"/>
  <c r="H230" i="16"/>
  <c r="I230" i="16"/>
  <c r="J230" i="16"/>
  <c r="F230" i="16"/>
  <c r="D230" i="16" l="1"/>
  <c r="Y231" i="16"/>
  <c r="E231" i="16"/>
  <c r="H231" i="16"/>
  <c r="G231" i="16"/>
  <c r="I231" i="16"/>
  <c r="F231" i="16"/>
  <c r="J231" i="16"/>
  <c r="K230" i="16"/>
  <c r="D231" i="16" l="1"/>
  <c r="Y232" i="16"/>
  <c r="K231" i="16"/>
  <c r="H232" i="16"/>
  <c r="F232" i="16"/>
  <c r="I232" i="16"/>
  <c r="G232" i="16"/>
  <c r="J232" i="16"/>
  <c r="E232" i="16"/>
  <c r="D232" i="16" l="1"/>
  <c r="Y233" i="16"/>
  <c r="K232" i="16"/>
  <c r="E233" i="16"/>
  <c r="G233" i="16"/>
  <c r="I233" i="16"/>
  <c r="F233" i="16"/>
  <c r="H233" i="16"/>
  <c r="J233" i="16"/>
  <c r="D233" i="16" l="1"/>
  <c r="Y234" i="16"/>
  <c r="I234" i="16"/>
  <c r="J234" i="16"/>
  <c r="E234" i="16"/>
  <c r="H234" i="16"/>
  <c r="G234" i="16"/>
  <c r="K233" i="16"/>
  <c r="F234" i="16"/>
  <c r="D234" i="16" l="1"/>
  <c r="Y235" i="16"/>
  <c r="F235" i="16"/>
  <c r="G235" i="16"/>
  <c r="J235" i="16"/>
  <c r="I235" i="16"/>
  <c r="H235" i="16"/>
  <c r="K234" i="16"/>
  <c r="E235" i="16"/>
  <c r="D235" i="16" l="1"/>
  <c r="Y236" i="16"/>
  <c r="F236" i="16"/>
  <c r="H236" i="16"/>
  <c r="J236" i="16"/>
  <c r="I236" i="16"/>
  <c r="G236" i="16"/>
  <c r="E236" i="16"/>
  <c r="K235" i="16"/>
  <c r="D236" i="16" l="1"/>
  <c r="Y237" i="16"/>
  <c r="I237" i="16"/>
  <c r="G237" i="16"/>
  <c r="H237" i="16"/>
  <c r="J237" i="16"/>
  <c r="F237" i="16"/>
  <c r="E237" i="16"/>
  <c r="K236" i="16"/>
  <c r="D237" i="16" l="1"/>
  <c r="Y238" i="16"/>
  <c r="J238" i="16"/>
  <c r="F238" i="16"/>
  <c r="G238" i="16"/>
  <c r="E238" i="16"/>
  <c r="H238" i="16"/>
  <c r="K237" i="16"/>
  <c r="I238" i="16"/>
  <c r="D238" i="16" l="1"/>
  <c r="Y239" i="16"/>
  <c r="J239" i="16"/>
  <c r="G239" i="16"/>
  <c r="I239" i="16"/>
  <c r="F239" i="16"/>
  <c r="E239" i="16"/>
  <c r="H239" i="16"/>
  <c r="K238" i="16"/>
  <c r="D239" i="16" l="1"/>
  <c r="Y240" i="16"/>
  <c r="E240" i="16"/>
  <c r="F240" i="16"/>
  <c r="G240" i="16"/>
  <c r="K239" i="16"/>
  <c r="I240" i="16"/>
  <c r="H240" i="16"/>
  <c r="J240" i="16"/>
  <c r="D240" i="16" l="1"/>
  <c r="Y241" i="16"/>
  <c r="J241" i="16"/>
  <c r="G241" i="16"/>
  <c r="E241" i="16"/>
  <c r="F241" i="16"/>
  <c r="I241" i="16"/>
  <c r="H241" i="16"/>
  <c r="K240" i="16"/>
  <c r="D241" i="16" l="1"/>
  <c r="Y242" i="16"/>
  <c r="J242" i="16"/>
  <c r="H242" i="16"/>
  <c r="K241" i="16"/>
  <c r="G242" i="16"/>
  <c r="F242" i="16"/>
  <c r="E242" i="16"/>
  <c r="I242" i="16"/>
  <c r="D242" i="16" l="1"/>
  <c r="Y243" i="16"/>
  <c r="K242" i="16"/>
  <c r="E243" i="16"/>
  <c r="F243" i="16"/>
  <c r="G243" i="16"/>
  <c r="H243" i="16"/>
  <c r="J243" i="16"/>
  <c r="I243" i="16"/>
  <c r="D243" i="16" l="1"/>
  <c r="Y244" i="16"/>
  <c r="K243" i="16"/>
  <c r="E244" i="16"/>
  <c r="H244" i="16"/>
  <c r="J244" i="16"/>
  <c r="F244" i="16"/>
  <c r="G244" i="16"/>
  <c r="I244" i="16"/>
  <c r="D244" i="16" l="1"/>
  <c r="Y245" i="16"/>
  <c r="J245" i="16"/>
  <c r="H245" i="16"/>
  <c r="E245" i="16"/>
  <c r="K244" i="16"/>
  <c r="G245" i="16"/>
  <c r="I245" i="16"/>
  <c r="F245" i="16"/>
  <c r="D245" i="16" l="1"/>
  <c r="Y246" i="16"/>
  <c r="F246" i="16"/>
  <c r="H246" i="16"/>
  <c r="E246" i="16"/>
  <c r="K245" i="16"/>
  <c r="G246" i="16"/>
  <c r="J246" i="16"/>
  <c r="I246" i="16"/>
  <c r="D246" i="16" l="1"/>
  <c r="Y247" i="16"/>
  <c r="F247" i="16"/>
  <c r="J247" i="16"/>
  <c r="I247" i="16"/>
  <c r="H247" i="16"/>
  <c r="K246" i="16"/>
  <c r="G247" i="16"/>
  <c r="E247" i="16"/>
  <c r="D247" i="16" l="1"/>
  <c r="Y248" i="16"/>
  <c r="K247" i="16"/>
  <c r="F248" i="16"/>
  <c r="E248" i="16"/>
  <c r="G248" i="16"/>
  <c r="H248" i="16"/>
  <c r="I248" i="16"/>
  <c r="J248" i="16"/>
  <c r="D248" i="16" l="1"/>
  <c r="Y249" i="16"/>
  <c r="I249" i="16"/>
  <c r="F249" i="16"/>
  <c r="H249" i="16"/>
  <c r="K248" i="16"/>
  <c r="G249" i="16"/>
  <c r="E249" i="16"/>
  <c r="J249" i="16"/>
  <c r="D249" i="16" l="1"/>
  <c r="Y250" i="16"/>
  <c r="E250" i="16"/>
  <c r="I250" i="16"/>
  <c r="G250" i="16"/>
  <c r="F250" i="16"/>
  <c r="J250" i="16"/>
  <c r="H250" i="16"/>
  <c r="K249" i="16"/>
  <c r="D250" i="16" l="1"/>
  <c r="Y251" i="16"/>
  <c r="K250" i="16"/>
  <c r="I251" i="16"/>
  <c r="J251" i="16"/>
  <c r="G251" i="16"/>
  <c r="H251" i="16"/>
  <c r="E251" i="16"/>
  <c r="F251" i="16"/>
  <c r="D251" i="16" l="1"/>
  <c r="Y252" i="16"/>
  <c r="I252" i="16"/>
  <c r="G252" i="16"/>
  <c r="K251" i="16"/>
  <c r="H252" i="16"/>
  <c r="F252" i="16"/>
  <c r="E252" i="16"/>
  <c r="J252" i="16"/>
  <c r="D252" i="16" l="1"/>
  <c r="Y253" i="16"/>
  <c r="E253" i="16"/>
  <c r="G253" i="16"/>
  <c r="J253" i="16"/>
  <c r="H253" i="16"/>
  <c r="F253" i="16"/>
  <c r="I253" i="16"/>
  <c r="K252" i="16"/>
  <c r="D253" i="16" l="1"/>
  <c r="Y254" i="16"/>
  <c r="E254" i="16"/>
  <c r="K253" i="16"/>
  <c r="G254" i="16"/>
  <c r="J254" i="16"/>
  <c r="H254" i="16"/>
  <c r="I254" i="16"/>
  <c r="F254" i="16"/>
  <c r="D254" i="16" l="1"/>
  <c r="Y255" i="16"/>
  <c r="K254" i="16"/>
  <c r="J255" i="16"/>
  <c r="I255" i="16"/>
  <c r="H255" i="16"/>
  <c r="G255" i="16"/>
  <c r="E255" i="16"/>
  <c r="F255" i="16"/>
  <c r="D255" i="16" l="1"/>
  <c r="Y256" i="16"/>
  <c r="K255" i="16"/>
  <c r="J256" i="16"/>
  <c r="F256" i="16"/>
  <c r="H256" i="16"/>
  <c r="G256" i="16"/>
  <c r="I256" i="16"/>
  <c r="E256" i="16"/>
  <c r="D256" i="16" l="1"/>
  <c r="Y257" i="16"/>
  <c r="E257" i="16"/>
  <c r="H257" i="16"/>
  <c r="J257" i="16"/>
  <c r="F257" i="16"/>
  <c r="G257" i="16"/>
  <c r="I257" i="16"/>
  <c r="K256" i="16"/>
  <c r="D257" i="16" l="1"/>
  <c r="Y258" i="16"/>
  <c r="K257" i="16"/>
  <c r="G258" i="16"/>
  <c r="I258" i="16"/>
  <c r="H258" i="16"/>
  <c r="E258" i="16"/>
  <c r="F258" i="16"/>
  <c r="J258" i="16"/>
  <c r="D258" i="16" l="1"/>
  <c r="Y259" i="16"/>
  <c r="F259" i="16"/>
  <c r="G259" i="16"/>
  <c r="E259" i="16"/>
  <c r="J259" i="16"/>
  <c r="I259" i="16"/>
  <c r="H259" i="16"/>
  <c r="K258" i="16"/>
  <c r="D259" i="16" l="1"/>
  <c r="Y260" i="16"/>
  <c r="F260" i="16"/>
  <c r="H260" i="16"/>
  <c r="K259" i="16"/>
  <c r="G260" i="16"/>
  <c r="I260" i="16"/>
  <c r="J260" i="16"/>
  <c r="E260" i="16"/>
  <c r="D260" i="16" l="1"/>
  <c r="G21" i="16"/>
  <c r="E21" i="16"/>
  <c r="I21" i="16"/>
  <c r="J21" i="16"/>
  <c r="K260" i="16"/>
  <c r="H21" i="16"/>
  <c r="AD21" i="18"/>
  <c r="AE21" i="18"/>
  <c r="AC21" i="18"/>
  <c r="AB21" i="18"/>
  <c r="AA21" i="18"/>
  <c r="N21" i="18"/>
  <c r="AF21" i="18"/>
  <c r="AJ21" i="18" l="1"/>
  <c r="AK21" i="18"/>
  <c r="D21" i="16"/>
  <c r="AI21" i="18"/>
  <c r="AH21" i="18"/>
  <c r="AG21" i="18"/>
  <c r="K21" i="16"/>
  <c r="I20" i="16"/>
  <c r="H20" i="16"/>
  <c r="J20" i="16"/>
  <c r="G20" i="16"/>
  <c r="F20" i="16"/>
  <c r="K21" i="18"/>
  <c r="E21" i="18"/>
  <c r="H21" i="18"/>
  <c r="I21" i="18"/>
  <c r="J21" i="18"/>
  <c r="G21" i="18"/>
  <c r="F21" i="18"/>
  <c r="M21" i="18"/>
  <c r="AC21" i="23"/>
  <c r="AB20" i="18"/>
  <c r="M20" i="18"/>
  <c r="AE20" i="18"/>
  <c r="AE21" i="23"/>
  <c r="AA21" i="23"/>
  <c r="AA20" i="18"/>
  <c r="N20" i="18"/>
  <c r="AC20" i="18"/>
  <c r="AF21" i="23"/>
  <c r="AD21" i="23"/>
  <c r="AF20" i="18"/>
  <c r="AD20" i="18"/>
  <c r="AB21" i="23"/>
  <c r="N21" i="23"/>
  <c r="AJ20" i="18" l="1"/>
  <c r="AK20" i="18"/>
  <c r="AG20" i="18"/>
  <c r="AH20" i="18"/>
  <c r="AI20" i="18"/>
  <c r="AK21" i="23"/>
  <c r="AL21" i="18"/>
  <c r="AJ21" i="23"/>
  <c r="AI21" i="23"/>
  <c r="AH21" i="23"/>
  <c r="AG21" i="23"/>
  <c r="D21" i="18"/>
  <c r="AD19" i="18"/>
  <c r="AC19" i="18"/>
  <c r="AF19" i="18"/>
  <c r="AB19" i="18"/>
  <c r="AA19" i="18"/>
  <c r="AE19" i="18"/>
  <c r="H19" i="16"/>
  <c r="G19" i="16"/>
  <c r="J19" i="16"/>
  <c r="F19" i="16"/>
  <c r="D20" i="16"/>
  <c r="D19" i="16" s="1"/>
  <c r="E19" i="16"/>
  <c r="D17" i="16"/>
  <c r="I19" i="16"/>
  <c r="G23" i="18"/>
  <c r="F23" i="18"/>
  <c r="H23" i="18"/>
  <c r="K20" i="16"/>
  <c r="F20" i="18"/>
  <c r="G20" i="18"/>
  <c r="H20" i="18"/>
  <c r="E21" i="23"/>
  <c r="K21" i="23"/>
  <c r="E20" i="18"/>
  <c r="J20" i="18"/>
  <c r="H21" i="23"/>
  <c r="G21" i="23"/>
  <c r="I21" i="23"/>
  <c r="J21" i="23"/>
  <c r="K20" i="18"/>
  <c r="F21" i="23"/>
  <c r="I20" i="18"/>
  <c r="M20" i="23"/>
  <c r="AD23" i="23"/>
  <c r="N21" i="24"/>
  <c r="AA23" i="24"/>
  <c r="AF20" i="23"/>
  <c r="AC20" i="23"/>
  <c r="AA20" i="23"/>
  <c r="AE20" i="23"/>
  <c r="AB23" i="24"/>
  <c r="AD20" i="23"/>
  <c r="M21" i="23"/>
  <c r="AB20" i="23"/>
  <c r="AA23" i="23"/>
  <c r="AD23" i="24"/>
  <c r="AB23" i="23"/>
  <c r="AC23" i="24"/>
  <c r="AC23" i="23"/>
  <c r="N20" i="23"/>
  <c r="AJ20" i="23" l="1"/>
  <c r="AK20" i="23"/>
  <c r="AL20" i="18"/>
  <c r="D23" i="24"/>
  <c r="AG23" i="24"/>
  <c r="AI23" i="24"/>
  <c r="AH23" i="24"/>
  <c r="AI23" i="23"/>
  <c r="AI20" i="23"/>
  <c r="AH23" i="23"/>
  <c r="AH20" i="23"/>
  <c r="AG23" i="23"/>
  <c r="AG20" i="23"/>
  <c r="AL21" i="23"/>
  <c r="D21" i="23"/>
  <c r="D23" i="23"/>
  <c r="AM21" i="18"/>
  <c r="C21" i="18" s="1"/>
  <c r="K19" i="16"/>
  <c r="D20" i="18"/>
  <c r="C17" i="16"/>
  <c r="E20" i="23"/>
  <c r="I21" i="24"/>
  <c r="I20" i="23"/>
  <c r="J21" i="24"/>
  <c r="G20" i="23"/>
  <c r="K21" i="24"/>
  <c r="H20" i="23"/>
  <c r="H21" i="24"/>
  <c r="F20" i="23"/>
  <c r="G21" i="24"/>
  <c r="F21" i="24"/>
  <c r="K20" i="23"/>
  <c r="J20" i="23"/>
  <c r="E21" i="24"/>
  <c r="AE21" i="24"/>
  <c r="AF21" i="24"/>
  <c r="AC21" i="24"/>
  <c r="M20" i="24"/>
  <c r="M21" i="24"/>
  <c r="N20" i="24"/>
  <c r="AD21" i="24"/>
  <c r="AA21" i="24"/>
  <c r="AB21" i="24"/>
  <c r="AK21" i="24" l="1"/>
  <c r="AJ21" i="24"/>
  <c r="D21" i="24"/>
  <c r="AG21" i="24"/>
  <c r="AL21" i="24"/>
  <c r="AI21" i="24"/>
  <c r="AH21" i="24"/>
  <c r="AM23" i="24"/>
  <c r="C23" i="24" s="1"/>
  <c r="AM23" i="23"/>
  <c r="C23" i="23" s="1"/>
  <c r="D20" i="23"/>
  <c r="AM21" i="23"/>
  <c r="C21" i="23" s="1"/>
  <c r="AL20" i="23"/>
  <c r="C23" i="18"/>
  <c r="AG19" i="18"/>
  <c r="AM20" i="18"/>
  <c r="C20" i="18" s="1"/>
  <c r="H20" i="24"/>
  <c r="E20" i="24"/>
  <c r="F20" i="24"/>
  <c r="J20" i="24"/>
  <c r="K20" i="24"/>
  <c r="G20" i="24"/>
  <c r="I20" i="24"/>
  <c r="AC20" i="24"/>
  <c r="AB20" i="24"/>
  <c r="AF20" i="24"/>
  <c r="AD20" i="24"/>
  <c r="AE20" i="24"/>
  <c r="AA20" i="24"/>
  <c r="AJ20" i="24" l="1"/>
  <c r="AK20" i="24"/>
  <c r="AM21" i="24"/>
  <c r="C21" i="24" s="1"/>
  <c r="D20" i="24"/>
  <c r="AG20" i="24"/>
  <c r="AL20" i="24"/>
  <c r="AH20" i="24"/>
  <c r="AI20" i="24"/>
  <c r="AM20" i="23"/>
  <c r="AM20" i="24" l="1"/>
  <c r="C20" i="24" s="1"/>
  <c r="C20" i="23"/>
  <c r="AK19" i="18" l="1"/>
  <c r="J24" i="18"/>
  <c r="F24" i="18"/>
  <c r="K24" i="18"/>
  <c r="AF24" i="23"/>
  <c r="AB24" i="23"/>
  <c r="AK24" i="23" l="1"/>
  <c r="AL19" i="18"/>
  <c r="AF19" i="23"/>
  <c r="J19" i="18"/>
  <c r="AG24" i="23"/>
  <c r="AB19" i="23"/>
  <c r="F19" i="18"/>
  <c r="K19" i="18"/>
  <c r="E24" i="18"/>
  <c r="AA24" i="23"/>
  <c r="D24" i="18" l="1"/>
  <c r="D17" i="18" s="1"/>
  <c r="E19" i="18"/>
  <c r="AA19" i="23"/>
  <c r="D19" i="18" l="1"/>
  <c r="G24" i="18"/>
  <c r="AC24" i="23"/>
  <c r="AH24" i="23" l="1"/>
  <c r="G19" i="18"/>
  <c r="AC19" i="23"/>
  <c r="H24" i="18"/>
  <c r="AD24" i="23"/>
  <c r="AI24" i="23" l="1"/>
  <c r="AI19" i="18"/>
  <c r="H19" i="18"/>
  <c r="AH19" i="18"/>
  <c r="AD19" i="23"/>
  <c r="N24" i="23"/>
  <c r="AI19" i="23" l="1"/>
  <c r="E24" i="23"/>
  <c r="H24" i="23"/>
  <c r="G24" i="23"/>
  <c r="I24" i="23"/>
  <c r="I24" i="18"/>
  <c r="K24" i="23"/>
  <c r="F24" i="23"/>
  <c r="J24" i="23"/>
  <c r="AE24" i="23"/>
  <c r="N24" i="24"/>
  <c r="D24" i="23" l="1"/>
  <c r="AL24" i="23"/>
  <c r="AK19" i="23"/>
  <c r="AJ24" i="23"/>
  <c r="AJ19" i="23" s="1"/>
  <c r="AE19" i="23"/>
  <c r="AG19" i="23"/>
  <c r="I19" i="18"/>
  <c r="G24" i="24"/>
  <c r="K24" i="24"/>
  <c r="I24" i="24"/>
  <c r="E24" i="24"/>
  <c r="F24" i="24"/>
  <c r="H24" i="24"/>
  <c r="J24" i="24"/>
  <c r="AD24" i="24"/>
  <c r="AE24" i="24"/>
  <c r="AF24" i="24"/>
  <c r="AA24" i="24"/>
  <c r="AB24" i="24"/>
  <c r="AC24" i="24"/>
  <c r="AK24" i="24" l="1"/>
  <c r="AJ24" i="24"/>
  <c r="K19" i="24"/>
  <c r="AL24" i="24"/>
  <c r="AL19" i="24" s="1"/>
  <c r="AH24" i="24"/>
  <c r="F19" i="24"/>
  <c r="G19" i="24"/>
  <c r="I19" i="24"/>
  <c r="H19" i="24"/>
  <c r="J19" i="24"/>
  <c r="E19" i="24"/>
  <c r="D24" i="24"/>
  <c r="AG24" i="24"/>
  <c r="AI24" i="24"/>
  <c r="AM24" i="23"/>
  <c r="C24" i="23" s="1"/>
  <c r="AJ19" i="18"/>
  <c r="AM24" i="24" l="1"/>
  <c r="C24" i="24" s="1"/>
  <c r="AM19" i="18"/>
  <c r="C24" i="18"/>
  <c r="C19" i="18" s="1"/>
  <c r="C17" i="18" s="1"/>
  <c r="I27" i="23"/>
  <c r="K27" i="23"/>
  <c r="E27" i="23"/>
  <c r="J27" i="23"/>
  <c r="F27" i="23"/>
  <c r="G27" i="23"/>
  <c r="AL19" i="23" l="1"/>
  <c r="K19" i="23"/>
  <c r="J19" i="23"/>
  <c r="F19" i="23"/>
  <c r="I19" i="23"/>
  <c r="D27" i="23"/>
  <c r="D17" i="23" s="1"/>
  <c r="E19" i="23"/>
  <c r="G19" i="23"/>
  <c r="H27" i="23"/>
  <c r="AC27" i="24"/>
  <c r="AE27" i="24"/>
  <c r="AF27" i="24"/>
  <c r="AB27" i="24"/>
  <c r="AA27" i="24"/>
  <c r="AK27" i="24" l="1"/>
  <c r="AK19" i="24" s="1"/>
  <c r="AJ27" i="24"/>
  <c r="AJ19" i="24" s="1"/>
  <c r="D27" i="24"/>
  <c r="D19" i="24" s="1"/>
  <c r="AA19" i="24"/>
  <c r="AE19" i="24"/>
  <c r="AF19" i="24"/>
  <c r="AC19" i="24"/>
  <c r="AH27" i="24"/>
  <c r="AH19" i="24" s="1"/>
  <c r="AG27" i="24"/>
  <c r="AG19" i="24" s="1"/>
  <c r="AB19" i="24"/>
  <c r="AM27" i="23"/>
  <c r="AH19" i="23"/>
  <c r="D19" i="23"/>
  <c r="H19" i="23"/>
  <c r="AD27" i="24"/>
  <c r="AI27" i="24" l="1"/>
  <c r="AI19" i="24" s="1"/>
  <c r="AD19" i="24"/>
  <c r="C27" i="23"/>
  <c r="C19" i="23" s="1"/>
  <c r="C17" i="23" s="1"/>
  <c r="AM19" i="23"/>
  <c r="AM27" i="24" l="1"/>
  <c r="AM19" i="24" s="1"/>
  <c r="C27" i="24" l="1"/>
  <c r="C19" i="24" s="1"/>
  <c r="C17" i="24" l="1"/>
  <c r="R38" i="26" l="1"/>
  <c r="S38" i="26" s="1"/>
  <c r="I38" i="26"/>
  <c r="H38" i="26"/>
  <c r="E38" i="26"/>
  <c r="F38" i="26"/>
  <c r="J38" i="26"/>
  <c r="G38" i="26"/>
  <c r="K38" i="26"/>
  <c r="AO97" i="26"/>
  <c r="N60" i="26"/>
  <c r="AC78" i="26"/>
  <c r="AN61" i="26"/>
  <c r="AD45" i="26"/>
  <c r="N90" i="26"/>
  <c r="N75" i="26"/>
  <c r="AC96" i="26"/>
  <c r="AE71" i="26"/>
  <c r="AN63" i="26"/>
  <c r="AD20" i="26"/>
  <c r="AA88" i="26"/>
  <c r="N76" i="26"/>
  <c r="AF29" i="26"/>
  <c r="AN64" i="26"/>
  <c r="AD106" i="26"/>
  <c r="AE107" i="26"/>
  <c r="N98" i="26"/>
  <c r="AN76" i="26"/>
  <c r="AE102" i="26"/>
  <c r="L48" i="26"/>
  <c r="AO89" i="26"/>
  <c r="AD84" i="26"/>
  <c r="AN53" i="26"/>
  <c r="AD21" i="26"/>
  <c r="AC52" i="26"/>
  <c r="AC74" i="26"/>
  <c r="AB54" i="26"/>
  <c r="AC101" i="26"/>
  <c r="L77" i="26"/>
  <c r="AO50" i="26"/>
  <c r="AA80" i="26"/>
  <c r="AN39" i="26"/>
  <c r="AC90" i="26"/>
  <c r="AE77" i="26"/>
  <c r="AF103" i="26"/>
  <c r="AF25" i="26"/>
  <c r="AD40" i="26"/>
  <c r="AA95" i="26"/>
  <c r="AE65" i="26"/>
  <c r="AO44" i="26"/>
  <c r="AA55" i="26"/>
  <c r="AC73" i="26"/>
  <c r="L106" i="26"/>
  <c r="AA25" i="26"/>
  <c r="AO43" i="26"/>
  <c r="AF21" i="26"/>
  <c r="AC43" i="26"/>
  <c r="AF72" i="26"/>
  <c r="AE25" i="26"/>
  <c r="AD81" i="26"/>
  <c r="AN100" i="26"/>
  <c r="AE96" i="26"/>
  <c r="N97" i="26"/>
  <c r="N88" i="26"/>
  <c r="AD88" i="26"/>
  <c r="M67" i="26"/>
  <c r="AA65" i="26"/>
  <c r="AF64" i="26"/>
  <c r="AN85" i="26"/>
  <c r="M108" i="26"/>
  <c r="AF44" i="26"/>
  <c r="L59" i="26"/>
  <c r="AB33" i="26"/>
  <c r="AD38" i="26"/>
  <c r="N61" i="26"/>
  <c r="AF46" i="26"/>
  <c r="M107" i="26"/>
  <c r="AE46" i="26"/>
  <c r="AD42" i="26"/>
  <c r="AN67" i="26"/>
  <c r="AC67" i="26"/>
  <c r="N66" i="26"/>
  <c r="M42" i="26"/>
  <c r="AD58" i="26"/>
  <c r="L22" i="26"/>
  <c r="AC97" i="26"/>
  <c r="AD23" i="26"/>
  <c r="AA20" i="26"/>
  <c r="AC84" i="26"/>
  <c r="AC81" i="26"/>
  <c r="AO27" i="26"/>
  <c r="M50" i="26"/>
  <c r="L42" i="26"/>
  <c r="M62" i="26"/>
  <c r="AB57" i="26"/>
  <c r="AO22" i="26"/>
  <c r="AE66" i="26"/>
  <c r="AB85" i="26"/>
  <c r="AC102" i="26"/>
  <c r="AE97" i="26"/>
  <c r="AE88" i="26"/>
  <c r="O25" i="26"/>
  <c r="AE105" i="26"/>
  <c r="N77" i="26"/>
  <c r="AD44" i="26"/>
  <c r="AC77" i="26"/>
  <c r="M41" i="26"/>
  <c r="AD28" i="26"/>
  <c r="AF47" i="26"/>
  <c r="AO96" i="26"/>
  <c r="AE73" i="26"/>
  <c r="AF75" i="26"/>
  <c r="AF52" i="26"/>
  <c r="M83" i="26"/>
  <c r="AF77" i="26"/>
  <c r="N71" i="26"/>
  <c r="M89" i="26"/>
  <c r="AB45" i="26"/>
  <c r="AO83" i="26"/>
  <c r="AF109" i="26"/>
  <c r="AA96" i="26"/>
  <c r="AB31" i="26"/>
  <c r="M47" i="26"/>
  <c r="L97" i="26"/>
  <c r="AN92" i="26"/>
  <c r="AN81" i="26"/>
  <c r="AF69" i="26"/>
  <c r="AN79" i="26"/>
  <c r="N42" i="26"/>
  <c r="AC107" i="26"/>
  <c r="L99" i="26"/>
  <c r="AB63" i="26"/>
  <c r="AF57" i="26"/>
  <c r="N100" i="26"/>
  <c r="AO76" i="26"/>
  <c r="N105" i="26"/>
  <c r="L91" i="26"/>
  <c r="AA47" i="26"/>
  <c r="AC30" i="26"/>
  <c r="AN102" i="26"/>
  <c r="AC91" i="26"/>
  <c r="L79" i="26"/>
  <c r="AE57" i="26"/>
  <c r="M90" i="26"/>
  <c r="AO107" i="26"/>
  <c r="M49" i="26"/>
  <c r="AD85" i="26"/>
  <c r="M66" i="26"/>
  <c r="N91" i="26"/>
  <c r="AO64" i="26"/>
  <c r="AD79" i="26"/>
  <c r="AO55" i="26"/>
  <c r="L40" i="26"/>
  <c r="AF39" i="26"/>
  <c r="AC31" i="26"/>
  <c r="AN62" i="26"/>
  <c r="N106" i="26"/>
  <c r="AB26" i="26"/>
  <c r="AB94" i="26"/>
  <c r="AA83" i="26"/>
  <c r="L39" i="26"/>
  <c r="AC105" i="26"/>
  <c r="AN33" i="26"/>
  <c r="O22" i="26"/>
  <c r="AN50" i="26"/>
  <c r="AD65" i="26"/>
  <c r="AF92" i="26"/>
  <c r="AA43" i="26"/>
  <c r="AA41" i="26"/>
  <c r="AO93" i="26"/>
  <c r="AO57" i="26"/>
  <c r="AO31" i="26"/>
  <c r="AO59" i="26"/>
  <c r="L46" i="26"/>
  <c r="M65" i="26"/>
  <c r="AO84" i="26"/>
  <c r="AC106" i="26"/>
  <c r="AN68" i="26"/>
  <c r="M82" i="26"/>
  <c r="AB74" i="26"/>
  <c r="AE58" i="26"/>
  <c r="AE83" i="26"/>
  <c r="AN108" i="26"/>
  <c r="AC92" i="26"/>
  <c r="AB86" i="26"/>
  <c r="AN107" i="26"/>
  <c r="AB56" i="26"/>
  <c r="AD24" i="26"/>
  <c r="N107" i="26"/>
  <c r="AE106" i="26"/>
  <c r="L43" i="26"/>
  <c r="AF93" i="26"/>
  <c r="L50" i="26"/>
  <c r="AB46" i="26"/>
  <c r="AA67" i="26"/>
  <c r="AB20" i="26"/>
  <c r="AN86" i="26"/>
  <c r="AE67" i="26"/>
  <c r="AA106" i="26"/>
  <c r="N96" i="26"/>
  <c r="M59" i="26"/>
  <c r="AE75" i="26"/>
  <c r="AA60" i="26"/>
  <c r="AA45" i="26"/>
  <c r="M76" i="26"/>
  <c r="AB55" i="26"/>
  <c r="AO71" i="26"/>
  <c r="N52" i="26"/>
  <c r="AN25" i="26"/>
  <c r="AN89" i="26"/>
  <c r="AO52" i="26"/>
  <c r="AC39" i="26"/>
  <c r="AF98" i="26"/>
  <c r="P21" i="26"/>
  <c r="AO53" i="26"/>
  <c r="L103" i="26"/>
  <c r="AB98" i="26"/>
  <c r="AA109" i="26"/>
  <c r="AA42" i="26"/>
  <c r="AO38" i="26"/>
  <c r="AC24" i="26"/>
  <c r="AB89" i="26"/>
  <c r="AF94" i="26"/>
  <c r="N30" i="26"/>
  <c r="L87" i="26"/>
  <c r="N72" i="26"/>
  <c r="AC75" i="26"/>
  <c r="AA76" i="26"/>
  <c r="AO69" i="26"/>
  <c r="AD48" i="26"/>
  <c r="AC25" i="26"/>
  <c r="N49" i="26"/>
  <c r="L60" i="26"/>
  <c r="AD89" i="26"/>
  <c r="L20" i="26"/>
  <c r="O20" i="26"/>
  <c r="AE51" i="26"/>
  <c r="AB22" i="26"/>
  <c r="AF48" i="26"/>
  <c r="AB90" i="26"/>
  <c r="AA98" i="26"/>
  <c r="AE27" i="26"/>
  <c r="AA40" i="26"/>
  <c r="AN31" i="26"/>
  <c r="AD101" i="26"/>
  <c r="AE79" i="26"/>
  <c r="N92" i="26"/>
  <c r="AF70" i="26"/>
  <c r="L109" i="26"/>
  <c r="N22" i="26"/>
  <c r="AD99" i="26"/>
  <c r="AO21" i="26"/>
  <c r="AA22" i="26"/>
  <c r="N110" i="26"/>
  <c r="AB72" i="26"/>
  <c r="AC82" i="26"/>
  <c r="AN109" i="26"/>
  <c r="AC57" i="26"/>
  <c r="AA82" i="26"/>
  <c r="AE80" i="26"/>
  <c r="AF31" i="26"/>
  <c r="AO48" i="26"/>
  <c r="AE47" i="26"/>
  <c r="N23" i="26"/>
  <c r="AC60" i="26"/>
  <c r="AO106" i="26"/>
  <c r="AC66" i="26"/>
  <c r="AD77" i="26"/>
  <c r="L74" i="26"/>
  <c r="AA105" i="26"/>
  <c r="N94" i="26"/>
  <c r="AD74" i="26"/>
  <c r="L62" i="26"/>
  <c r="AA93" i="26"/>
  <c r="L78" i="26"/>
  <c r="M77" i="26"/>
  <c r="AC109" i="26"/>
  <c r="AO30" i="26"/>
  <c r="AE36" i="26"/>
  <c r="AF58" i="26"/>
  <c r="AC98" i="26"/>
  <c r="AB87" i="26"/>
  <c r="AO45" i="26"/>
  <c r="AO68" i="26"/>
  <c r="AC44" i="26"/>
  <c r="L105" i="26"/>
  <c r="AE74" i="26"/>
  <c r="AB88" i="26"/>
  <c r="AE62" i="26"/>
  <c r="AF110" i="26"/>
  <c r="AF50" i="26"/>
  <c r="N40" i="26"/>
  <c r="AD51" i="26"/>
  <c r="AB49" i="26"/>
  <c r="N26" i="26"/>
  <c r="AC51" i="26"/>
  <c r="L101" i="26"/>
  <c r="AN41" i="26"/>
  <c r="AA70" i="26"/>
  <c r="AC33" i="26"/>
  <c r="N104" i="26"/>
  <c r="AC56" i="26"/>
  <c r="AB108" i="26"/>
  <c r="AA61" i="26"/>
  <c r="AO24" i="26"/>
  <c r="AO82" i="26"/>
  <c r="M26" i="26"/>
  <c r="AF41" i="26"/>
  <c r="AB71" i="26"/>
  <c r="AA104" i="26"/>
  <c r="AC47" i="26"/>
  <c r="AE52" i="26"/>
  <c r="AC49" i="26"/>
  <c r="AD55" i="26"/>
  <c r="M68" i="26"/>
  <c r="AA99" i="26"/>
  <c r="N54" i="26"/>
  <c r="M100" i="26"/>
  <c r="AC26" i="26"/>
  <c r="AD72" i="26"/>
  <c r="N93" i="26"/>
  <c r="M61" i="26"/>
  <c r="AB70" i="26"/>
  <c r="AE48" i="26"/>
  <c r="AF100" i="26"/>
  <c r="AF105" i="26"/>
  <c r="AA64" i="26"/>
  <c r="AN23" i="26"/>
  <c r="AD108" i="26"/>
  <c r="AB96" i="26"/>
  <c r="AE30" i="26"/>
  <c r="L72" i="26"/>
  <c r="AF90" i="26"/>
  <c r="AE89" i="26"/>
  <c r="AO60" i="26"/>
  <c r="AO70" i="26"/>
  <c r="AN51" i="26"/>
  <c r="AC85" i="26"/>
  <c r="AO62" i="26"/>
  <c r="M71" i="26"/>
  <c r="AE64" i="26"/>
  <c r="AB29" i="26"/>
  <c r="AO80" i="26"/>
  <c r="AF61" i="26"/>
  <c r="AN74" i="26"/>
  <c r="N59" i="26"/>
  <c r="AB50" i="26"/>
  <c r="AC46" i="26"/>
  <c r="AE23" i="26"/>
  <c r="AF87" i="26"/>
  <c r="AN83" i="26"/>
  <c r="AA68" i="26"/>
  <c r="AO51" i="26"/>
  <c r="O28" i="26"/>
  <c r="AD92" i="26"/>
  <c r="AA85" i="26"/>
  <c r="AD76" i="26"/>
  <c r="N63" i="26"/>
  <c r="AC28" i="26"/>
  <c r="AO110" i="26"/>
  <c r="AO105" i="26"/>
  <c r="AD103" i="26"/>
  <c r="AD71" i="26"/>
  <c r="N25" i="26"/>
  <c r="AN22" i="26"/>
  <c r="AE44" i="26"/>
  <c r="AD70" i="26"/>
  <c r="L70" i="26"/>
  <c r="AB93" i="26"/>
  <c r="AF81" i="26"/>
  <c r="AB81" i="26"/>
  <c r="AA59" i="26"/>
  <c r="AF74" i="26"/>
  <c r="N73" i="26"/>
  <c r="AA27" i="26"/>
  <c r="M64" i="26"/>
  <c r="AC71" i="26"/>
  <c r="AC68" i="26"/>
  <c r="AE72" i="26"/>
  <c r="AN94" i="26"/>
  <c r="AO46" i="26"/>
  <c r="M86" i="26"/>
  <c r="AB66" i="26"/>
  <c r="L66" i="26"/>
  <c r="AO66" i="26"/>
  <c r="AD105" i="26"/>
  <c r="AC58" i="26"/>
  <c r="AD54" i="26"/>
  <c r="M29" i="26"/>
  <c r="M75" i="26"/>
  <c r="N43" i="26"/>
  <c r="AD110" i="26"/>
  <c r="AE76" i="26"/>
  <c r="AB28" i="26"/>
  <c r="M88" i="26"/>
  <c r="AN27" i="26"/>
  <c r="AA58" i="26"/>
  <c r="N51" i="26"/>
  <c r="AN55" i="26"/>
  <c r="N82" i="26"/>
  <c r="AC103" i="26"/>
  <c r="L58" i="26"/>
  <c r="AE50" i="26"/>
  <c r="AD90" i="26"/>
  <c r="N79" i="26"/>
  <c r="AB36" i="26"/>
  <c r="AC89" i="26"/>
  <c r="AC93" i="26"/>
  <c r="N47" i="26"/>
  <c r="L98" i="26"/>
  <c r="N29" i="26"/>
  <c r="AB58" i="26"/>
  <c r="L88" i="26"/>
  <c r="AD50" i="26"/>
  <c r="AD22" i="26"/>
  <c r="AN38" i="26"/>
  <c r="M56" i="26"/>
  <c r="AE110" i="26"/>
  <c r="AB27" i="26"/>
  <c r="M57" i="26"/>
  <c r="AB104" i="26"/>
  <c r="M104" i="26"/>
  <c r="AN48" i="26"/>
  <c r="AF59" i="26"/>
  <c r="N20" i="26"/>
  <c r="M105" i="26"/>
  <c r="AD87" i="26"/>
  <c r="AD27" i="26"/>
  <c r="AD75" i="26"/>
  <c r="AD104" i="26"/>
  <c r="M91" i="26"/>
  <c r="AN110" i="26"/>
  <c r="AE21" i="26"/>
  <c r="AA74" i="26"/>
  <c r="AA110" i="26"/>
  <c r="AF40" i="26"/>
  <c r="AD83" i="26"/>
  <c r="AO39" i="26"/>
  <c r="L57" i="26"/>
  <c r="AF53" i="26"/>
  <c r="M60" i="26"/>
  <c r="AA84" i="26"/>
  <c r="AN54" i="26"/>
  <c r="N103" i="26"/>
  <c r="AE43" i="26"/>
  <c r="AE56" i="26"/>
  <c r="N85" i="26"/>
  <c r="M79" i="26"/>
  <c r="AA102" i="26"/>
  <c r="N41" i="26"/>
  <c r="AA52" i="26"/>
  <c r="AA91" i="26"/>
  <c r="AB59" i="26"/>
  <c r="AD86" i="26"/>
  <c r="AB107" i="26"/>
  <c r="AB39" i="26"/>
  <c r="AN101" i="26"/>
  <c r="AD67" i="26"/>
  <c r="L63" i="26"/>
  <c r="AO90" i="26"/>
  <c r="AN84" i="26"/>
  <c r="AA75" i="26"/>
  <c r="AB43" i="26"/>
  <c r="AA87" i="26"/>
  <c r="AN88" i="26"/>
  <c r="AN47" i="26"/>
  <c r="O21" i="26"/>
  <c r="AB78" i="26"/>
  <c r="N108" i="26"/>
  <c r="L80" i="26"/>
  <c r="N53" i="26"/>
  <c r="L67" i="26"/>
  <c r="AB102" i="26"/>
  <c r="L53" i="26"/>
  <c r="AO103" i="26"/>
  <c r="M73" i="26"/>
  <c r="AN98" i="26"/>
  <c r="AA38" i="26"/>
  <c r="AC62" i="26"/>
  <c r="AD69" i="26"/>
  <c r="L108" i="26"/>
  <c r="AC79" i="26"/>
  <c r="AE95" i="26"/>
  <c r="AC76" i="26"/>
  <c r="AB44" i="26"/>
  <c r="M27" i="26"/>
  <c r="AB48" i="26"/>
  <c r="AD93" i="26"/>
  <c r="AF55" i="26"/>
  <c r="AO104" i="26"/>
  <c r="AC29" i="26"/>
  <c r="AB80" i="26"/>
  <c r="AE84" i="26"/>
  <c r="M97" i="26"/>
  <c r="AD100" i="26"/>
  <c r="AC20" i="26"/>
  <c r="AF107" i="26"/>
  <c r="AO102" i="26"/>
  <c r="M85" i="26"/>
  <c r="AE59" i="26"/>
  <c r="AO75" i="26"/>
  <c r="AE39" i="26"/>
  <c r="L24" i="26"/>
  <c r="M54" i="26"/>
  <c r="AD95" i="26"/>
  <c r="L90" i="26"/>
  <c r="AF28" i="26"/>
  <c r="AB60" i="26"/>
  <c r="N44" i="26"/>
  <c r="O31" i="26"/>
  <c r="L27" i="26"/>
  <c r="AD41" i="26"/>
  <c r="AE92" i="26"/>
  <c r="AD52" i="26"/>
  <c r="AA89" i="26"/>
  <c r="AO36" i="26"/>
  <c r="AE90" i="26"/>
  <c r="AF62" i="26"/>
  <c r="N56" i="26"/>
  <c r="L93" i="26"/>
  <c r="AA79" i="26"/>
  <c r="AB64" i="26"/>
  <c r="AD49" i="26"/>
  <c r="AE78" i="26"/>
  <c r="AO20" i="26"/>
  <c r="AE98" i="26"/>
  <c r="AF26" i="26"/>
  <c r="AA30" i="26"/>
  <c r="AF20" i="26"/>
  <c r="AC27" i="26"/>
  <c r="N28" i="26"/>
  <c r="AF76" i="26"/>
  <c r="AA62" i="26"/>
  <c r="AF84" i="26"/>
  <c r="N48" i="26"/>
  <c r="AN71" i="26"/>
  <c r="L84" i="26"/>
  <c r="AN97" i="26"/>
  <c r="AF24" i="26"/>
  <c r="L102" i="26"/>
  <c r="N101" i="26"/>
  <c r="N109" i="26"/>
  <c r="AE103" i="26"/>
  <c r="N80" i="26"/>
  <c r="AC41" i="26"/>
  <c r="AF85" i="26"/>
  <c r="AC40" i="26"/>
  <c r="L110" i="26"/>
  <c r="AF97" i="26"/>
  <c r="AN69" i="26"/>
  <c r="AF96" i="26"/>
  <c r="N78" i="26"/>
  <c r="AF89" i="26"/>
  <c r="AN30" i="26"/>
  <c r="L21" i="26"/>
  <c r="AA53" i="26"/>
  <c r="AC23" i="26"/>
  <c r="M101" i="26"/>
  <c r="AN93" i="26"/>
  <c r="AE101" i="26"/>
  <c r="AA31" i="26"/>
  <c r="L82" i="26"/>
  <c r="M93" i="26"/>
  <c r="AO78" i="26"/>
  <c r="AE87" i="26"/>
  <c r="AN42" i="26"/>
  <c r="M94" i="26"/>
  <c r="AN44" i="26"/>
  <c r="AN57" i="26"/>
  <c r="AA92" i="26"/>
  <c r="AC83" i="26"/>
  <c r="L61" i="26"/>
  <c r="M20" i="26"/>
  <c r="AD66" i="26"/>
  <c r="AD29" i="26"/>
  <c r="AO98" i="26"/>
  <c r="N69" i="26"/>
  <c r="AO100" i="26"/>
  <c r="AD30" i="26"/>
  <c r="AC53" i="26"/>
  <c r="AN66" i="26"/>
  <c r="AC61" i="26"/>
  <c r="AC70" i="26"/>
  <c r="AO49" i="26"/>
  <c r="AF108" i="26"/>
  <c r="AF38" i="26"/>
  <c r="AN58" i="26"/>
  <c r="N87" i="26"/>
  <c r="AO85" i="26"/>
  <c r="M63" i="26"/>
  <c r="L36" i="26"/>
  <c r="M84" i="26"/>
  <c r="AA23" i="26"/>
  <c r="AO63" i="26"/>
  <c r="N83" i="26"/>
  <c r="AE31" i="26"/>
  <c r="AA44" i="26"/>
  <c r="AD61" i="26"/>
  <c r="AB67" i="26"/>
  <c r="L100" i="26"/>
  <c r="AB69" i="26"/>
  <c r="AD98" i="26"/>
  <c r="AE28" i="26"/>
  <c r="L31" i="26"/>
  <c r="AC42" i="26"/>
  <c r="AC99" i="26"/>
  <c r="AB23" i="26"/>
  <c r="AB75" i="26"/>
  <c r="AN45" i="26"/>
  <c r="N31" i="26"/>
  <c r="AD59" i="26"/>
  <c r="AF45" i="26"/>
  <c r="AB109" i="26"/>
  <c r="AF23" i="26"/>
  <c r="AE100" i="26"/>
  <c r="AB73" i="26"/>
  <c r="AO101" i="26"/>
  <c r="AF30" i="26"/>
  <c r="AD96" i="26"/>
  <c r="AO58" i="26"/>
  <c r="AA26" i="26"/>
  <c r="AB106" i="26"/>
  <c r="AB82" i="26"/>
  <c r="AA57" i="26"/>
  <c r="AD47" i="26"/>
  <c r="AD46" i="26"/>
  <c r="M96" i="26"/>
  <c r="L52" i="26"/>
  <c r="AO72" i="26"/>
  <c r="L30" i="26"/>
  <c r="AO56" i="26"/>
  <c r="AD25" i="26"/>
  <c r="N74" i="26"/>
  <c r="AA77" i="26"/>
  <c r="AA24" i="26"/>
  <c r="AA72" i="26"/>
  <c r="AC22" i="26"/>
  <c r="AE41" i="26"/>
  <c r="M80" i="26"/>
  <c r="AE85" i="26"/>
  <c r="AN104" i="26"/>
  <c r="M21" i="26"/>
  <c r="L65" i="26"/>
  <c r="AB77" i="26"/>
  <c r="AF88" i="26"/>
  <c r="M40" i="26"/>
  <c r="AC87" i="26"/>
  <c r="AO73" i="26"/>
  <c r="L56" i="26"/>
  <c r="AE86" i="26"/>
  <c r="AB61" i="26"/>
  <c r="AO61" i="26"/>
  <c r="AA50" i="26"/>
  <c r="P22" i="26"/>
  <c r="M103" i="26"/>
  <c r="AD80" i="26"/>
  <c r="L95" i="26"/>
  <c r="AD64" i="26"/>
  <c r="AB62" i="26"/>
  <c r="M51" i="26"/>
  <c r="AB91" i="26"/>
  <c r="AO41" i="26"/>
  <c r="AO47" i="26"/>
  <c r="AN103" i="26"/>
  <c r="AO25" i="26"/>
  <c r="M44" i="26"/>
  <c r="L85" i="26"/>
  <c r="AO77" i="26"/>
  <c r="AB41" i="26"/>
  <c r="N58" i="26"/>
  <c r="AE22" i="26"/>
  <c r="AC95" i="26"/>
  <c r="AE55" i="26"/>
  <c r="N102" i="26"/>
  <c r="AD39" i="26"/>
  <c r="AF71" i="26"/>
  <c r="AE20" i="26"/>
  <c r="L104" i="26"/>
  <c r="AN73" i="26"/>
  <c r="AF83" i="26"/>
  <c r="AB79" i="26"/>
  <c r="L51" i="26"/>
  <c r="AB76" i="26"/>
  <c r="AC55" i="26"/>
  <c r="AF80" i="26"/>
  <c r="AB53" i="26"/>
  <c r="AA108" i="26"/>
  <c r="AD63" i="26"/>
  <c r="M52" i="26"/>
  <c r="AA86" i="26"/>
  <c r="N45" i="26"/>
  <c r="AE108" i="26"/>
  <c r="AO33" i="26"/>
  <c r="AF65" i="26"/>
  <c r="N21" i="26"/>
  <c r="AA29" i="26"/>
  <c r="AA63" i="26"/>
  <c r="AB30" i="26"/>
  <c r="AE33" i="26"/>
  <c r="L23" i="26"/>
  <c r="AC54" i="26"/>
  <c r="N24" i="26"/>
  <c r="AE104" i="26"/>
  <c r="AN24" i="26"/>
  <c r="AF63" i="26"/>
  <c r="AD33" i="26"/>
  <c r="AA73" i="26"/>
  <c r="L83" i="26"/>
  <c r="N89" i="26"/>
  <c r="L96" i="26"/>
  <c r="AD82" i="26"/>
  <c r="M28" i="26"/>
  <c r="AB84" i="26"/>
  <c r="AA81" i="26"/>
  <c r="L107" i="26"/>
  <c r="AO65" i="26"/>
  <c r="N84" i="26"/>
  <c r="AB51" i="26"/>
  <c r="AD56" i="26"/>
  <c r="AF22" i="26"/>
  <c r="AO109" i="26"/>
  <c r="AN75" i="26"/>
  <c r="AF68" i="26"/>
  <c r="AO99" i="26"/>
  <c r="L55" i="26"/>
  <c r="AE70" i="26"/>
  <c r="AO81" i="26"/>
  <c r="M69" i="26"/>
  <c r="M22" i="26"/>
  <c r="AA66" i="26"/>
  <c r="AC94" i="26"/>
  <c r="L81" i="26"/>
  <c r="M30" i="26"/>
  <c r="AB25" i="26"/>
  <c r="L86" i="26"/>
  <c r="AA69" i="26"/>
  <c r="M23" i="26"/>
  <c r="AB103" i="26"/>
  <c r="M99" i="26"/>
  <c r="N70" i="26"/>
  <c r="N55" i="26"/>
  <c r="M46" i="26"/>
  <c r="AN72" i="26"/>
  <c r="L25" i="26"/>
  <c r="AB95" i="26"/>
  <c r="AB101" i="26"/>
  <c r="AN20" i="26"/>
  <c r="AC108" i="26"/>
  <c r="AN46" i="26"/>
  <c r="AF95" i="26"/>
  <c r="AE99" i="26"/>
  <c r="AD53" i="26"/>
  <c r="AO74" i="26"/>
  <c r="AF106" i="26"/>
  <c r="M78" i="26"/>
  <c r="AE26" i="26"/>
  <c r="AC104" i="26"/>
  <c r="AA48" i="26"/>
  <c r="M70" i="26"/>
  <c r="AN70" i="26"/>
  <c r="AF73" i="26"/>
  <c r="AN40" i="26"/>
  <c r="AC100" i="26"/>
  <c r="AN77" i="26"/>
  <c r="AC86" i="26"/>
  <c r="AA107" i="26"/>
  <c r="AD97" i="26"/>
  <c r="AD57" i="26"/>
  <c r="AD36" i="26"/>
  <c r="AO23" i="26"/>
  <c r="AO88" i="26"/>
  <c r="L41" i="26"/>
  <c r="AB38" i="26"/>
  <c r="AN49" i="26"/>
  <c r="M87" i="26"/>
  <c r="M106" i="26"/>
  <c r="AA46" i="26"/>
  <c r="AF42" i="26"/>
  <c r="AE42" i="26"/>
  <c r="AB42" i="26"/>
  <c r="AC50" i="26"/>
  <c r="AD62" i="26"/>
  <c r="AN60" i="26"/>
  <c r="AA51" i="26"/>
  <c r="AN91" i="26"/>
  <c r="AE53" i="26"/>
  <c r="AB83" i="26"/>
  <c r="AN96" i="26"/>
  <c r="AN78" i="26"/>
  <c r="AB100" i="26"/>
  <c r="N68" i="26"/>
  <c r="M95" i="26"/>
  <c r="AC69" i="26"/>
  <c r="AN106" i="26"/>
  <c r="AA28" i="26"/>
  <c r="AA56" i="26"/>
  <c r="L92" i="26"/>
  <c r="AB65" i="26"/>
  <c r="M53" i="26"/>
  <c r="AD31" i="26"/>
  <c r="L33" i="26"/>
  <c r="AO94" i="26"/>
  <c r="L64" i="26"/>
  <c r="AD68" i="26"/>
  <c r="AO91" i="26"/>
  <c r="AA39" i="26"/>
  <c r="M92" i="26"/>
  <c r="AE93" i="26"/>
  <c r="L75" i="26"/>
  <c r="L68" i="26"/>
  <c r="AE49" i="26"/>
  <c r="M43" i="26"/>
  <c r="AB47" i="26"/>
  <c r="AE61" i="26"/>
  <c r="L45" i="26"/>
  <c r="AN52" i="26"/>
  <c r="AC38" i="26"/>
  <c r="L76" i="26"/>
  <c r="M45" i="26"/>
  <c r="AF86" i="26"/>
  <c r="AD107" i="26"/>
  <c r="AN43" i="26"/>
  <c r="L47" i="26"/>
  <c r="AB68" i="26"/>
  <c r="AO108" i="26"/>
  <c r="AO40" i="26"/>
  <c r="AD43" i="26"/>
  <c r="AN105" i="26"/>
  <c r="P20" i="26"/>
  <c r="AA94" i="26"/>
  <c r="M72" i="26"/>
  <c r="AO86" i="26"/>
  <c r="AF51" i="26"/>
  <c r="AE29" i="26"/>
  <c r="AF79" i="26"/>
  <c r="AC80" i="26"/>
  <c r="AE54" i="26"/>
  <c r="N64" i="26"/>
  <c r="AC21" i="26"/>
  <c r="AN87" i="26"/>
  <c r="AA97" i="26"/>
  <c r="AA49" i="26"/>
  <c r="AE109" i="26"/>
  <c r="AE94" i="26"/>
  <c r="N95" i="26"/>
  <c r="L49" i="26"/>
  <c r="AC45" i="26"/>
  <c r="AB40" i="26"/>
  <c r="AC63" i="26"/>
  <c r="AF91" i="26"/>
  <c r="AA90" i="26"/>
  <c r="AC110" i="26"/>
  <c r="AC64" i="26"/>
  <c r="AN80" i="26"/>
  <c r="AF104" i="26"/>
  <c r="M81" i="26"/>
  <c r="AF54" i="26"/>
  <c r="L89" i="26"/>
  <c r="AD73" i="26"/>
  <c r="AA33" i="26"/>
  <c r="M25" i="26"/>
  <c r="AN90" i="26"/>
  <c r="AN65" i="26"/>
  <c r="N50" i="26"/>
  <c r="N65" i="26"/>
  <c r="AO95" i="26"/>
  <c r="AD94" i="26"/>
  <c r="M102" i="26"/>
  <c r="AB92" i="26"/>
  <c r="AF82" i="26"/>
  <c r="AF67" i="26"/>
  <c r="N46" i="26"/>
  <c r="AF36" i="26"/>
  <c r="AA21" i="26"/>
  <c r="AN99" i="26"/>
  <c r="AF43" i="26"/>
  <c r="AO42" i="26"/>
  <c r="AF27" i="26"/>
  <c r="AO92" i="26"/>
  <c r="AF66" i="26"/>
  <c r="AB105" i="26"/>
  <c r="AD109" i="26"/>
  <c r="AE81" i="26"/>
  <c r="M55" i="26"/>
  <c r="AC65" i="26"/>
  <c r="AO79" i="26"/>
  <c r="AE38" i="26"/>
  <c r="L71" i="26"/>
  <c r="N57" i="26"/>
  <c r="AE63" i="26"/>
  <c r="N67" i="26"/>
  <c r="AE68" i="26"/>
  <c r="N27" i="26"/>
  <c r="M58" i="26"/>
  <c r="AA78" i="26"/>
  <c r="AD102" i="26"/>
  <c r="M24" i="26"/>
  <c r="AO87" i="26"/>
  <c r="AB24" i="26"/>
  <c r="AN59" i="26"/>
  <c r="AA54" i="26"/>
  <c r="AE24" i="26"/>
  <c r="AN36" i="26"/>
  <c r="AB97" i="26"/>
  <c r="AE40" i="26"/>
  <c r="AF78" i="26"/>
  <c r="AF33" i="26"/>
  <c r="AC59" i="26"/>
  <c r="AN82" i="26"/>
  <c r="AB110" i="26"/>
  <c r="AB52" i="26"/>
  <c r="AA101" i="26"/>
  <c r="AF101" i="26"/>
  <c r="AC48" i="26"/>
  <c r="M74" i="26"/>
  <c r="M109" i="26"/>
  <c r="AC88" i="26"/>
  <c r="AC72" i="26"/>
  <c r="AB99" i="26"/>
  <c r="AB21" i="26"/>
  <c r="AA71" i="26"/>
  <c r="AN21" i="26"/>
  <c r="AF60" i="26"/>
  <c r="M110" i="26"/>
  <c r="AO67" i="26"/>
  <c r="M98" i="26"/>
  <c r="N86" i="26"/>
  <c r="AD91" i="26"/>
  <c r="AF49" i="26"/>
  <c r="AN56" i="26"/>
  <c r="AF102" i="26"/>
  <c r="AA36" i="26"/>
  <c r="AN95" i="26"/>
  <c r="AC36" i="26"/>
  <c r="N99" i="26"/>
  <c r="AF56" i="26"/>
  <c r="L54" i="26"/>
  <c r="AD78" i="26"/>
  <c r="L69" i="26"/>
  <c r="N81" i="26"/>
  <c r="AE69" i="26"/>
  <c r="AE45" i="26"/>
  <c r="AO54" i="26"/>
  <c r="AD26" i="26"/>
  <c r="M48" i="26"/>
  <c r="AA103" i="26"/>
  <c r="AE60" i="26"/>
  <c r="AF99" i="26"/>
  <c r="L94" i="26"/>
  <c r="L73" i="26"/>
  <c r="L44" i="26"/>
  <c r="AD60" i="26"/>
  <c r="N62" i="26"/>
  <c r="AA100" i="26"/>
  <c r="AE91" i="26"/>
  <c r="M31" i="26"/>
  <c r="AE82" i="26"/>
  <c r="R82" i="26" l="1"/>
  <c r="S82" i="26" s="1"/>
  <c r="AK102" i="26"/>
  <c r="R96" i="26"/>
  <c r="S96" i="26" s="1"/>
  <c r="R56" i="26"/>
  <c r="S56" i="26" s="1"/>
  <c r="R39" i="26"/>
  <c r="AH39" i="26" s="1"/>
  <c r="AJ52" i="26"/>
  <c r="AK52" i="26"/>
  <c r="AA19" i="26"/>
  <c r="AI90" i="26"/>
  <c r="AK78" i="26"/>
  <c r="AK69" i="26"/>
  <c r="AJ100" i="26"/>
  <c r="AI95" i="26"/>
  <c r="AH28" i="26"/>
  <c r="AJ29" i="26"/>
  <c r="AK57" i="26"/>
  <c r="R66" i="26"/>
  <c r="AG66" i="26" s="1"/>
  <c r="AK43" i="26"/>
  <c r="AJ72" i="26"/>
  <c r="R55" i="26"/>
  <c r="AH55" i="26" s="1"/>
  <c r="AC19" i="26"/>
  <c r="AI93" i="26"/>
  <c r="AH38" i="26"/>
  <c r="AK104" i="26"/>
  <c r="AJ82" i="26"/>
  <c r="AK109" i="26"/>
  <c r="AK36" i="26"/>
  <c r="AK61" i="26"/>
  <c r="R81" i="26"/>
  <c r="AH81" i="26" s="1"/>
  <c r="AJ69" i="26"/>
  <c r="AI109" i="26"/>
  <c r="AI23" i="26"/>
  <c r="AJ50" i="26"/>
  <c r="AI105" i="26"/>
  <c r="AK58" i="26"/>
  <c r="AI100" i="26"/>
  <c r="R61" i="26"/>
  <c r="S61" i="26" s="1"/>
  <c r="AK95" i="26"/>
  <c r="AI85" i="26"/>
  <c r="AK70" i="26"/>
  <c r="AI46" i="26"/>
  <c r="AK106" i="26"/>
  <c r="R95" i="26"/>
  <c r="S95" i="26" s="1"/>
  <c r="AK80" i="26"/>
  <c r="AK29" i="26"/>
  <c r="R104" i="26"/>
  <c r="S104" i="26" s="1"/>
  <c r="AJ103" i="26"/>
  <c r="AJ43" i="26"/>
  <c r="AJ101" i="26"/>
  <c r="AG38" i="26"/>
  <c r="AJ70" i="26"/>
  <c r="AK24" i="26"/>
  <c r="AK84" i="26"/>
  <c r="AJ21" i="26"/>
  <c r="R97" i="26"/>
  <c r="S97" i="26" s="1"/>
  <c r="AJ84" i="26"/>
  <c r="D38" i="26"/>
  <c r="R100" i="26"/>
  <c r="S100" i="26" s="1"/>
  <c r="AF19" i="26"/>
  <c r="AK20" i="26"/>
  <c r="AI96" i="26"/>
  <c r="AK53" i="26"/>
  <c r="R58" i="26"/>
  <c r="AH58" i="26" s="1"/>
  <c r="AK74" i="26"/>
  <c r="R106" i="26"/>
  <c r="AH106" i="26" s="1"/>
  <c r="AJ36" i="26"/>
  <c r="AI28" i="26"/>
  <c r="AI92" i="26"/>
  <c r="R76" i="26"/>
  <c r="AG76" i="26" s="1"/>
  <c r="AK81" i="26"/>
  <c r="AI51" i="26"/>
  <c r="AJ80" i="26"/>
  <c r="AJ62" i="26"/>
  <c r="AJ20" i="26"/>
  <c r="AE19" i="26"/>
  <c r="AJ79" i="26"/>
  <c r="AI88" i="26"/>
  <c r="AI79" i="26"/>
  <c r="AG29" i="26"/>
  <c r="AK87" i="26"/>
  <c r="AJ24" i="26"/>
  <c r="R22" i="26"/>
  <c r="AH22" i="26" s="1"/>
  <c r="AI84" i="26"/>
  <c r="AI81" i="26"/>
  <c r="AI60" i="26"/>
  <c r="R68" i="26"/>
  <c r="AG68" i="26" s="1"/>
  <c r="AI103" i="26"/>
  <c r="AK105" i="26"/>
  <c r="R94" i="26"/>
  <c r="AG94" i="26" s="1"/>
  <c r="R54" i="26"/>
  <c r="AH54" i="26" s="1"/>
  <c r="R89" i="26"/>
  <c r="AH89" i="26" s="1"/>
  <c r="R83" i="26"/>
  <c r="AH83" i="26" s="1"/>
  <c r="R42" i="26"/>
  <c r="S42" i="26" s="1"/>
  <c r="R27" i="26"/>
  <c r="AG27" i="26" s="1"/>
  <c r="R71" i="26"/>
  <c r="S71" i="26" s="1"/>
  <c r="AK73" i="26"/>
  <c r="AI43" i="26"/>
  <c r="R36" i="26"/>
  <c r="AH36" i="26" s="1"/>
  <c r="AK71" i="26"/>
  <c r="AJ91" i="26"/>
  <c r="R50" i="26"/>
  <c r="S50" i="26" s="1"/>
  <c r="AJ81" i="26"/>
  <c r="AJ64" i="26"/>
  <c r="AK88" i="26"/>
  <c r="AJ63" i="26"/>
  <c r="AK41" i="26"/>
  <c r="AK26" i="26"/>
  <c r="AI36" i="26"/>
  <c r="R101" i="26"/>
  <c r="AH101" i="26" s="1"/>
  <c r="AK23" i="26"/>
  <c r="AI58" i="26"/>
  <c r="R109" i="26"/>
  <c r="AG109" i="26" s="1"/>
  <c r="AK45" i="26"/>
  <c r="AI57" i="26"/>
  <c r="AI44" i="26"/>
  <c r="AI80" i="26"/>
  <c r="AI102" i="26"/>
  <c r="AK51" i="26"/>
  <c r="AJ51" i="26"/>
  <c r="AK63" i="26"/>
  <c r="AJ61" i="26"/>
  <c r="AJ42" i="26"/>
  <c r="AI20" i="26"/>
  <c r="AD19" i="26"/>
  <c r="AI39" i="26"/>
  <c r="R73" i="26"/>
  <c r="AH73" i="26" s="1"/>
  <c r="AK66" i="26"/>
  <c r="R52" i="26"/>
  <c r="S52" i="26" s="1"/>
  <c r="R31" i="26"/>
  <c r="AG31" i="26" s="1"/>
  <c r="R57" i="26"/>
  <c r="AH57" i="26" s="1"/>
  <c r="AI104" i="26"/>
  <c r="AJ98" i="26"/>
  <c r="AK48" i="26"/>
  <c r="AK56" i="26"/>
  <c r="R46" i="26"/>
  <c r="AH46" i="26" s="1"/>
  <c r="R30" i="26"/>
  <c r="AG30" i="26" s="1"/>
  <c r="R99" i="26"/>
  <c r="AH99" i="26" s="1"/>
  <c r="AJ57" i="26"/>
  <c r="AJ108" i="26"/>
  <c r="R23" i="26"/>
  <c r="AH23" i="26" s="1"/>
  <c r="S23" i="26"/>
  <c r="AK75" i="26"/>
  <c r="AK54" i="26"/>
  <c r="AI22" i="26"/>
  <c r="AI70" i="26"/>
  <c r="AI29" i="26"/>
  <c r="AI24" i="26"/>
  <c r="R41" i="26"/>
  <c r="S41" i="26" s="1"/>
  <c r="AK28" i="26"/>
  <c r="R67" i="26"/>
  <c r="S67" i="26" s="1"/>
  <c r="AI75" i="26"/>
  <c r="R65" i="26"/>
  <c r="AH65" i="26" s="1"/>
  <c r="AK65" i="26"/>
  <c r="AJ107" i="26"/>
  <c r="AJ59" i="26"/>
  <c r="AJ25" i="26"/>
  <c r="AI59" i="26"/>
  <c r="R108" i="26"/>
  <c r="S108" i="26" s="1"/>
  <c r="AJ65" i="26"/>
  <c r="R78" i="26"/>
  <c r="AG78" i="26" s="1"/>
  <c r="R24" i="26"/>
  <c r="AH24" i="26" s="1"/>
  <c r="AI89" i="26"/>
  <c r="AJ66" i="26"/>
  <c r="AJ23" i="26"/>
  <c r="AJ60" i="26"/>
  <c r="R79" i="26"/>
  <c r="S79" i="26" s="1"/>
  <c r="AI30" i="26"/>
  <c r="AI73" i="26"/>
  <c r="AK79" i="26"/>
  <c r="AJ71" i="26"/>
  <c r="R107" i="26"/>
  <c r="S107" i="26" s="1"/>
  <c r="AJ55" i="26"/>
  <c r="R21" i="26"/>
  <c r="AG21" i="26" s="1"/>
  <c r="R45" i="26"/>
  <c r="S45" i="26" s="1"/>
  <c r="AK100" i="26"/>
  <c r="R103" i="26"/>
  <c r="AH103" i="26" s="1"/>
  <c r="AI27" i="26"/>
  <c r="AJ86" i="26"/>
  <c r="AJ78" i="26"/>
  <c r="AI31" i="26"/>
  <c r="AK85" i="26"/>
  <c r="Q20" i="26"/>
  <c r="R69" i="26"/>
  <c r="AH69" i="26" s="1"/>
  <c r="AK93" i="26"/>
  <c r="AI63" i="26"/>
  <c r="R44" i="26"/>
  <c r="AH44" i="26" s="1"/>
  <c r="R87" i="26"/>
  <c r="AG87" i="26" s="1"/>
  <c r="AK76" i="26"/>
  <c r="AJ88" i="26"/>
  <c r="AJ87" i="26"/>
  <c r="AJ38" i="26"/>
  <c r="AI108" i="26"/>
  <c r="AK67" i="26"/>
  <c r="R33" i="26"/>
  <c r="S33" i="26" s="1"/>
  <c r="R84" i="26"/>
  <c r="S84" i="26" s="1"/>
  <c r="AB19" i="26"/>
  <c r="AK64" i="26"/>
  <c r="AJ28" i="26"/>
  <c r="AI87" i="26"/>
  <c r="AI49" i="26"/>
  <c r="AK77" i="26"/>
  <c r="R98" i="26"/>
  <c r="AH98" i="26" s="1"/>
  <c r="AI40" i="26"/>
  <c r="R62" i="26"/>
  <c r="AG62" i="26" s="1"/>
  <c r="R59" i="26"/>
  <c r="S59" i="26" s="1"/>
  <c r="AJ104" i="26"/>
  <c r="AJ40" i="26"/>
  <c r="AI72" i="26"/>
  <c r="AJ33" i="26"/>
  <c r="AK42" i="26"/>
  <c r="AJ93" i="26"/>
  <c r="AJ74" i="26"/>
  <c r="AJ83" i="26"/>
  <c r="AK38" i="26"/>
  <c r="AJ22" i="26"/>
  <c r="R77" i="26"/>
  <c r="AG77" i="26" s="1"/>
  <c r="AI61" i="26"/>
  <c r="R63" i="26"/>
  <c r="S63" i="26" s="1"/>
  <c r="AK89" i="26"/>
  <c r="AI82" i="26"/>
  <c r="AJ68" i="26"/>
  <c r="AK39" i="26"/>
  <c r="AI106" i="26"/>
  <c r="AJ85" i="26"/>
  <c r="AI52" i="26"/>
  <c r="AK72" i="26"/>
  <c r="AI50" i="26"/>
  <c r="AI42" i="26"/>
  <c r="R48" i="26"/>
  <c r="AH48" i="26" s="1"/>
  <c r="AK25" i="26"/>
  <c r="AI74" i="26"/>
  <c r="AI54" i="26"/>
  <c r="AJ99" i="26"/>
  <c r="AK91" i="26"/>
  <c r="R25" i="26"/>
  <c r="AG25" i="26" s="1"/>
  <c r="AK22" i="26"/>
  <c r="AK30" i="26"/>
  <c r="AK50" i="26"/>
  <c r="AK68" i="26"/>
  <c r="AK108" i="26"/>
  <c r="AI66" i="26"/>
  <c r="AI67" i="26"/>
  <c r="R64" i="26"/>
  <c r="AH64" i="26" s="1"/>
  <c r="R51" i="26"/>
  <c r="S51" i="26" s="1"/>
  <c r="R90" i="26"/>
  <c r="AH90" i="26" s="1"/>
  <c r="AI69" i="26"/>
  <c r="AI26" i="26"/>
  <c r="AJ75" i="26"/>
  <c r="AG26" i="26"/>
  <c r="Q22" i="26"/>
  <c r="AJ109" i="26"/>
  <c r="AJ46" i="26"/>
  <c r="AG28" i="26"/>
  <c r="AJ45" i="26"/>
  <c r="AK55" i="26"/>
  <c r="AJ26" i="26"/>
  <c r="AK103" i="26"/>
  <c r="AJ95" i="26"/>
  <c r="AI76" i="26"/>
  <c r="AK31" i="26"/>
  <c r="AI45" i="26"/>
  <c r="AH29" i="26"/>
  <c r="AI21" i="26"/>
  <c r="AI83" i="26"/>
  <c r="AK107" i="26"/>
  <c r="AJ44" i="26"/>
  <c r="AJ48" i="26"/>
  <c r="AJ92" i="26"/>
  <c r="AK96" i="26"/>
  <c r="AJ110" i="26"/>
  <c r="AI71" i="26"/>
  <c r="AI55" i="26"/>
  <c r="AJ89" i="26"/>
  <c r="AK59" i="26"/>
  <c r="AJ41" i="26"/>
  <c r="R80" i="26"/>
  <c r="AG80" i="26" s="1"/>
  <c r="R93" i="26"/>
  <c r="AG93" i="26" s="1"/>
  <c r="AI98" i="26"/>
  <c r="AJ58" i="26"/>
  <c r="AJ76" i="26"/>
  <c r="R43" i="26"/>
  <c r="AH43" i="26" s="1"/>
  <c r="R105" i="26"/>
  <c r="S105" i="26" s="1"/>
  <c r="AJ77" i="26"/>
  <c r="AI48" i="26"/>
  <c r="Q21" i="26"/>
  <c r="AK101" i="26"/>
  <c r="R91" i="26"/>
  <c r="S91" i="26" s="1"/>
  <c r="AI47" i="26"/>
  <c r="AJ105" i="26"/>
  <c r="AJ97" i="26"/>
  <c r="AH26" i="26"/>
  <c r="R70" i="26"/>
  <c r="S70" i="26" s="1"/>
  <c r="R60" i="26"/>
  <c r="AH60" i="26" s="1"/>
  <c r="R40" i="26"/>
  <c r="AG40" i="26" s="1"/>
  <c r="AK99" i="26"/>
  <c r="AK49" i="26"/>
  <c r="AK90" i="26"/>
  <c r="AI97" i="26"/>
  <c r="AK60" i="26"/>
  <c r="AI94" i="26"/>
  <c r="AI25" i="26"/>
  <c r="R49" i="26"/>
  <c r="AH49" i="26" s="1"/>
  <c r="AI64" i="26"/>
  <c r="AJ96" i="26"/>
  <c r="AK46" i="26"/>
  <c r="AK92" i="26"/>
  <c r="AI110" i="26"/>
  <c r="AI91" i="26"/>
  <c r="AJ53" i="26"/>
  <c r="AJ54" i="26"/>
  <c r="AJ102" i="26"/>
  <c r="R74" i="26"/>
  <c r="AH74" i="26" s="1"/>
  <c r="AK82" i="26"/>
  <c r="AI41" i="26"/>
  <c r="AI53" i="26"/>
  <c r="AJ31" i="26"/>
  <c r="S20" i="26"/>
  <c r="R20" i="26"/>
  <c r="AH20" i="26" s="1"/>
  <c r="AK47" i="26"/>
  <c r="R85" i="26"/>
  <c r="S85" i="26" s="1"/>
  <c r="AJ47" i="26"/>
  <c r="R102" i="26"/>
  <c r="S102" i="26" s="1"/>
  <c r="AJ94" i="26"/>
  <c r="AK97" i="26"/>
  <c r="AK27" i="26"/>
  <c r="AI99" i="26"/>
  <c r="AK40" i="26"/>
  <c r="R72" i="26"/>
  <c r="AG72" i="26" s="1"/>
  <c r="AK44" i="26"/>
  <c r="AI33" i="26"/>
  <c r="AJ49" i="26"/>
  <c r="AK62" i="26"/>
  <c r="R75" i="26"/>
  <c r="S75" i="26" s="1"/>
  <c r="AI107" i="26"/>
  <c r="R88" i="26"/>
  <c r="AH88" i="26" s="1"/>
  <c r="AI65" i="26"/>
  <c r="AK98" i="26"/>
  <c r="AI77" i="26"/>
  <c r="AI62" i="26"/>
  <c r="AI56" i="26"/>
  <c r="AJ73" i="26"/>
  <c r="AJ56" i="26"/>
  <c r="AK21" i="26"/>
  <c r="R47" i="26"/>
  <c r="AH47" i="26" s="1"/>
  <c r="AI68" i="26"/>
  <c r="AK86" i="26"/>
  <c r="AI86" i="26"/>
  <c r="R110" i="26"/>
  <c r="S110" i="26" s="1"/>
  <c r="AI101" i="26"/>
  <c r="AJ30" i="26"/>
  <c r="AJ106" i="26"/>
  <c r="AI78" i="26"/>
  <c r="AJ67" i="26"/>
  <c r="AJ90" i="26"/>
  <c r="AK110" i="26"/>
  <c r="AI38" i="26"/>
  <c r="AK33" i="26"/>
  <c r="AJ39" i="26"/>
  <c r="R86" i="26"/>
  <c r="AH86" i="26" s="1"/>
  <c r="R53" i="26"/>
  <c r="S53" i="26" s="1"/>
  <c r="R92" i="26"/>
  <c r="AH92" i="26" s="1"/>
  <c r="AJ27" i="26"/>
  <c r="AK94" i="26"/>
  <c r="AK83" i="26"/>
  <c r="AG56" i="26"/>
  <c r="H28" i="26"/>
  <c r="G29" i="26"/>
  <c r="J56" i="26"/>
  <c r="E82" i="26"/>
  <c r="I107" i="26"/>
  <c r="J63" i="26"/>
  <c r="F96" i="26"/>
  <c r="H100" i="26"/>
  <c r="F70" i="26"/>
  <c r="H95" i="26"/>
  <c r="I110" i="26"/>
  <c r="F84" i="26"/>
  <c r="K42" i="26"/>
  <c r="E28" i="26"/>
  <c r="K67" i="26"/>
  <c r="F28" i="26"/>
  <c r="K61" i="26"/>
  <c r="H110" i="26"/>
  <c r="I63" i="26"/>
  <c r="I28" i="26"/>
  <c r="E96" i="26"/>
  <c r="J28" i="26"/>
  <c r="F26" i="26"/>
  <c r="I82" i="26"/>
  <c r="I29" i="26"/>
  <c r="E26" i="26"/>
  <c r="J107" i="26"/>
  <c r="J29" i="26"/>
  <c r="K56" i="26"/>
  <c r="K102" i="26"/>
  <c r="E84" i="26"/>
  <c r="G110" i="26"/>
  <c r="I84" i="26"/>
  <c r="F23" i="26"/>
  <c r="K107" i="26"/>
  <c r="E29" i="26"/>
  <c r="I79" i="26"/>
  <c r="H105" i="26"/>
  <c r="F20" i="26"/>
  <c r="F71" i="26"/>
  <c r="I91" i="26"/>
  <c r="E42" i="26"/>
  <c r="I52" i="26"/>
  <c r="J85" i="26"/>
  <c r="J95" i="26"/>
  <c r="I26" i="26"/>
  <c r="H29" i="26"/>
  <c r="K63" i="26"/>
  <c r="K51" i="26"/>
  <c r="I56" i="26"/>
  <c r="I102" i="26"/>
  <c r="K95" i="26"/>
  <c r="J82" i="26"/>
  <c r="K70" i="26"/>
  <c r="K29" i="26"/>
  <c r="K20" i="26"/>
  <c r="J84" i="26"/>
  <c r="E56" i="26"/>
  <c r="K104" i="26"/>
  <c r="F45" i="26"/>
  <c r="J96" i="26"/>
  <c r="K96" i="26"/>
  <c r="H26" i="26"/>
  <c r="E20" i="26"/>
  <c r="K84" i="26"/>
  <c r="K82" i="26"/>
  <c r="E95" i="26"/>
  <c r="F95" i="26"/>
  <c r="J51" i="26"/>
  <c r="I70" i="26"/>
  <c r="J26" i="26"/>
  <c r="F29" i="26"/>
  <c r="E61" i="26"/>
  <c r="H50" i="26"/>
  <c r="G59" i="26"/>
  <c r="G28" i="26"/>
  <c r="J23" i="26"/>
  <c r="J108" i="26"/>
  <c r="G95" i="26"/>
  <c r="G26" i="26"/>
  <c r="E97" i="26"/>
  <c r="K26" i="26"/>
  <c r="I95" i="26"/>
  <c r="K53" i="26"/>
  <c r="K28" i="26"/>
  <c r="H42" i="26"/>
  <c r="AG99" i="26" l="1"/>
  <c r="AG83" i="26"/>
  <c r="AG96" i="26"/>
  <c r="AG58" i="26"/>
  <c r="AH109" i="26"/>
  <c r="AM109" i="26" s="1"/>
  <c r="C109" i="26" s="1"/>
  <c r="AH56" i="26"/>
  <c r="AM56" i="26" s="1"/>
  <c r="C56" i="26" s="1"/>
  <c r="S83" i="26"/>
  <c r="AH78" i="26"/>
  <c r="S25" i="26"/>
  <c r="AG84" i="26"/>
  <c r="S94" i="26"/>
  <c r="AG107" i="26"/>
  <c r="AG55" i="26"/>
  <c r="AM55" i="26" s="1"/>
  <c r="C55" i="26" s="1"/>
  <c r="S76" i="26"/>
  <c r="S39" i="26"/>
  <c r="AH76" i="26"/>
  <c r="AM76" i="26" s="1"/>
  <c r="C76" i="26" s="1"/>
  <c r="AG86" i="26"/>
  <c r="AM86" i="26" s="1"/>
  <c r="C86" i="26" s="1"/>
  <c r="AH104" i="26"/>
  <c r="AH30" i="26"/>
  <c r="S109" i="26"/>
  <c r="AG52" i="26"/>
  <c r="AH52" i="26"/>
  <c r="AG91" i="26"/>
  <c r="AG65" i="26"/>
  <c r="S65" i="26"/>
  <c r="AH71" i="26"/>
  <c r="AH94" i="26"/>
  <c r="AM94" i="26" s="1"/>
  <c r="C94" i="26" s="1"/>
  <c r="AH82" i="26"/>
  <c r="AH97" i="26"/>
  <c r="AH96" i="26"/>
  <c r="AH100" i="26"/>
  <c r="AG45" i="26"/>
  <c r="S101" i="26"/>
  <c r="AH45" i="26"/>
  <c r="S86" i="26"/>
  <c r="AG63" i="26"/>
  <c r="AG73" i="26"/>
  <c r="AG20" i="26"/>
  <c r="AH67" i="26"/>
  <c r="AH40" i="26"/>
  <c r="AM40" i="26" s="1"/>
  <c r="C40" i="26" s="1"/>
  <c r="S46" i="26"/>
  <c r="AG95" i="26"/>
  <c r="AG104" i="26"/>
  <c r="AG39" i="26"/>
  <c r="AG82" i="26"/>
  <c r="S49" i="26"/>
  <c r="AG49" i="26"/>
  <c r="AG89" i="26"/>
  <c r="AH84" i="26"/>
  <c r="S81" i="26"/>
  <c r="AH61" i="26"/>
  <c r="AG42" i="26"/>
  <c r="S48" i="26"/>
  <c r="AG46" i="26"/>
  <c r="AM46" i="26" s="1"/>
  <c r="C46" i="26" s="1"/>
  <c r="S58" i="26"/>
  <c r="AG71" i="26"/>
  <c r="S22" i="26"/>
  <c r="AG36" i="26"/>
  <c r="S44" i="26"/>
  <c r="AH95" i="26"/>
  <c r="AG44" i="26"/>
  <c r="AM44" i="26" s="1"/>
  <c r="C44" i="26" s="1"/>
  <c r="AG98" i="26"/>
  <c r="AJ19" i="26"/>
  <c r="AG51" i="26"/>
  <c r="AG54" i="26"/>
  <c r="AG41" i="26"/>
  <c r="AH107" i="26"/>
  <c r="S98" i="26"/>
  <c r="AG47" i="26"/>
  <c r="AM47" i="26" s="1"/>
  <c r="C47" i="26" s="1"/>
  <c r="S21" i="26"/>
  <c r="AH63" i="26"/>
  <c r="AH75" i="26"/>
  <c r="AH72" i="26"/>
  <c r="AM72" i="26" s="1"/>
  <c r="C72" i="26" s="1"/>
  <c r="AH21" i="26"/>
  <c r="AG67" i="26"/>
  <c r="AH93" i="26"/>
  <c r="AM93" i="26" s="1"/>
  <c r="C93" i="26" s="1"/>
  <c r="AH80" i="26"/>
  <c r="AM80" i="26" s="1"/>
  <c r="C80" i="26" s="1"/>
  <c r="AH77" i="26"/>
  <c r="AM77" i="26" s="1"/>
  <c r="C77" i="26" s="1"/>
  <c r="AH51" i="26"/>
  <c r="S90" i="26"/>
  <c r="AG70" i="26"/>
  <c r="AH53" i="26"/>
  <c r="S80" i="26"/>
  <c r="AG110" i="26"/>
  <c r="AG53" i="26"/>
  <c r="AH110" i="26"/>
  <c r="S72" i="26"/>
  <c r="S89" i="26"/>
  <c r="AG97" i="26"/>
  <c r="AG22" i="26"/>
  <c r="S36" i="26"/>
  <c r="AH87" i="26"/>
  <c r="AM87" i="26" s="1"/>
  <c r="C87" i="26" s="1"/>
  <c r="AH85" i="26"/>
  <c r="AH91" i="26"/>
  <c r="AG85" i="26"/>
  <c r="AG60" i="26"/>
  <c r="AM60" i="26" s="1"/>
  <c r="C60" i="26" s="1"/>
  <c r="AH42" i="26"/>
  <c r="S73" i="26"/>
  <c r="AG81" i="26"/>
  <c r="AM81" i="26" s="1"/>
  <c r="C81" i="26" s="1"/>
  <c r="S54" i="26"/>
  <c r="AG61" i="26"/>
  <c r="AI19" i="26"/>
  <c r="S60" i="26"/>
  <c r="D42" i="26"/>
  <c r="D97" i="26"/>
  <c r="AL29" i="26"/>
  <c r="AM29" i="26" s="1"/>
  <c r="C29" i="26" s="1"/>
  <c r="D96" i="26"/>
  <c r="AL26" i="26"/>
  <c r="AM26" i="26" s="1"/>
  <c r="C26" i="26" s="1"/>
  <c r="D26" i="26"/>
  <c r="D28" i="26"/>
  <c r="D84" i="26"/>
  <c r="D29" i="26"/>
  <c r="D82" i="26"/>
  <c r="AL28" i="26"/>
  <c r="AM28" i="26" s="1"/>
  <c r="C28" i="26" s="1"/>
  <c r="S62" i="26"/>
  <c r="AG48" i="26"/>
  <c r="S103" i="26"/>
  <c r="AG101" i="26"/>
  <c r="AM101" i="26" s="1"/>
  <c r="C101" i="26" s="1"/>
  <c r="S92" i="26"/>
  <c r="AH70" i="26"/>
  <c r="S30" i="26"/>
  <c r="AH62" i="26"/>
  <c r="AG75" i="26"/>
  <c r="AH33" i="26"/>
  <c r="AH25" i="26"/>
  <c r="AG103" i="26"/>
  <c r="AM103" i="26" s="1"/>
  <c r="C103" i="26" s="1"/>
  <c r="S78" i="26"/>
  <c r="S77" i="26"/>
  <c r="S87" i="26"/>
  <c r="S99" i="26"/>
  <c r="AG43" i="26"/>
  <c r="S24" i="26"/>
  <c r="AG23" i="26"/>
  <c r="AG92" i="26"/>
  <c r="AM92" i="26" s="1"/>
  <c r="C92" i="26" s="1"/>
  <c r="S64" i="26"/>
  <c r="AG79" i="26"/>
  <c r="AG59" i="26"/>
  <c r="AH79" i="26"/>
  <c r="AG100" i="26"/>
  <c r="AG102" i="26"/>
  <c r="AH59" i="26"/>
  <c r="AH108" i="26"/>
  <c r="S47" i="26"/>
  <c r="S93" i="26"/>
  <c r="S55" i="26"/>
  <c r="AG108" i="26"/>
  <c r="AG74" i="26"/>
  <c r="AG50" i="26"/>
  <c r="S40" i="26"/>
  <c r="S68" i="26"/>
  <c r="AH41" i="26"/>
  <c r="AH105" i="26"/>
  <c r="AG64" i="26"/>
  <c r="AH102" i="26"/>
  <c r="AH50" i="26"/>
  <c r="S74" i="26"/>
  <c r="AH27" i="26"/>
  <c r="AG105" i="26"/>
  <c r="S88" i="26"/>
  <c r="S43" i="26"/>
  <c r="S69" i="26"/>
  <c r="AH66" i="26"/>
  <c r="AH31" i="26"/>
  <c r="S106" i="26"/>
  <c r="S66" i="26"/>
  <c r="S31" i="26"/>
  <c r="S57" i="26"/>
  <c r="AG24" i="26"/>
  <c r="AG33" i="26"/>
  <c r="AG90" i="26"/>
  <c r="AM90" i="26" s="1"/>
  <c r="C90" i="26" s="1"/>
  <c r="AG106" i="26"/>
  <c r="AM106" i="26" s="1"/>
  <c r="C106" i="26" s="1"/>
  <c r="AG69" i="26"/>
  <c r="AG57" i="26"/>
  <c r="AM57" i="26" s="1"/>
  <c r="C57" i="26" s="1"/>
  <c r="AH68" i="26"/>
  <c r="AG88" i="26"/>
  <c r="AM88" i="26" s="1"/>
  <c r="C88" i="26" s="1"/>
  <c r="S27" i="26"/>
  <c r="D61" i="26"/>
  <c r="AL20" i="26"/>
  <c r="D95" i="26"/>
  <c r="D56" i="26"/>
  <c r="D20" i="26"/>
  <c r="AM38" i="26"/>
  <c r="C38" i="26" s="1"/>
  <c r="J61" i="26"/>
  <c r="H97" i="26"/>
  <c r="K23" i="26"/>
  <c r="G83" i="26"/>
  <c r="I39" i="26"/>
  <c r="H58" i="26"/>
  <c r="I72" i="26"/>
  <c r="F60" i="26"/>
  <c r="E31" i="26"/>
  <c r="H61" i="26"/>
  <c r="E94" i="26"/>
  <c r="F79" i="26"/>
  <c r="J36" i="26"/>
  <c r="I59" i="26"/>
  <c r="F63" i="26"/>
  <c r="E79" i="26"/>
  <c r="I98" i="26"/>
  <c r="K65" i="26"/>
  <c r="I54" i="26"/>
  <c r="I67" i="26"/>
  <c r="I109" i="26"/>
  <c r="I75" i="26"/>
  <c r="F97" i="26"/>
  <c r="G56" i="26"/>
  <c r="J100" i="26"/>
  <c r="E54" i="26"/>
  <c r="F107" i="26"/>
  <c r="E46" i="26"/>
  <c r="G52" i="26"/>
  <c r="F82" i="26"/>
  <c r="H45" i="26"/>
  <c r="F86" i="26"/>
  <c r="G105" i="26"/>
  <c r="I20" i="26"/>
  <c r="H89" i="26"/>
  <c r="J79" i="26"/>
  <c r="E98" i="26"/>
  <c r="H23" i="26"/>
  <c r="G51" i="26"/>
  <c r="G91" i="26"/>
  <c r="E33" i="26"/>
  <c r="G75" i="26"/>
  <c r="J83" i="26"/>
  <c r="F76" i="26"/>
  <c r="G40" i="26"/>
  <c r="G70" i="26"/>
  <c r="G86" i="26"/>
  <c r="F49" i="26"/>
  <c r="K44" i="26"/>
  <c r="G85" i="26"/>
  <c r="H106" i="26"/>
  <c r="F104" i="26"/>
  <c r="E71" i="26"/>
  <c r="H20" i="26"/>
  <c r="E53" i="26"/>
  <c r="I51" i="26"/>
  <c r="J90" i="26"/>
  <c r="F89" i="26"/>
  <c r="I78" i="26"/>
  <c r="I50" i="26"/>
  <c r="E85" i="26"/>
  <c r="G94" i="26"/>
  <c r="I33" i="26"/>
  <c r="G67" i="26"/>
  <c r="G33" i="26"/>
  <c r="G63" i="26"/>
  <c r="E100" i="26"/>
  <c r="I42" i="26"/>
  <c r="J67" i="26"/>
  <c r="F36" i="26"/>
  <c r="K91" i="26"/>
  <c r="J50" i="26"/>
  <c r="I104" i="26"/>
  <c r="H71" i="26"/>
  <c r="E102" i="26"/>
  <c r="G20" i="26"/>
  <c r="H102" i="26"/>
  <c r="K54" i="26"/>
  <c r="K45" i="26"/>
  <c r="H91" i="26"/>
  <c r="F109" i="26"/>
  <c r="H109" i="26"/>
  <c r="I96" i="26"/>
  <c r="E36" i="26"/>
  <c r="F39" i="26"/>
  <c r="F102" i="26"/>
  <c r="K86" i="26"/>
  <c r="E50" i="26"/>
  <c r="G90" i="26"/>
  <c r="F53" i="26"/>
  <c r="K59" i="26"/>
  <c r="G62" i="26"/>
  <c r="E110" i="26"/>
  <c r="E108" i="26"/>
  <c r="G53" i="26"/>
  <c r="F91" i="26"/>
  <c r="I105" i="26"/>
  <c r="I97" i="26"/>
  <c r="K49" i="26"/>
  <c r="G108" i="26"/>
  <c r="H98" i="26"/>
  <c r="H52" i="26"/>
  <c r="K94" i="26"/>
  <c r="J80" i="26"/>
  <c r="H83" i="26"/>
  <c r="K62" i="26"/>
  <c r="E51" i="26"/>
  <c r="I71" i="26"/>
  <c r="J53" i="26"/>
  <c r="K25" i="26"/>
  <c r="E65" i="26"/>
  <c r="F101" i="26"/>
  <c r="I77" i="26"/>
  <c r="H27" i="26"/>
  <c r="F108" i="26"/>
  <c r="G42" i="26"/>
  <c r="J41" i="26"/>
  <c r="H33" i="26"/>
  <c r="J71" i="26"/>
  <c r="I41" i="26"/>
  <c r="E91" i="26"/>
  <c r="K33" i="26"/>
  <c r="J75" i="26"/>
  <c r="E70" i="26"/>
  <c r="G82" i="26"/>
  <c r="G104" i="26"/>
  <c r="H41" i="26"/>
  <c r="J45" i="26"/>
  <c r="H108" i="26"/>
  <c r="F110" i="26"/>
  <c r="G81" i="26"/>
  <c r="G46" i="26"/>
  <c r="E45" i="26"/>
  <c r="H86" i="26"/>
  <c r="J105" i="26"/>
  <c r="K71" i="26"/>
  <c r="I80" i="26"/>
  <c r="H82" i="26"/>
  <c r="E107" i="26"/>
  <c r="J94" i="26"/>
  <c r="H79" i="26"/>
  <c r="G84" i="26"/>
  <c r="G107" i="26"/>
  <c r="G45" i="26"/>
  <c r="J59" i="26"/>
  <c r="J102" i="26"/>
  <c r="K110" i="26"/>
  <c r="H72" i="26"/>
  <c r="E105" i="26"/>
  <c r="K97" i="26"/>
  <c r="F67" i="26"/>
  <c r="J42" i="26"/>
  <c r="H75" i="26"/>
  <c r="I83" i="26"/>
  <c r="H44" i="26"/>
  <c r="F33" i="26"/>
  <c r="E44" i="26"/>
  <c r="G41" i="26"/>
  <c r="H67" i="26"/>
  <c r="E80" i="26"/>
  <c r="E90" i="26"/>
  <c r="K108" i="26"/>
  <c r="F52" i="26"/>
  <c r="E75" i="26"/>
  <c r="I85" i="26"/>
  <c r="E63" i="26"/>
  <c r="G23" i="26"/>
  <c r="G50" i="26"/>
  <c r="F41" i="26"/>
  <c r="G71" i="26"/>
  <c r="K105" i="26"/>
  <c r="H59" i="26"/>
  <c r="J21" i="26"/>
  <c r="J20" i="26"/>
  <c r="K24" i="26"/>
  <c r="J33" i="26"/>
  <c r="K50" i="26"/>
  <c r="E86" i="26"/>
  <c r="H56" i="26"/>
  <c r="H85" i="26"/>
  <c r="J44" i="26"/>
  <c r="K40" i="26"/>
  <c r="E67" i="26"/>
  <c r="I53" i="26"/>
  <c r="I81" i="26"/>
  <c r="G73" i="26"/>
  <c r="I87" i="26"/>
  <c r="I69" i="26"/>
  <c r="G97" i="26"/>
  <c r="H70" i="26"/>
  <c r="F56" i="26"/>
  <c r="I23" i="26"/>
  <c r="F59" i="26"/>
  <c r="K41" i="26"/>
  <c r="F75" i="26"/>
  <c r="J97" i="26"/>
  <c r="G61" i="26"/>
  <c r="H51" i="26"/>
  <c r="E52" i="26"/>
  <c r="G102" i="26"/>
  <c r="H84" i="26"/>
  <c r="E104" i="26"/>
  <c r="G79" i="26"/>
  <c r="H53" i="26"/>
  <c r="K100" i="26"/>
  <c r="I61" i="26"/>
  <c r="F100" i="26"/>
  <c r="K79" i="26"/>
  <c r="J22" i="26"/>
  <c r="J52" i="26"/>
  <c r="F61" i="26"/>
  <c r="F50" i="26"/>
  <c r="F105" i="26"/>
  <c r="J110" i="26"/>
  <c r="H36" i="26"/>
  <c r="J70" i="26"/>
  <c r="I89" i="26"/>
  <c r="F51" i="26"/>
  <c r="E59" i="26"/>
  <c r="I100" i="26"/>
  <c r="F98" i="26"/>
  <c r="G100" i="26"/>
  <c r="I45" i="26"/>
  <c r="F85" i="26"/>
  <c r="F62" i="26"/>
  <c r="J104" i="26"/>
  <c r="H107" i="26"/>
  <c r="J91" i="26"/>
  <c r="I108" i="26"/>
  <c r="E41" i="26"/>
  <c r="H104" i="26"/>
  <c r="H62" i="26"/>
  <c r="E23" i="26"/>
  <c r="K75" i="26"/>
  <c r="K52" i="26"/>
  <c r="F44" i="26"/>
  <c r="G96" i="26"/>
  <c r="H63" i="26"/>
  <c r="G80" i="26"/>
  <c r="E103" i="26"/>
  <c r="F42" i="26"/>
  <c r="I44" i="26"/>
  <c r="G98" i="26"/>
  <c r="K85" i="26"/>
  <c r="H96" i="26"/>
  <c r="I58" i="26"/>
  <c r="H80" i="26"/>
  <c r="J60" i="26"/>
  <c r="J86" i="26"/>
  <c r="G36" i="26"/>
  <c r="E62" i="26"/>
  <c r="J54" i="26"/>
  <c r="K74" i="26"/>
  <c r="G48" i="26"/>
  <c r="E66" i="26"/>
  <c r="J72" i="26"/>
  <c r="G58" i="26"/>
  <c r="H94" i="26"/>
  <c r="G44" i="26"/>
  <c r="F80" i="26"/>
  <c r="K98" i="26"/>
  <c r="G24" i="26"/>
  <c r="E106" i="26"/>
  <c r="G21" i="26"/>
  <c r="J109" i="26"/>
  <c r="H40" i="26"/>
  <c r="E76" i="26"/>
  <c r="E60" i="26"/>
  <c r="D67" i="26" l="1"/>
  <c r="D45" i="26"/>
  <c r="D53" i="26"/>
  <c r="AL23" i="26"/>
  <c r="D71" i="26"/>
  <c r="D104" i="26"/>
  <c r="D110" i="26"/>
  <c r="D23" i="26"/>
  <c r="D79" i="26"/>
  <c r="AM96" i="26"/>
  <c r="C96" i="26" s="1"/>
  <c r="AM84" i="26"/>
  <c r="C84" i="26" s="1"/>
  <c r="AM107" i="26"/>
  <c r="C107" i="26" s="1"/>
  <c r="AM104" i="26"/>
  <c r="C104" i="26" s="1"/>
  <c r="AM52" i="26"/>
  <c r="C52" i="26" s="1"/>
  <c r="AM20" i="26"/>
  <c r="C20" i="26" s="1"/>
  <c r="AM100" i="26"/>
  <c r="C100" i="26" s="1"/>
  <c r="AM42" i="26"/>
  <c r="C42" i="26" s="1"/>
  <c r="AM91" i="26"/>
  <c r="C91" i="26" s="1"/>
  <c r="AM75" i="26"/>
  <c r="C75" i="26" s="1"/>
  <c r="AM45" i="26"/>
  <c r="C45" i="26" s="1"/>
  <c r="AM82" i="26"/>
  <c r="C82" i="26" s="1"/>
  <c r="AM67" i="26"/>
  <c r="C67" i="26" s="1"/>
  <c r="AM97" i="26"/>
  <c r="C97" i="26" s="1"/>
  <c r="AM51" i="26"/>
  <c r="C51" i="26" s="1"/>
  <c r="AM95" i="26"/>
  <c r="C95" i="26" s="1"/>
  <c r="AM61" i="26"/>
  <c r="C61" i="26" s="1"/>
  <c r="D46" i="26"/>
  <c r="AM63" i="26"/>
  <c r="C63" i="26" s="1"/>
  <c r="AM85" i="26"/>
  <c r="C85" i="26" s="1"/>
  <c r="AM53" i="26"/>
  <c r="C53" i="26" s="1"/>
  <c r="D98" i="26"/>
  <c r="AM41" i="26"/>
  <c r="C41" i="26" s="1"/>
  <c r="AM105" i="26"/>
  <c r="C105" i="26" s="1"/>
  <c r="AM23" i="26"/>
  <c r="C23" i="26" s="1"/>
  <c r="AM110" i="26"/>
  <c r="C110" i="26" s="1"/>
  <c r="AM70" i="26"/>
  <c r="C70" i="26" s="1"/>
  <c r="AH19" i="26"/>
  <c r="AM108" i="26"/>
  <c r="C108" i="26" s="1"/>
  <c r="AM79" i="26"/>
  <c r="C79" i="26" s="1"/>
  <c r="AG19" i="26"/>
  <c r="D85" i="26"/>
  <c r="D33" i="26"/>
  <c r="D41" i="26"/>
  <c r="AL33" i="26"/>
  <c r="AM33" i="26" s="1"/>
  <c r="C33" i="26" s="1"/>
  <c r="D65" i="26"/>
  <c r="D108" i="26"/>
  <c r="D51" i="26"/>
  <c r="D107" i="26"/>
  <c r="AL24" i="26"/>
  <c r="AM24" i="26" s="1"/>
  <c r="C24" i="26" s="1"/>
  <c r="D91" i="26"/>
  <c r="D52" i="26"/>
  <c r="AL25" i="26"/>
  <c r="AM25" i="26" s="1"/>
  <c r="C25" i="26" s="1"/>
  <c r="D60" i="26"/>
  <c r="D70" i="26"/>
  <c r="D105" i="26"/>
  <c r="D63" i="26"/>
  <c r="D102" i="26"/>
  <c r="D75" i="26"/>
  <c r="D59" i="26"/>
  <c r="D50" i="26"/>
  <c r="D100" i="26"/>
  <c r="D54" i="26"/>
  <c r="AM50" i="26"/>
  <c r="C50" i="26" s="1"/>
  <c r="AM59" i="26"/>
  <c r="C59" i="26" s="1"/>
  <c r="AM102" i="26"/>
  <c r="C102" i="26" s="1"/>
  <c r="D62" i="26"/>
  <c r="D80" i="26"/>
  <c r="D94" i="26"/>
  <c r="D76" i="26"/>
  <c r="D66" i="26"/>
  <c r="D86" i="26"/>
  <c r="D106" i="26"/>
  <c r="D103" i="26"/>
  <c r="D44" i="26"/>
  <c r="D31" i="26"/>
  <c r="D90" i="26"/>
  <c r="D36" i="26"/>
  <c r="AM54" i="26"/>
  <c r="C54" i="26" s="1"/>
  <c r="AM43" i="26"/>
  <c r="C43" i="26" s="1"/>
  <c r="AM64" i="26"/>
  <c r="C64" i="26" s="1"/>
  <c r="AM66" i="26"/>
  <c r="C66" i="26" s="1"/>
  <c r="AM89" i="26"/>
  <c r="C89" i="26" s="1"/>
  <c r="AM39" i="26"/>
  <c r="C39" i="26" s="1"/>
  <c r="AM49" i="26"/>
  <c r="C49" i="26" s="1"/>
  <c r="AM83" i="26"/>
  <c r="C83" i="26" s="1"/>
  <c r="AM62" i="26"/>
  <c r="C62" i="26" s="1"/>
  <c r="AM58" i="26"/>
  <c r="C58" i="26" s="1"/>
  <c r="AM69" i="26"/>
  <c r="C69" i="26" s="1"/>
  <c r="AM74" i="26"/>
  <c r="C74" i="26" s="1"/>
  <c r="AM71" i="26"/>
  <c r="C71" i="26" s="1"/>
  <c r="AM48" i="26"/>
  <c r="C48" i="26" s="1"/>
  <c r="AM78" i="26"/>
  <c r="C78" i="26" s="1"/>
  <c r="AM68" i="26"/>
  <c r="C68" i="26" s="1"/>
  <c r="AM99" i="26"/>
  <c r="C99" i="26" s="1"/>
  <c r="AM98" i="26"/>
  <c r="C98" i="26" s="1"/>
  <c r="AK19" i="26"/>
  <c r="AM65" i="26"/>
  <c r="C65" i="26" s="1"/>
  <c r="AM73" i="26"/>
  <c r="C73" i="26" s="1"/>
  <c r="H54" i="26"/>
  <c r="K36" i="26"/>
  <c r="J62" i="26"/>
  <c r="G76" i="26"/>
  <c r="G78" i="26"/>
  <c r="G49" i="26"/>
  <c r="F21" i="26"/>
  <c r="E49" i="26"/>
  <c r="H81" i="26"/>
  <c r="G103" i="26"/>
  <c r="J92" i="26"/>
  <c r="G69" i="26"/>
  <c r="K92" i="26"/>
  <c r="I103" i="26"/>
  <c r="I24" i="26"/>
  <c r="H93" i="26"/>
  <c r="J106" i="26"/>
  <c r="K46" i="26"/>
  <c r="K81" i="26"/>
  <c r="J81" i="26"/>
  <c r="E24" i="26"/>
  <c r="K57" i="26"/>
  <c r="J57" i="26"/>
  <c r="I25" i="26"/>
  <c r="E55" i="26"/>
  <c r="E88" i="26"/>
  <c r="G88" i="26"/>
  <c r="I101" i="26"/>
  <c r="G22" i="26"/>
  <c r="H57" i="26"/>
  <c r="H101" i="26"/>
  <c r="F40" i="26"/>
  <c r="F58" i="26"/>
  <c r="J76" i="26"/>
  <c r="I60" i="26"/>
  <c r="K30" i="26"/>
  <c r="F93" i="26"/>
  <c r="H74" i="26"/>
  <c r="I47" i="26"/>
  <c r="G57" i="26"/>
  <c r="H76" i="26"/>
  <c r="I36" i="26"/>
  <c r="G25" i="26"/>
  <c r="J48" i="26"/>
  <c r="F68" i="26"/>
  <c r="I76" i="26"/>
  <c r="J99" i="26"/>
  <c r="K103" i="26"/>
  <c r="J39" i="26"/>
  <c r="K64" i="26"/>
  <c r="F69" i="26"/>
  <c r="H66" i="26"/>
  <c r="H22" i="26"/>
  <c r="G72" i="26"/>
  <c r="I65" i="26"/>
  <c r="J98" i="26"/>
  <c r="K39" i="26"/>
  <c r="K55" i="26"/>
  <c r="G43" i="26"/>
  <c r="E101" i="26"/>
  <c r="K43" i="26"/>
  <c r="F27" i="26"/>
  <c r="E30" i="26"/>
  <c r="G109" i="26"/>
  <c r="E72" i="26"/>
  <c r="E109" i="26"/>
  <c r="I94" i="26"/>
  <c r="I90" i="26"/>
  <c r="J87" i="26"/>
  <c r="H49" i="26"/>
  <c r="K101" i="26"/>
  <c r="E40" i="26"/>
  <c r="F88" i="26"/>
  <c r="K106" i="26"/>
  <c r="G92" i="26"/>
  <c r="E77" i="26"/>
  <c r="G93" i="26"/>
  <c r="G30" i="26"/>
  <c r="K93" i="26"/>
  <c r="E22" i="26"/>
  <c r="J77" i="26"/>
  <c r="K83" i="26"/>
  <c r="H47" i="26"/>
  <c r="F46" i="26"/>
  <c r="I93" i="26"/>
  <c r="I21" i="26"/>
  <c r="K88" i="26"/>
  <c r="J27" i="26"/>
  <c r="H24" i="26"/>
  <c r="J65" i="26"/>
  <c r="H77" i="26"/>
  <c r="E47" i="26"/>
  <c r="I46" i="26"/>
  <c r="G68" i="26"/>
  <c r="J74" i="26"/>
  <c r="F106" i="26"/>
  <c r="F83" i="26"/>
  <c r="J25" i="26"/>
  <c r="F65" i="26"/>
  <c r="J31" i="26"/>
  <c r="G66" i="26"/>
  <c r="K66" i="26"/>
  <c r="E21" i="26"/>
  <c r="K21" i="26"/>
  <c r="H99" i="26"/>
  <c r="K22" i="26"/>
  <c r="K78" i="26"/>
  <c r="F30" i="26"/>
  <c r="I64" i="26"/>
  <c r="F66" i="26"/>
  <c r="F94" i="26"/>
  <c r="J49" i="26"/>
  <c r="H55" i="26"/>
  <c r="G77" i="26"/>
  <c r="H68" i="26"/>
  <c r="F74" i="26"/>
  <c r="H30" i="26"/>
  <c r="I92" i="26"/>
  <c r="K48" i="26"/>
  <c r="H87" i="26"/>
  <c r="E57" i="26"/>
  <c r="J43" i="26"/>
  <c r="E81" i="26"/>
  <c r="J46" i="26"/>
  <c r="J101" i="26"/>
  <c r="F25" i="26"/>
  <c r="H103" i="26"/>
  <c r="K109" i="26"/>
  <c r="F48" i="26"/>
  <c r="I49" i="26"/>
  <c r="F72" i="26"/>
  <c r="G87" i="26"/>
  <c r="F87" i="26"/>
  <c r="J73" i="26"/>
  <c r="J47" i="26"/>
  <c r="I30" i="26"/>
  <c r="H64" i="26"/>
  <c r="J88" i="26"/>
  <c r="H60" i="26"/>
  <c r="J69" i="26"/>
  <c r="H43" i="26"/>
  <c r="F57" i="26"/>
  <c r="F73" i="26"/>
  <c r="E25" i="26"/>
  <c r="I22" i="26"/>
  <c r="I55" i="26"/>
  <c r="F22" i="26"/>
  <c r="H46" i="26"/>
  <c r="H90" i="26"/>
  <c r="K47" i="26"/>
  <c r="E39" i="26"/>
  <c r="F55" i="26"/>
  <c r="K58" i="26"/>
  <c r="H69" i="26"/>
  <c r="K69" i="26"/>
  <c r="F90" i="26"/>
  <c r="J66" i="26"/>
  <c r="I43" i="26"/>
  <c r="F103" i="26"/>
  <c r="G99" i="26"/>
  <c r="E99" i="26"/>
  <c r="H65" i="26"/>
  <c r="I73" i="26"/>
  <c r="G39" i="26"/>
  <c r="K89" i="26"/>
  <c r="H48" i="26"/>
  <c r="I27" i="26"/>
  <c r="J68" i="26"/>
  <c r="J89" i="26"/>
  <c r="F77" i="26"/>
  <c r="J64" i="26"/>
  <c r="J24" i="26"/>
  <c r="E83" i="26"/>
  <c r="I62" i="26"/>
  <c r="J40" i="26"/>
  <c r="H73" i="26"/>
  <c r="H31" i="26"/>
  <c r="H78" i="26"/>
  <c r="F47" i="26"/>
  <c r="I106" i="26"/>
  <c r="I68" i="26"/>
  <c r="I86" i="26"/>
  <c r="H21" i="26"/>
  <c r="G65" i="26"/>
  <c r="J55" i="26"/>
  <c r="G47" i="26"/>
  <c r="E43" i="26"/>
  <c r="G101" i="26"/>
  <c r="E48" i="26"/>
  <c r="F54" i="26"/>
  <c r="K76" i="26"/>
  <c r="G54" i="26"/>
  <c r="G27" i="26"/>
  <c r="E87" i="26"/>
  <c r="J103" i="26"/>
  <c r="K31" i="26"/>
  <c r="I99" i="26"/>
  <c r="K99" i="26"/>
  <c r="J93" i="26"/>
  <c r="G64" i="26"/>
  <c r="H25" i="26"/>
  <c r="I66" i="26"/>
  <c r="H88" i="26"/>
  <c r="E93" i="26"/>
  <c r="I31" i="26"/>
  <c r="E89" i="26"/>
  <c r="J30" i="26"/>
  <c r="I74" i="26"/>
  <c r="K72" i="26"/>
  <c r="G60" i="26"/>
  <c r="E64" i="26"/>
  <c r="F92" i="26"/>
  <c r="G89" i="26"/>
  <c r="E92" i="26"/>
  <c r="E58" i="26"/>
  <c r="H39" i="26"/>
  <c r="K80" i="26"/>
  <c r="J78" i="26"/>
  <c r="K87" i="26"/>
  <c r="F99" i="26"/>
  <c r="G55" i="26"/>
  <c r="G106" i="26"/>
  <c r="I88" i="26"/>
  <c r="F64" i="26"/>
  <c r="I48" i="26"/>
  <c r="J58" i="26"/>
  <c r="E78" i="26"/>
  <c r="E69" i="26"/>
  <c r="K68" i="26"/>
  <c r="K27" i="26"/>
  <c r="K60" i="26"/>
  <c r="G74" i="26"/>
  <c r="K77" i="26"/>
  <c r="E74" i="26"/>
  <c r="K90" i="26"/>
  <c r="E68" i="26"/>
  <c r="F43" i="26"/>
  <c r="E73" i="26"/>
  <c r="I57" i="26"/>
  <c r="F78" i="26"/>
  <c r="I40" i="26"/>
  <c r="F31" i="26"/>
  <c r="F81" i="26"/>
  <c r="G31" i="26"/>
  <c r="F24" i="26"/>
  <c r="H92" i="26"/>
  <c r="E27" i="26"/>
  <c r="K73" i="26"/>
  <c r="D74" i="26" l="1"/>
  <c r="D87" i="26"/>
  <c r="D48" i="26"/>
  <c r="AL21" i="26"/>
  <c r="AM21" i="26" s="1"/>
  <c r="C21" i="26" s="1"/>
  <c r="D21" i="26"/>
  <c r="D109" i="26"/>
  <c r="D72" i="26"/>
  <c r="D49" i="26"/>
  <c r="AL36" i="26"/>
  <c r="AM36" i="26" s="1"/>
  <c r="C36" i="26" s="1"/>
  <c r="D83" i="26"/>
  <c r="D58" i="26"/>
  <c r="D39" i="26"/>
  <c r="D17" i="26" s="1"/>
  <c r="D81" i="26"/>
  <c r="AL27" i="26"/>
  <c r="AM27" i="26" s="1"/>
  <c r="C27" i="26" s="1"/>
  <c r="D89" i="26"/>
  <c r="D25" i="26"/>
  <c r="D101" i="26"/>
  <c r="D73" i="26"/>
  <c r="D22" i="26"/>
  <c r="AL22" i="26"/>
  <c r="AM22" i="26" s="1"/>
  <c r="C22" i="26" s="1"/>
  <c r="D77" i="26"/>
  <c r="D40" i="26"/>
  <c r="D78" i="26"/>
  <c r="AL31" i="26"/>
  <c r="AM31" i="26" s="1"/>
  <c r="C31" i="26" s="1"/>
  <c r="D57" i="26"/>
  <c r="D88" i="26"/>
  <c r="H19" i="26"/>
  <c r="D27" i="26"/>
  <c r="G19" i="26"/>
  <c r="F19" i="26"/>
  <c r="D69" i="26"/>
  <c r="D47" i="26"/>
  <c r="D93" i="26"/>
  <c r="D99" i="26"/>
  <c r="D30" i="26"/>
  <c r="D55" i="26"/>
  <c r="D24" i="26"/>
  <c r="E19" i="26"/>
  <c r="D68" i="26"/>
  <c r="D43" i="26"/>
  <c r="D92" i="26"/>
  <c r="I19" i="26"/>
  <c r="AL30" i="26"/>
  <c r="AM30" i="26" s="1"/>
  <c r="C30" i="26" s="1"/>
  <c r="K19" i="26"/>
  <c r="J19" i="26"/>
  <c r="D64" i="26"/>
  <c r="C19" i="26" l="1"/>
  <c r="AM19" i="26"/>
  <c r="D19" i="26"/>
  <c r="AL19" i="26"/>
  <c r="C17" i="26" l="1"/>
</calcChain>
</file>

<file path=xl/sharedStrings.xml><?xml version="1.0" encoding="utf-8"?>
<sst xmlns="http://schemas.openxmlformats.org/spreadsheetml/2006/main" count="929" uniqueCount="183">
  <si>
    <t>F</t>
  </si>
  <si>
    <t>C</t>
  </si>
  <si>
    <t>Strike</t>
  </si>
  <si>
    <t>Fwd</t>
  </si>
  <si>
    <t>MtM</t>
  </si>
  <si>
    <t>Maturity</t>
  </si>
  <si>
    <t>Days to Maturity</t>
  </si>
  <si>
    <t>Disc Rate</t>
  </si>
  <si>
    <t>P</t>
  </si>
  <si>
    <t>Gamma</t>
  </si>
  <si>
    <t>Trade Type</t>
  </si>
  <si>
    <t>Prev MtM</t>
  </si>
  <si>
    <t>PnL</t>
  </si>
  <si>
    <t>Spot</t>
  </si>
  <si>
    <t>Vega</t>
  </si>
  <si>
    <t>Contract Details</t>
  </si>
  <si>
    <t>Value and Risk</t>
  </si>
  <si>
    <t>Prev Day Value and Risk</t>
  </si>
  <si>
    <t>Prev Day Market</t>
  </si>
  <si>
    <t>Contract #</t>
  </si>
  <si>
    <t>Delta Explain</t>
  </si>
  <si>
    <t>Total Explain</t>
  </si>
  <si>
    <t>Theta</t>
  </si>
  <si>
    <t>New Delta</t>
  </si>
  <si>
    <t>Delta</t>
  </si>
  <si>
    <t>BSGamma</t>
  </si>
  <si>
    <t>Prev BSGamma</t>
  </si>
  <si>
    <t>BSVega</t>
  </si>
  <si>
    <t>Prev BSBSVega</t>
  </si>
  <si>
    <t>BSBSVega Explain</t>
  </si>
  <si>
    <t>BSGamma Explain</t>
  </si>
  <si>
    <t>Vols</t>
  </si>
  <si>
    <t>1Y</t>
  </si>
  <si>
    <t>5Y</t>
  </si>
  <si>
    <t>10Y</t>
  </si>
  <si>
    <t>ATMF</t>
  </si>
  <si>
    <t>LowStrike</t>
  </si>
  <si>
    <t>Market Pricing Inputs</t>
  </si>
  <si>
    <t>Market Date =</t>
  </si>
  <si>
    <t>USDMXN=</t>
  </si>
  <si>
    <t>Bid /</t>
  </si>
  <si>
    <t>Offer</t>
  </si>
  <si>
    <t>USD Libor=</t>
  </si>
  <si>
    <t>MXN TIIE=</t>
  </si>
  <si>
    <t>Mid</t>
  </si>
  <si>
    <t>EURUSD=</t>
  </si>
  <si>
    <t>RATES</t>
  </si>
  <si>
    <t>ATMF =</t>
  </si>
  <si>
    <t>RR10D=</t>
  </si>
  <si>
    <t>FLY10D=</t>
  </si>
  <si>
    <t>Vol To Use</t>
  </si>
  <si>
    <t>RR</t>
  </si>
  <si>
    <t>Fly</t>
  </si>
  <si>
    <t>FLY</t>
  </si>
  <si>
    <t>Mids</t>
  </si>
  <si>
    <t>HighStrike</t>
  </si>
  <si>
    <t>Strikes</t>
  </si>
  <si>
    <t>1Y VOL</t>
  </si>
  <si>
    <t>5Y VOL</t>
  </si>
  <si>
    <t>10Y VOL</t>
  </si>
  <si>
    <t>FX Spot</t>
  </si>
  <si>
    <t>Prev Date=</t>
  </si>
  <si>
    <t>Previous Date</t>
  </si>
  <si>
    <t>Notional (M USD)</t>
  </si>
  <si>
    <t>Notional     (M MXN)</t>
  </si>
  <si>
    <t>FwdDelta (M MXN)</t>
  </si>
  <si>
    <t>1 USD Cash</t>
  </si>
  <si>
    <t>2 MXN Cash</t>
  </si>
  <si>
    <t>Carry</t>
  </si>
  <si>
    <t>Prev Delta (M MXN)</t>
  </si>
  <si>
    <t>PnL Explain</t>
  </si>
  <si>
    <t>C= Call</t>
  </si>
  <si>
    <t>P =Put</t>
  </si>
  <si>
    <t>USD notional</t>
  </si>
  <si>
    <t>Only a reference</t>
  </si>
  <si>
    <t xml:space="preserve">Not used in </t>
  </si>
  <si>
    <t>Calculations</t>
  </si>
  <si>
    <t>F = Fwd</t>
  </si>
  <si>
    <t>MXN Notional</t>
  </si>
  <si>
    <t>Used in calculations</t>
  </si>
  <si>
    <t>of the</t>
  </si>
  <si>
    <t>Contract</t>
  </si>
  <si>
    <t xml:space="preserve">Not possible </t>
  </si>
  <si>
    <t>to be in the</t>
  </si>
  <si>
    <t>past</t>
  </si>
  <si>
    <t>An auxiliary</t>
  </si>
  <si>
    <t>Useful calculation</t>
  </si>
  <si>
    <t>Increased</t>
  </si>
  <si>
    <t xml:space="preserve">by one for </t>
  </si>
  <si>
    <t>each new</t>
  </si>
  <si>
    <t>Difference</t>
  </si>
  <si>
    <t>between previous</t>
  </si>
  <si>
    <t>Day MtM and current</t>
  </si>
  <si>
    <t xml:space="preserve">Predicted </t>
  </si>
  <si>
    <t>Current valuation</t>
  </si>
  <si>
    <t>of all of the contracts</t>
  </si>
  <si>
    <t>(in USD)</t>
  </si>
  <si>
    <t>Delta Risk</t>
  </si>
  <si>
    <t>for each contract</t>
  </si>
  <si>
    <t xml:space="preserve">Second </t>
  </si>
  <si>
    <t>Order</t>
  </si>
  <si>
    <t>Risk</t>
  </si>
  <si>
    <t>Sensitivity</t>
  </si>
  <si>
    <t xml:space="preserve">To </t>
  </si>
  <si>
    <t>Volatility</t>
  </si>
  <si>
    <t xml:space="preserve">Change </t>
  </si>
  <si>
    <t>in value due</t>
  </si>
  <si>
    <t xml:space="preserve">to passage </t>
  </si>
  <si>
    <t>of time</t>
  </si>
  <si>
    <t>FX mid</t>
  </si>
  <si>
    <t xml:space="preserve">value for </t>
  </si>
  <si>
    <t>the calculation</t>
  </si>
  <si>
    <t>Day</t>
  </si>
  <si>
    <t>Mid risk neutral</t>
  </si>
  <si>
    <t xml:space="preserve">forward for </t>
  </si>
  <si>
    <t>the date of</t>
  </si>
  <si>
    <t>the contract</t>
  </si>
  <si>
    <t xml:space="preserve">Final vol </t>
  </si>
  <si>
    <t>input used</t>
  </si>
  <si>
    <t>in valuation</t>
  </si>
  <si>
    <t>Discounting</t>
  </si>
  <si>
    <t>domestic</t>
  </si>
  <si>
    <t xml:space="preserve">Risk free </t>
  </si>
  <si>
    <t>rate to price</t>
  </si>
  <si>
    <t>Bond</t>
  </si>
  <si>
    <t>the value of a</t>
  </si>
  <si>
    <t>Zero Coupon</t>
  </si>
  <si>
    <t>Same as columns E-H</t>
  </si>
  <si>
    <t>but for calculated for the previous market day</t>
  </si>
  <si>
    <t>General Rules</t>
  </si>
  <si>
    <t>1- Roll the day to current date</t>
  </si>
  <si>
    <t>Right click a previous day-&gt; Move or Copy -&gt; select date to copy -&gt; Click Create a copy -&gt; OK</t>
  </si>
  <si>
    <t>Change the name of the Tab to current date</t>
  </si>
  <si>
    <t>Update the tables for FX Spot, Rates and Volatility</t>
  </si>
  <si>
    <t>2- Update the Date</t>
  </si>
  <si>
    <t>In the new tab update cel H2 (also labeled as "Today") to current date.</t>
  </si>
  <si>
    <t>3- Update the market</t>
  </si>
  <si>
    <t>PnL Explained</t>
  </si>
  <si>
    <t>For Rate</t>
  </si>
  <si>
    <t>D</t>
  </si>
  <si>
    <t>Rho USD</t>
  </si>
  <si>
    <t>Rho MXN</t>
  </si>
  <si>
    <t>Unexplained</t>
  </si>
  <si>
    <t>Day1 PnL</t>
  </si>
  <si>
    <t>Trade Date</t>
  </si>
  <si>
    <t>Traded Contract Details</t>
  </si>
  <si>
    <t>Strike / Rate</t>
  </si>
  <si>
    <t>Bid</t>
  </si>
  <si>
    <t>Quote Date</t>
  </si>
  <si>
    <t xml:space="preserve">Traded </t>
  </si>
  <si>
    <t>Client Level</t>
  </si>
  <si>
    <t>Ticket #</t>
  </si>
  <si>
    <t>Trades Blotter</t>
  </si>
  <si>
    <t>Quotes Blotter</t>
  </si>
  <si>
    <t>Notional 
(M USD)</t>
  </si>
  <si>
    <t>Notional
(M MXN)</t>
  </si>
  <si>
    <t>1Y Fwd</t>
  </si>
  <si>
    <t>Bid / Offer</t>
  </si>
  <si>
    <t>NA</t>
  </si>
  <si>
    <t>SpotDelta
(M MXN)</t>
  </si>
  <si>
    <t>Trade
Type</t>
  </si>
  <si>
    <t>Notional
(M USD)</t>
  </si>
  <si>
    <t>Days to
Maturity</t>
  </si>
  <si>
    <t>Vol
To Use</t>
  </si>
  <si>
    <t>Prev Delta
(M MXN)</t>
  </si>
  <si>
    <t>Prev
BSGamma</t>
  </si>
  <si>
    <t>Prev
BSVega</t>
  </si>
  <si>
    <t>Prev
RhoUSD</t>
  </si>
  <si>
    <t>Prev
RhoMXN</t>
  </si>
  <si>
    <t>Delta
Explain</t>
  </si>
  <si>
    <t>BSGamma
Explain</t>
  </si>
  <si>
    <t>BSVega
Explain</t>
  </si>
  <si>
    <t>RhoUSD
Explain</t>
  </si>
  <si>
    <t>RhoMXN
Explain</t>
  </si>
  <si>
    <t>Contract Details (Forward Contract)</t>
  </si>
  <si>
    <t>Notional
(M MXN) Future price</t>
  </si>
  <si>
    <t>Notional
(M USD) Past Price</t>
  </si>
  <si>
    <t xml:space="preserve"> </t>
  </si>
  <si>
    <t>8M Fwd</t>
  </si>
  <si>
    <t>2M Call</t>
  </si>
  <si>
    <t>2M Fwd</t>
  </si>
  <si>
    <t>1Y Put</t>
  </si>
  <si>
    <t>1Y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</si>
</sst>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&quot;$&quot;#,##0_);[Red]\(&quot;$&quot;#,##0\)"/>
    <numFmt numFmtId="165" formatCode="&quot;$&quot;#,##0.00_);[Red]\(&quot;$&quot;#,##0.00\)"/>
    <numFmt numFmtId="166" formatCode="#,##0.000"/>
    <numFmt numFmtId="167" formatCode="0.000"/>
    <numFmt numFmtId="168" formatCode="0.0%"/>
    <numFmt numFmtId="169" formatCode="[$-409]d\-mmm\-yy;@"/>
    <numFmt numFmtId="170" formatCode="0.0000000"/>
    <numFmt numFmtId="171" formatCode="0E+00"/>
    <numFmt numFmtId="172" formatCode="&quot;$&quot;#,##0.0000_);[Red]\(&quot;$&quot;#,##0.0000\)"/>
    <numFmt numFmtId="173" formatCode="#,##0.0000"/>
    <numFmt numFmtId="174" formatCode="[$-409]mmm\-yy;@"/>
    <numFmt numFmtId="175" formatCode="0.00_);[Red]\(0.00\)"/>
    <numFmt numFmtId="176" formatCode="#,##0.000_);[Red]\(#,##0.000\)"/>
    <numFmt numFmtId="177" formatCode="&quot;$&quot;#,##0"/>
    <numFmt numFmtId="178" formatCode="&quot;$&quot;#,##0.00"/>
    <numFmt numFmtId="179" formatCode="0.000;[Red]0.000"/>
    <numFmt numFmtId="180" formatCode="0.00000E+00"/>
    <numFmt numFmtId="181" formatCode="0.0000000E+00"/>
    <numFmt numFmtId="182" formatCode="#,##0.000;[Red]\-#,##0.000"/>
  </numFmts>
  <fonts count="1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rgb="FFFF0000"/>
      <name val="Broadway"/>
      <family val="5"/>
    </font>
    <font>
      <sz val="10"/>
      <color theme="2"/>
      <name val="Arial"/>
      <family val="2"/>
    </font>
    <font>
      <b/>
      <sz val="10"/>
      <color theme="2"/>
      <name val="Arial"/>
      <family val="2"/>
    </font>
    <font>
      <b/>
      <sz val="9"/>
      <color theme="2"/>
      <name val="Broadway"/>
      <family val="5"/>
    </font>
    <font>
      <sz val="16"/>
      <name val="Arial"/>
      <family val="2"/>
    </font>
    <font>
      <b/>
      <sz val="14"/>
      <name val="Arial"/>
      <family val="2"/>
    </font>
    <font>
      <sz val="10"/>
      <color theme="0"/>
      <name val="Arial"/>
      <family val="2"/>
    </font>
    <font>
      <b/>
      <sz val="9"/>
      <color theme="0"/>
      <name val="Broadway"/>
      <family val="5"/>
    </font>
    <font>
      <b/>
      <sz val="20"/>
      <name val="Arial"/>
      <family val="2"/>
    </font>
    <font>
      <sz val="11"/>
      <color rgb="FF222222"/>
      <name val="Calibri"/>
      <family val="2"/>
    </font>
    <font>
      <b/>
      <sz val="10"/>
      <color theme="0"/>
      <name val="Arial"/>
      <family val="2"/>
    </font>
    <font>
      <b/>
      <sz val="9"/>
      <name val="Broadway"/>
      <family val="5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 style="medium">
        <color indexed="64"/>
      </right>
      <top style="thin">
        <color theme="1"/>
      </top>
      <bottom/>
      <diagonal/>
    </border>
    <border>
      <left/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2">
    <xf numFmtId="0" fontId="0" fillId="0" borderId="0" xfId="0"/>
    <xf numFmtId="10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3" fontId="0" fillId="3" borderId="0" xfId="0" applyNumberFormat="1" applyFill="1" applyAlignment="1">
      <alignment horizontal="center"/>
    </xf>
    <xf numFmtId="0" fontId="0" fillId="2" borderId="3" xfId="0" applyFill="1" applyBorder="1" applyAlignment="1">
      <alignment horizontal="center" vertical="distributed"/>
    </xf>
    <xf numFmtId="0" fontId="0" fillId="5" borderId="2" xfId="0" applyFill="1" applyBorder="1" applyAlignment="1">
      <alignment horizontal="center" vertical="distributed"/>
    </xf>
    <xf numFmtId="0" fontId="0" fillId="4" borderId="1" xfId="0" applyFill="1" applyBorder="1" applyAlignment="1">
      <alignment horizontal="center" vertical="distributed"/>
    </xf>
    <xf numFmtId="0" fontId="0" fillId="4" borderId="2" xfId="0" applyFill="1" applyBorder="1" applyAlignment="1">
      <alignment horizontal="center" vertical="distributed"/>
    </xf>
    <xf numFmtId="166" fontId="2" fillId="0" borderId="0" xfId="0" applyNumberFormat="1" applyFont="1"/>
    <xf numFmtId="0" fontId="1" fillId="5" borderId="2" xfId="0" applyFont="1" applyFill="1" applyBorder="1" applyAlignment="1">
      <alignment horizontal="center" vertical="distributed"/>
    </xf>
    <xf numFmtId="9" fontId="0" fillId="4" borderId="8" xfId="0" applyNumberFormat="1" applyFill="1" applyBorder="1" applyAlignment="1">
      <alignment horizontal="center"/>
    </xf>
    <xf numFmtId="9" fontId="0" fillId="4" borderId="10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 vertical="distributed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distributed"/>
    </xf>
    <xf numFmtId="3" fontId="0" fillId="0" borderId="5" xfId="0" applyNumberFormat="1" applyBorder="1" applyAlignment="1">
      <alignment horizontal="center"/>
    </xf>
    <xf numFmtId="0" fontId="0" fillId="2" borderId="14" xfId="0" applyFill="1" applyBorder="1" applyAlignment="1">
      <alignment horizontal="center" vertical="distributed"/>
    </xf>
    <xf numFmtId="1" fontId="0" fillId="0" borderId="0" xfId="0" applyNumberFormat="1" applyAlignment="1">
      <alignment horizontal="center"/>
    </xf>
    <xf numFmtId="0" fontId="1" fillId="6" borderId="2" xfId="0" applyFont="1" applyFill="1" applyBorder="1" applyAlignment="1">
      <alignment horizontal="center" vertical="distributed"/>
    </xf>
    <xf numFmtId="0" fontId="1" fillId="6" borderId="14" xfId="0" applyFont="1" applyFill="1" applyBorder="1" applyAlignment="1">
      <alignment horizontal="center" vertical="distributed"/>
    </xf>
    <xf numFmtId="167" fontId="0" fillId="0" borderId="0" xfId="0" applyNumberFormat="1"/>
    <xf numFmtId="0" fontId="0" fillId="6" borderId="14" xfId="0" applyFill="1" applyBorder="1" applyAlignment="1">
      <alignment horizontal="center" vertical="distributed"/>
    </xf>
    <xf numFmtId="0" fontId="0" fillId="8" borderId="2" xfId="0" applyFill="1" applyBorder="1" applyAlignment="1">
      <alignment horizontal="center" vertical="distributed"/>
    </xf>
    <xf numFmtId="2" fontId="0" fillId="8" borderId="7" xfId="0" applyNumberFormat="1" applyFill="1" applyBorder="1" applyAlignment="1">
      <alignment horizontal="center"/>
    </xf>
    <xf numFmtId="10" fontId="0" fillId="8" borderId="7" xfId="0" applyNumberFormat="1" applyFill="1" applyBorder="1" applyAlignment="1">
      <alignment horizontal="center"/>
    </xf>
    <xf numFmtId="9" fontId="0" fillId="8" borderId="8" xfId="0" applyNumberFormat="1" applyFill="1" applyBorder="1" applyAlignment="1">
      <alignment horizontal="center"/>
    </xf>
    <xf numFmtId="2" fontId="0" fillId="8" borderId="0" xfId="0" applyNumberFormat="1" applyFill="1" applyAlignment="1">
      <alignment horizontal="center"/>
    </xf>
    <xf numFmtId="10" fontId="0" fillId="8" borderId="0" xfId="0" applyNumberFormat="1" applyFill="1" applyAlignment="1">
      <alignment horizontal="center"/>
    </xf>
    <xf numFmtId="9" fontId="0" fillId="8" borderId="10" xfId="0" applyNumberFormat="1" applyFill="1" applyBorder="1" applyAlignment="1">
      <alignment horizontal="center"/>
    </xf>
    <xf numFmtId="2" fontId="0" fillId="8" borderId="12" xfId="0" applyNumberFormat="1" applyFill="1" applyBorder="1" applyAlignment="1">
      <alignment horizontal="center"/>
    </xf>
    <xf numFmtId="10" fontId="0" fillId="8" borderId="12" xfId="0" applyNumberFormat="1" applyFill="1" applyBorder="1" applyAlignment="1">
      <alignment horizontal="center"/>
    </xf>
    <xf numFmtId="9" fontId="0" fillId="8" borderId="13" xfId="0" applyNumberFormat="1" applyFill="1" applyBorder="1" applyAlignment="1">
      <alignment horizontal="center"/>
    </xf>
    <xf numFmtId="2" fontId="0" fillId="8" borderId="6" xfId="0" applyNumberFormat="1" applyFill="1" applyBorder="1" applyAlignment="1">
      <alignment horizontal="center"/>
    </xf>
    <xf numFmtId="2" fontId="0" fillId="8" borderId="9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0" fontId="0" fillId="8" borderId="14" xfId="0" applyFill="1" applyBorder="1" applyAlignment="1">
      <alignment horizontal="center" vertical="distributed"/>
    </xf>
    <xf numFmtId="16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11" fontId="0" fillId="0" borderId="0" xfId="0" applyNumberFormat="1"/>
    <xf numFmtId="165" fontId="0" fillId="0" borderId="0" xfId="0" applyNumberFormat="1"/>
    <xf numFmtId="0" fontId="1" fillId="0" borderId="6" xfId="0" applyFon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" fillId="0" borderId="8" xfId="0" applyFont="1" applyBorder="1"/>
    <xf numFmtId="0" fontId="1" fillId="0" borderId="4" xfId="0" applyFont="1" applyBorder="1" applyAlignment="1">
      <alignment horizontal="center"/>
    </xf>
    <xf numFmtId="0" fontId="1" fillId="8" borderId="1" xfId="0" applyFont="1" applyFill="1" applyBorder="1" applyAlignment="1">
      <alignment horizontal="right"/>
    </xf>
    <xf numFmtId="0" fontId="1" fillId="0" borderId="0" xfId="0" applyFont="1" applyAlignment="1">
      <alignment horizontal="right"/>
    </xf>
    <xf numFmtId="10" fontId="0" fillId="0" borderId="0" xfId="0" applyNumberFormat="1"/>
    <xf numFmtId="10" fontId="0" fillId="0" borderId="0" xfId="0" applyNumberFormat="1" applyAlignment="1">
      <alignment horizontal="left"/>
    </xf>
    <xf numFmtId="0" fontId="1" fillId="10" borderId="6" xfId="0" applyFont="1" applyFill="1" applyBorder="1" applyAlignment="1">
      <alignment horizontal="right"/>
    </xf>
    <xf numFmtId="0" fontId="1" fillId="10" borderId="11" xfId="0" applyFont="1" applyFill="1" applyBorder="1" applyAlignment="1">
      <alignment horizontal="right"/>
    </xf>
    <xf numFmtId="166" fontId="0" fillId="10" borderId="15" xfId="0" applyNumberFormat="1" applyFill="1" applyBorder="1" applyAlignment="1">
      <alignment horizontal="center"/>
    </xf>
    <xf numFmtId="0" fontId="1" fillId="11" borderId="6" xfId="0" applyFont="1" applyFill="1" applyBorder="1" applyAlignment="1">
      <alignment horizontal="right"/>
    </xf>
    <xf numFmtId="10" fontId="0" fillId="11" borderId="4" xfId="0" applyNumberFormat="1" applyFill="1" applyBorder="1" applyAlignment="1">
      <alignment horizontal="center"/>
    </xf>
    <xf numFmtId="0" fontId="1" fillId="11" borderId="11" xfId="0" applyFont="1" applyFill="1" applyBorder="1" applyAlignment="1">
      <alignment horizontal="right"/>
    </xf>
    <xf numFmtId="10" fontId="0" fillId="11" borderId="15" xfId="0" applyNumberFormat="1" applyFill="1" applyBorder="1" applyAlignment="1">
      <alignment horizontal="center"/>
    </xf>
    <xf numFmtId="0" fontId="1" fillId="4" borderId="2" xfId="0" applyFont="1" applyFill="1" applyBorder="1" applyAlignment="1">
      <alignment horizontal="center" vertical="distributed"/>
    </xf>
    <xf numFmtId="0" fontId="4" fillId="10" borderId="11" xfId="0" applyFont="1" applyFill="1" applyBorder="1"/>
    <xf numFmtId="167" fontId="4" fillId="10" borderId="13" xfId="0" applyNumberFormat="1" applyFont="1" applyFill="1" applyBorder="1" applyAlignment="1">
      <alignment horizontal="left"/>
    </xf>
    <xf numFmtId="10" fontId="4" fillId="11" borderId="6" xfId="0" applyNumberFormat="1" applyFont="1" applyFill="1" applyBorder="1"/>
    <xf numFmtId="10" fontId="4" fillId="11" borderId="8" xfId="0" applyNumberFormat="1" applyFont="1" applyFill="1" applyBorder="1" applyAlignment="1">
      <alignment horizontal="left"/>
    </xf>
    <xf numFmtId="10" fontId="4" fillId="11" borderId="11" xfId="0" applyNumberFormat="1" applyFont="1" applyFill="1" applyBorder="1"/>
    <xf numFmtId="10" fontId="4" fillId="11" borderId="13" xfId="0" applyNumberFormat="1" applyFont="1" applyFill="1" applyBorder="1" applyAlignment="1">
      <alignment horizontal="left"/>
    </xf>
    <xf numFmtId="169" fontId="3" fillId="8" borderId="3" xfId="0" applyNumberFormat="1" applyFont="1" applyFill="1" applyBorder="1"/>
    <xf numFmtId="169" fontId="0" fillId="8" borderId="5" xfId="0" applyNumberFormat="1" applyFill="1" applyBorder="1" applyAlignment="1">
      <alignment horizontal="center"/>
    </xf>
    <xf numFmtId="169" fontId="0" fillId="7" borderId="5" xfId="0" applyNumberFormat="1" applyFill="1" applyBorder="1" applyAlignment="1">
      <alignment horizontal="center"/>
    </xf>
    <xf numFmtId="169" fontId="0" fillId="3" borderId="4" xfId="0" applyNumberFormat="1" applyFill="1" applyBorder="1" applyAlignment="1">
      <alignment horizontal="center"/>
    </xf>
    <xf numFmtId="170" fontId="0" fillId="0" borderId="0" xfId="0" applyNumberFormat="1"/>
    <xf numFmtId="0" fontId="1" fillId="12" borderId="9" xfId="0" applyFont="1" applyFill="1" applyBorder="1" applyAlignment="1">
      <alignment horizontal="center"/>
    </xf>
    <xf numFmtId="3" fontId="0" fillId="12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172" fontId="0" fillId="0" borderId="0" xfId="0" applyNumberFormat="1" applyAlignment="1">
      <alignment horizontal="left"/>
    </xf>
    <xf numFmtId="173" fontId="0" fillId="0" borderId="0" xfId="0" applyNumberFormat="1" applyAlignment="1">
      <alignment horizontal="center"/>
    </xf>
    <xf numFmtId="0" fontId="0" fillId="13" borderId="1" xfId="0" applyFill="1" applyBorder="1"/>
    <xf numFmtId="0" fontId="0" fillId="13" borderId="2" xfId="0" applyFill="1" applyBorder="1"/>
    <xf numFmtId="169" fontId="0" fillId="13" borderId="3" xfId="0" applyNumberFormat="1" applyFill="1" applyBorder="1" applyAlignment="1">
      <alignment horizontal="center"/>
    </xf>
    <xf numFmtId="16" fontId="1" fillId="0" borderId="0" xfId="0" quotePrefix="1" applyNumberFormat="1" applyFont="1"/>
    <xf numFmtId="174" fontId="0" fillId="0" borderId="0" xfId="0" applyNumberFormat="1"/>
    <xf numFmtId="4" fontId="2" fillId="0" borderId="0" xfId="0" applyNumberFormat="1" applyFont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38" fontId="0" fillId="3" borderId="0" xfId="0" applyNumberFormat="1" applyFill="1" applyAlignment="1">
      <alignment horizontal="center"/>
    </xf>
    <xf numFmtId="38" fontId="0" fillId="12" borderId="0" xfId="0" applyNumberFormat="1" applyFill="1" applyAlignment="1">
      <alignment horizontal="center"/>
    </xf>
    <xf numFmtId="38" fontId="0" fillId="3" borderId="12" xfId="0" applyNumberForma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distributed"/>
    </xf>
    <xf numFmtId="164" fontId="0" fillId="12" borderId="5" xfId="0" applyNumberFormat="1" applyFill="1" applyBorder="1" applyAlignment="1">
      <alignment horizontal="center"/>
    </xf>
    <xf numFmtId="3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3" fontId="5" fillId="12" borderId="0" xfId="0" applyNumberFormat="1" applyFont="1" applyFill="1" applyAlignment="1">
      <alignment horizontal="center"/>
    </xf>
    <xf numFmtId="166" fontId="5" fillId="12" borderId="0" xfId="0" applyNumberFormat="1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166" fontId="5" fillId="2" borderId="0" xfId="0" applyNumberFormat="1" applyFont="1" applyFill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0" fontId="5" fillId="4" borderId="7" xfId="0" applyNumberFormat="1" applyFont="1" applyFill="1" applyBorder="1" applyAlignment="1">
      <alignment horizontal="center"/>
    </xf>
    <xf numFmtId="10" fontId="5" fillId="4" borderId="0" xfId="0" applyNumberFormat="1" applyFont="1" applyFill="1" applyAlignment="1">
      <alignment horizontal="center"/>
    </xf>
    <xf numFmtId="10" fontId="5" fillId="4" borderId="12" xfId="0" applyNumberFormat="1" applyFont="1" applyFill="1" applyBorder="1" applyAlignment="1">
      <alignment horizontal="center"/>
    </xf>
    <xf numFmtId="167" fontId="0" fillId="4" borderId="7" xfId="0" applyNumberFormat="1" applyFill="1" applyBorder="1" applyAlignment="1">
      <alignment horizontal="center"/>
    </xf>
    <xf numFmtId="167" fontId="0" fillId="4" borderId="0" xfId="0" applyNumberFormat="1" applyFill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4" borderId="9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0" fillId="0" borderId="0" xfId="0" applyNumberFormat="1"/>
    <xf numFmtId="175" fontId="0" fillId="6" borderId="7" xfId="0" applyNumberFormat="1" applyFill="1" applyBorder="1" applyAlignment="1">
      <alignment horizontal="center"/>
    </xf>
    <xf numFmtId="175" fontId="0" fillId="6" borderId="0" xfId="0" applyNumberFormat="1" applyFill="1" applyAlignment="1">
      <alignment horizontal="center"/>
    </xf>
    <xf numFmtId="175" fontId="0" fillId="0" borderId="0" xfId="0" applyNumberFormat="1"/>
    <xf numFmtId="0" fontId="5" fillId="6" borderId="2" xfId="0" applyFont="1" applyFill="1" applyBorder="1" applyAlignment="1">
      <alignment horizontal="center" vertical="distributed"/>
    </xf>
    <xf numFmtId="0" fontId="5" fillId="6" borderId="3" xfId="0" applyFont="1" applyFill="1" applyBorder="1" applyAlignment="1">
      <alignment horizontal="center" vertical="distributed"/>
    </xf>
    <xf numFmtId="1" fontId="5" fillId="0" borderId="0" xfId="0" applyNumberFormat="1" applyFont="1" applyAlignment="1">
      <alignment horizontal="center"/>
    </xf>
    <xf numFmtId="167" fontId="5" fillId="0" borderId="0" xfId="0" applyNumberFormat="1" applyFont="1" applyAlignment="1">
      <alignment horizontal="center"/>
    </xf>
    <xf numFmtId="1" fontId="5" fillId="6" borderId="7" xfId="0" applyNumberFormat="1" applyFont="1" applyFill="1" applyBorder="1" applyAlignment="1">
      <alignment horizontal="center"/>
    </xf>
    <xf numFmtId="1" fontId="5" fillId="6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167" fontId="5" fillId="6" borderId="7" xfId="0" applyNumberFormat="1" applyFont="1" applyFill="1" applyBorder="1" applyAlignment="1">
      <alignment horizontal="center"/>
    </xf>
    <xf numFmtId="167" fontId="5" fillId="6" borderId="0" xfId="0" applyNumberFormat="1" applyFont="1" applyFill="1" applyAlignment="1">
      <alignment horizontal="center"/>
    </xf>
    <xf numFmtId="167" fontId="5" fillId="6" borderId="12" xfId="0" applyNumberFormat="1" applyFont="1" applyFill="1" applyBorder="1" applyAlignment="1">
      <alignment horizontal="center"/>
    </xf>
    <xf numFmtId="164" fontId="0" fillId="6" borderId="7" xfId="0" applyNumberForma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40" fontId="0" fillId="3" borderId="0" xfId="0" applyNumberFormat="1" applyFill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5" borderId="1" xfId="0" applyNumberFormat="1" applyFill="1" applyBorder="1"/>
    <xf numFmtId="10" fontId="0" fillId="5" borderId="2" xfId="0" applyNumberFormat="1" applyFill="1" applyBorder="1"/>
    <xf numFmtId="10" fontId="0" fillId="5" borderId="3" xfId="0" applyNumberFormat="1" applyFill="1" applyBorder="1"/>
    <xf numFmtId="0" fontId="1" fillId="4" borderId="3" xfId="0" applyFont="1" applyFill="1" applyBorder="1" applyAlignment="1">
      <alignment horizontal="center"/>
    </xf>
    <xf numFmtId="38" fontId="0" fillId="12" borderId="9" xfId="0" applyNumberFormat="1" applyFill="1" applyBorder="1" applyAlignment="1">
      <alignment horizontal="center"/>
    </xf>
    <xf numFmtId="38" fontId="0" fillId="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3" fontId="0" fillId="14" borderId="4" xfId="0" applyNumberFormat="1" applyFill="1" applyBorder="1" applyAlignment="1">
      <alignment horizontal="center"/>
    </xf>
    <xf numFmtId="164" fontId="0" fillId="14" borderId="4" xfId="0" applyNumberFormat="1" applyFill="1" applyBorder="1" applyAlignment="1">
      <alignment horizontal="center"/>
    </xf>
    <xf numFmtId="38" fontId="0" fillId="14" borderId="6" xfId="0" applyNumberFormat="1" applyFill="1" applyBorder="1" applyAlignment="1">
      <alignment horizontal="center"/>
    </xf>
    <xf numFmtId="3" fontId="5" fillId="14" borderId="7" xfId="0" applyNumberFormat="1" applyFont="1" applyFill="1" applyBorder="1" applyAlignment="1">
      <alignment horizontal="center"/>
    </xf>
    <xf numFmtId="166" fontId="5" fillId="14" borderId="7" xfId="0" applyNumberFormat="1" applyFont="1" applyFill="1" applyBorder="1" applyAlignment="1">
      <alignment horizontal="center"/>
    </xf>
    <xf numFmtId="164" fontId="0" fillId="14" borderId="8" xfId="0" applyNumberFormat="1" applyFill="1" applyBorder="1" applyAlignment="1">
      <alignment horizontal="center"/>
    </xf>
    <xf numFmtId="3" fontId="0" fillId="12" borderId="5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167" fontId="4" fillId="10" borderId="6" xfId="0" applyNumberFormat="1" applyFont="1" applyFill="1" applyBorder="1"/>
    <xf numFmtId="167" fontId="4" fillId="10" borderId="8" xfId="0" applyNumberFormat="1" applyFont="1" applyFill="1" applyBorder="1" applyAlignment="1">
      <alignment horizontal="left"/>
    </xf>
    <xf numFmtId="167" fontId="0" fillId="10" borderId="4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vertical="distributed"/>
    </xf>
    <xf numFmtId="164" fontId="0" fillId="6" borderId="12" xfId="0" applyNumberFormat="1" applyFill="1" applyBorder="1" applyAlignment="1">
      <alignment horizontal="center"/>
    </xf>
    <xf numFmtId="164" fontId="0" fillId="6" borderId="15" xfId="0" applyNumberFormat="1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1" fontId="0" fillId="8" borderId="5" xfId="0" applyNumberFormat="1" applyFill="1" applyBorder="1" applyAlignment="1">
      <alignment horizontal="center"/>
    </xf>
    <xf numFmtId="1" fontId="0" fillId="8" borderId="15" xfId="0" applyNumberFormat="1" applyFill="1" applyBorder="1" applyAlignment="1">
      <alignment horizontal="center"/>
    </xf>
    <xf numFmtId="167" fontId="0" fillId="3" borderId="10" xfId="0" applyNumberFormat="1" applyFill="1" applyBorder="1" applyAlignment="1">
      <alignment horizontal="center"/>
    </xf>
    <xf numFmtId="167" fontId="0" fillId="3" borderId="0" xfId="0" applyNumberFormat="1" applyFill="1" applyAlignment="1">
      <alignment horizontal="center"/>
    </xf>
    <xf numFmtId="11" fontId="0" fillId="0" borderId="0" xfId="0" applyNumberFormat="1" applyAlignment="1">
      <alignment horizontal="left"/>
    </xf>
    <xf numFmtId="0" fontId="5" fillId="0" borderId="0" xfId="0" applyFont="1" applyAlignment="1">
      <alignment horizontal="center"/>
    </xf>
    <xf numFmtId="0" fontId="5" fillId="9" borderId="4" xfId="0" applyFont="1" applyFill="1" applyBorder="1" applyAlignment="1">
      <alignment horizontal="right"/>
    </xf>
    <xf numFmtId="10" fontId="7" fillId="9" borderId="6" xfId="0" applyNumberFormat="1" applyFont="1" applyFill="1" applyBorder="1" applyAlignment="1">
      <alignment horizontal="center"/>
    </xf>
    <xf numFmtId="10" fontId="7" fillId="9" borderId="8" xfId="0" applyNumberFormat="1" applyFont="1" applyFill="1" applyBorder="1" applyAlignment="1">
      <alignment horizontal="center"/>
    </xf>
    <xf numFmtId="167" fontId="5" fillId="0" borderId="4" xfId="0" applyNumberFormat="1" applyFont="1" applyBorder="1" applyAlignment="1">
      <alignment horizontal="center"/>
    </xf>
    <xf numFmtId="0" fontId="5" fillId="9" borderId="5" xfId="0" applyFont="1" applyFill="1" applyBorder="1" applyAlignment="1">
      <alignment horizontal="right"/>
    </xf>
    <xf numFmtId="10" fontId="7" fillId="9" borderId="9" xfId="0" applyNumberFormat="1" applyFont="1" applyFill="1" applyBorder="1" applyAlignment="1">
      <alignment horizontal="center"/>
    </xf>
    <xf numFmtId="10" fontId="7" fillId="9" borderId="10" xfId="0" applyNumberFormat="1" applyFont="1" applyFill="1" applyBorder="1" applyAlignment="1">
      <alignment horizontal="center"/>
    </xf>
    <xf numFmtId="167" fontId="5" fillId="0" borderId="5" xfId="0" applyNumberFormat="1" applyFont="1" applyBorder="1" applyAlignment="1">
      <alignment horizontal="center"/>
    </xf>
    <xf numFmtId="0" fontId="5" fillId="9" borderId="15" xfId="0" applyFont="1" applyFill="1" applyBorder="1" applyAlignment="1">
      <alignment horizontal="right"/>
    </xf>
    <xf numFmtId="168" fontId="7" fillId="9" borderId="11" xfId="0" applyNumberFormat="1" applyFont="1" applyFill="1" applyBorder="1" applyAlignment="1">
      <alignment horizontal="center"/>
    </xf>
    <xf numFmtId="168" fontId="7" fillId="9" borderId="13" xfId="0" applyNumberFormat="1" applyFont="1" applyFill="1" applyBorder="1" applyAlignment="1">
      <alignment horizontal="center"/>
    </xf>
    <xf numFmtId="167" fontId="5" fillId="0" borderId="15" xfId="0" applyNumberFormat="1" applyFont="1" applyBorder="1" applyAlignment="1">
      <alignment horizontal="center"/>
    </xf>
    <xf numFmtId="0" fontId="5" fillId="9" borderId="4" xfId="0" applyFont="1" applyFill="1" applyBorder="1" applyAlignment="1">
      <alignment horizontal="center"/>
    </xf>
    <xf numFmtId="10" fontId="5" fillId="9" borderId="6" xfId="0" applyNumberFormat="1" applyFont="1" applyFill="1" applyBorder="1" applyAlignment="1">
      <alignment horizontal="center"/>
    </xf>
    <xf numFmtId="10" fontId="5" fillId="9" borderId="7" xfId="0" applyNumberFormat="1" applyFont="1" applyFill="1" applyBorder="1" applyAlignment="1">
      <alignment horizontal="center"/>
    </xf>
    <xf numFmtId="168" fontId="5" fillId="9" borderId="8" xfId="0" applyNumberFormat="1" applyFont="1" applyFill="1" applyBorder="1" applyAlignment="1">
      <alignment horizontal="center"/>
    </xf>
    <xf numFmtId="0" fontId="5" fillId="9" borderId="5" xfId="0" applyFont="1" applyFill="1" applyBorder="1" applyAlignment="1">
      <alignment horizontal="center"/>
    </xf>
    <xf numFmtId="10" fontId="5" fillId="9" borderId="9" xfId="0" applyNumberFormat="1" applyFont="1" applyFill="1" applyBorder="1" applyAlignment="1">
      <alignment horizontal="center"/>
    </xf>
    <xf numFmtId="10" fontId="5" fillId="9" borderId="0" xfId="0" applyNumberFormat="1" applyFont="1" applyFill="1" applyAlignment="1">
      <alignment horizontal="center"/>
    </xf>
    <xf numFmtId="168" fontId="5" fillId="9" borderId="10" xfId="0" applyNumberFormat="1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10" fontId="5" fillId="9" borderId="11" xfId="0" applyNumberFormat="1" applyFont="1" applyFill="1" applyBorder="1" applyAlignment="1">
      <alignment horizontal="center"/>
    </xf>
    <xf numFmtId="10" fontId="5" fillId="9" borderId="12" xfId="0" applyNumberFormat="1" applyFont="1" applyFill="1" applyBorder="1" applyAlignment="1">
      <alignment horizontal="center"/>
    </xf>
    <xf numFmtId="168" fontId="5" fillId="9" borderId="13" xfId="0" applyNumberFormat="1" applyFont="1" applyFill="1" applyBorder="1" applyAlignment="1">
      <alignment horizontal="center"/>
    </xf>
    <xf numFmtId="10" fontId="5" fillId="9" borderId="8" xfId="0" applyNumberFormat="1" applyFont="1" applyFill="1" applyBorder="1" applyAlignment="1">
      <alignment horizontal="center"/>
    </xf>
    <xf numFmtId="10" fontId="5" fillId="9" borderId="10" xfId="0" applyNumberFormat="1" applyFont="1" applyFill="1" applyBorder="1" applyAlignment="1">
      <alignment horizontal="center"/>
    </xf>
    <xf numFmtId="10" fontId="5" fillId="9" borderId="13" xfId="0" applyNumberFormat="1" applyFont="1" applyFill="1" applyBorder="1" applyAlignment="1">
      <alignment horizontal="center"/>
    </xf>
    <xf numFmtId="2" fontId="5" fillId="9" borderId="6" xfId="0" applyNumberFormat="1" applyFont="1" applyFill="1" applyBorder="1" applyAlignment="1">
      <alignment horizontal="center"/>
    </xf>
    <xf numFmtId="2" fontId="5" fillId="9" borderId="7" xfId="0" applyNumberFormat="1" applyFont="1" applyFill="1" applyBorder="1" applyAlignment="1">
      <alignment horizontal="center"/>
    </xf>
    <xf numFmtId="2" fontId="5" fillId="9" borderId="8" xfId="0" applyNumberFormat="1" applyFont="1" applyFill="1" applyBorder="1" applyAlignment="1">
      <alignment horizontal="center"/>
    </xf>
    <xf numFmtId="2" fontId="5" fillId="9" borderId="9" xfId="0" applyNumberFormat="1" applyFont="1" applyFill="1" applyBorder="1" applyAlignment="1">
      <alignment horizontal="center"/>
    </xf>
    <xf numFmtId="2" fontId="5" fillId="9" borderId="0" xfId="0" applyNumberFormat="1" applyFont="1" applyFill="1" applyAlignment="1">
      <alignment horizontal="center"/>
    </xf>
    <xf numFmtId="2" fontId="5" fillId="9" borderId="10" xfId="0" applyNumberFormat="1" applyFont="1" applyFill="1" applyBorder="1" applyAlignment="1">
      <alignment horizontal="center"/>
    </xf>
    <xf numFmtId="2" fontId="5" fillId="9" borderId="11" xfId="0" applyNumberFormat="1" applyFont="1" applyFill="1" applyBorder="1" applyAlignment="1">
      <alignment horizontal="center"/>
    </xf>
    <xf numFmtId="2" fontId="5" fillId="9" borderId="12" xfId="0" applyNumberFormat="1" applyFont="1" applyFill="1" applyBorder="1" applyAlignment="1">
      <alignment horizontal="center"/>
    </xf>
    <xf numFmtId="2" fontId="5" fillId="9" borderId="13" xfId="0" applyNumberFormat="1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4" borderId="3" xfId="0" applyFont="1" applyFill="1" applyBorder="1" applyAlignment="1">
      <alignment horizontal="center" vertical="distributed"/>
    </xf>
    <xf numFmtId="0" fontId="1" fillId="2" borderId="3" xfId="0" applyFont="1" applyFill="1" applyBorder="1" applyAlignment="1">
      <alignment horizontal="center" vertical="distributed"/>
    </xf>
    <xf numFmtId="176" fontId="0" fillId="3" borderId="7" xfId="0" applyNumberFormat="1" applyFill="1" applyBorder="1" applyAlignment="1">
      <alignment horizontal="center"/>
    </xf>
    <xf numFmtId="38" fontId="0" fillId="3" borderId="7" xfId="0" applyNumberFormat="1" applyFill="1" applyBorder="1" applyAlignment="1">
      <alignment horizontal="center"/>
    </xf>
    <xf numFmtId="171" fontId="0" fillId="3" borderId="8" xfId="0" applyNumberFormat="1" applyFill="1" applyBorder="1" applyAlignment="1">
      <alignment horizontal="center"/>
    </xf>
    <xf numFmtId="171" fontId="0" fillId="3" borderId="10" xfId="0" applyNumberFormat="1" applyFill="1" applyBorder="1" applyAlignment="1">
      <alignment horizontal="center"/>
    </xf>
    <xf numFmtId="169" fontId="0" fillId="3" borderId="5" xfId="0" applyNumberFormat="1" applyFill="1" applyBorder="1" applyAlignment="1">
      <alignment horizontal="center"/>
    </xf>
    <xf numFmtId="0" fontId="8" fillId="0" borderId="0" xfId="0" applyFont="1"/>
    <xf numFmtId="0" fontId="1" fillId="15" borderId="9" xfId="0" applyFont="1" applyFill="1" applyBorder="1" applyAlignment="1">
      <alignment horizontal="center"/>
    </xf>
    <xf numFmtId="0" fontId="1" fillId="15" borderId="11" xfId="0" applyFont="1" applyFill="1" applyBorder="1" applyAlignment="1">
      <alignment horizontal="center"/>
    </xf>
    <xf numFmtId="40" fontId="1" fillId="15" borderId="0" xfId="0" applyNumberFormat="1" applyFont="1" applyFill="1" applyAlignment="1">
      <alignment horizontal="center"/>
    </xf>
    <xf numFmtId="40" fontId="0" fillId="15" borderId="0" xfId="0" applyNumberFormat="1" applyFill="1" applyAlignment="1">
      <alignment horizontal="center"/>
    </xf>
    <xf numFmtId="40" fontId="0" fillId="15" borderId="12" xfId="0" applyNumberFormat="1" applyFill="1" applyBorder="1" applyAlignment="1">
      <alignment horizontal="center"/>
    </xf>
    <xf numFmtId="38" fontId="1" fillId="15" borderId="0" xfId="0" applyNumberFormat="1" applyFont="1" applyFill="1" applyAlignment="1">
      <alignment horizontal="center"/>
    </xf>
    <xf numFmtId="38" fontId="0" fillId="15" borderId="0" xfId="0" applyNumberFormat="1" applyFill="1" applyAlignment="1">
      <alignment horizontal="center"/>
    </xf>
    <xf numFmtId="38" fontId="0" fillId="15" borderId="12" xfId="0" applyNumberFormat="1" applyFill="1" applyBorder="1" applyAlignment="1">
      <alignment horizontal="center"/>
    </xf>
    <xf numFmtId="167" fontId="1" fillId="15" borderId="0" xfId="0" applyNumberFormat="1" applyFont="1" applyFill="1" applyAlignment="1">
      <alignment horizontal="center"/>
    </xf>
    <xf numFmtId="167" fontId="0" fillId="15" borderId="0" xfId="0" applyNumberFormat="1" applyFill="1" applyAlignment="1">
      <alignment horizontal="center"/>
    </xf>
    <xf numFmtId="167" fontId="0" fillId="15" borderId="12" xfId="0" applyNumberFormat="1" applyFill="1" applyBorder="1" applyAlignment="1">
      <alignment horizontal="center"/>
    </xf>
    <xf numFmtId="169" fontId="1" fillId="15" borderId="5" xfId="0" applyNumberFormat="1" applyFont="1" applyFill="1" applyBorder="1" applyAlignment="1">
      <alignment horizontal="center"/>
    </xf>
    <xf numFmtId="169" fontId="0" fillId="15" borderId="5" xfId="0" applyNumberFormat="1" applyFill="1" applyBorder="1" applyAlignment="1">
      <alignment horizontal="center"/>
    </xf>
    <xf numFmtId="169" fontId="0" fillId="15" borderId="15" xfId="0" applyNumberFormat="1" applyFill="1" applyBorder="1" applyAlignment="1">
      <alignment horizontal="center"/>
    </xf>
    <xf numFmtId="3" fontId="0" fillId="15" borderId="0" xfId="0" applyNumberFormat="1" applyFill="1" applyAlignment="1">
      <alignment horizontal="center"/>
    </xf>
    <xf numFmtId="3" fontId="0" fillId="15" borderId="12" xfId="0" applyNumberFormat="1" applyFill="1" applyBorder="1" applyAlignment="1">
      <alignment horizontal="center"/>
    </xf>
    <xf numFmtId="3" fontId="1" fillId="15" borderId="0" xfId="0" applyNumberFormat="1" applyFont="1" applyFill="1" applyAlignment="1">
      <alignment horizontal="center"/>
    </xf>
    <xf numFmtId="3" fontId="0" fillId="15" borderId="15" xfId="0" applyNumberFormat="1" applyFill="1" applyBorder="1" applyAlignment="1">
      <alignment horizontal="center"/>
    </xf>
    <xf numFmtId="3" fontId="1" fillId="15" borderId="5" xfId="0" applyNumberFormat="1" applyFont="1" applyFill="1" applyBorder="1" applyAlignment="1">
      <alignment horizontal="center"/>
    </xf>
    <xf numFmtId="164" fontId="0" fillId="15" borderId="5" xfId="0" applyNumberFormat="1" applyFill="1" applyBorder="1" applyAlignment="1">
      <alignment horizontal="center"/>
    </xf>
    <xf numFmtId="164" fontId="0" fillId="15" borderId="15" xfId="0" applyNumberFormat="1" applyFill="1" applyBorder="1" applyAlignment="1">
      <alignment horizontal="center"/>
    </xf>
    <xf numFmtId="164" fontId="1" fillId="15" borderId="5" xfId="0" applyNumberFormat="1" applyFont="1" applyFill="1" applyBorder="1" applyAlignment="1">
      <alignment horizontal="center"/>
    </xf>
    <xf numFmtId="38" fontId="0" fillId="15" borderId="9" xfId="0" applyNumberFormat="1" applyFill="1" applyBorder="1" applyAlignment="1">
      <alignment horizontal="center"/>
    </xf>
    <xf numFmtId="38" fontId="0" fillId="15" borderId="11" xfId="0" applyNumberFormat="1" applyFill="1" applyBorder="1" applyAlignment="1">
      <alignment horizontal="center"/>
    </xf>
    <xf numFmtId="38" fontId="1" fillId="15" borderId="9" xfId="0" applyNumberFormat="1" applyFont="1" applyFill="1" applyBorder="1" applyAlignment="1">
      <alignment horizontal="center"/>
    </xf>
    <xf numFmtId="166" fontId="1" fillId="15" borderId="0" xfId="0" applyNumberFormat="1" applyFont="1" applyFill="1" applyAlignment="1">
      <alignment horizontal="center"/>
    </xf>
    <xf numFmtId="164" fontId="1" fillId="15" borderId="10" xfId="0" applyNumberFormat="1" applyFont="1" applyFill="1" applyBorder="1" applyAlignment="1">
      <alignment horizontal="center"/>
    </xf>
    <xf numFmtId="3" fontId="1" fillId="15" borderId="12" xfId="0" applyNumberFormat="1" applyFont="1" applyFill="1" applyBorder="1" applyAlignment="1">
      <alignment horizontal="center"/>
    </xf>
    <xf numFmtId="166" fontId="1" fillId="15" borderId="12" xfId="0" applyNumberFormat="1" applyFont="1" applyFill="1" applyBorder="1" applyAlignment="1">
      <alignment horizontal="center"/>
    </xf>
    <xf numFmtId="164" fontId="1" fillId="15" borderId="13" xfId="0" applyNumberFormat="1" applyFont="1" applyFill="1" applyBorder="1" applyAlignment="1">
      <alignment horizontal="center"/>
    </xf>
    <xf numFmtId="167" fontId="0" fillId="15" borderId="9" xfId="0" applyNumberFormat="1" applyFill="1" applyBorder="1" applyAlignment="1">
      <alignment horizontal="center"/>
    </xf>
    <xf numFmtId="167" fontId="0" fillId="15" borderId="11" xfId="0" applyNumberFormat="1" applyFill="1" applyBorder="1" applyAlignment="1">
      <alignment horizontal="center"/>
    </xf>
    <xf numFmtId="167" fontId="1" fillId="15" borderId="9" xfId="0" applyNumberFormat="1" applyFont="1" applyFill="1" applyBorder="1" applyAlignment="1">
      <alignment horizontal="center"/>
    </xf>
    <xf numFmtId="9" fontId="1" fillId="15" borderId="10" xfId="0" applyNumberFormat="1" applyFont="1" applyFill="1" applyBorder="1" applyAlignment="1">
      <alignment horizontal="center"/>
    </xf>
    <xf numFmtId="9" fontId="1" fillId="15" borderId="13" xfId="0" applyNumberFormat="1" applyFont="1" applyFill="1" applyBorder="1" applyAlignment="1">
      <alignment horizontal="center"/>
    </xf>
    <xf numFmtId="2" fontId="5" fillId="6" borderId="8" xfId="0" applyNumberFormat="1" applyFont="1" applyFill="1" applyBorder="1" applyAlignment="1">
      <alignment horizontal="center"/>
    </xf>
    <xf numFmtId="2" fontId="5" fillId="6" borderId="10" xfId="0" applyNumberFormat="1" applyFont="1" applyFill="1" applyBorder="1" applyAlignment="1">
      <alignment horizontal="center"/>
    </xf>
    <xf numFmtId="164" fontId="1" fillId="15" borderId="9" xfId="0" applyNumberFormat="1" applyFont="1" applyFill="1" applyBorder="1" applyAlignment="1">
      <alignment horizontal="center"/>
    </xf>
    <xf numFmtId="166" fontId="1" fillId="15" borderId="10" xfId="0" applyNumberFormat="1" applyFont="1" applyFill="1" applyBorder="1" applyAlignment="1">
      <alignment horizontal="center"/>
    </xf>
    <xf numFmtId="164" fontId="0" fillId="15" borderId="9" xfId="0" applyNumberFormat="1" applyFill="1" applyBorder="1" applyAlignment="1">
      <alignment horizontal="center"/>
    </xf>
    <xf numFmtId="164" fontId="0" fillId="15" borderId="11" xfId="0" applyNumberFormat="1" applyFill="1" applyBorder="1" applyAlignment="1">
      <alignment horizontal="center"/>
    </xf>
    <xf numFmtId="166" fontId="1" fillId="15" borderId="13" xfId="0" applyNumberFormat="1" applyFont="1" applyFill="1" applyBorder="1" applyAlignment="1">
      <alignment horizontal="center"/>
    </xf>
    <xf numFmtId="164" fontId="1" fillId="15" borderId="9" xfId="0" applyNumberFormat="1" applyFont="1" applyFill="1" applyBorder="1" applyAlignment="1">
      <alignment horizontal="left"/>
    </xf>
    <xf numFmtId="0" fontId="9" fillId="15" borderId="0" xfId="0" applyFont="1" applyFill="1"/>
    <xf numFmtId="0" fontId="0" fillId="15" borderId="0" xfId="0" applyFill="1"/>
    <xf numFmtId="10" fontId="0" fillId="15" borderId="0" xfId="0" applyNumberFormat="1" applyFill="1"/>
    <xf numFmtId="0" fontId="2" fillId="15" borderId="0" xfId="0" applyFont="1" applyFill="1"/>
    <xf numFmtId="0" fontId="1" fillId="15" borderId="0" xfId="0" applyFont="1" applyFill="1"/>
    <xf numFmtId="165" fontId="0" fillId="15" borderId="0" xfId="0" applyNumberFormat="1" applyFill="1"/>
    <xf numFmtId="4" fontId="0" fillId="15" borderId="0" xfId="0" applyNumberFormat="1" applyFill="1"/>
    <xf numFmtId="9" fontId="0" fillId="15" borderId="0" xfId="0" applyNumberFormat="1" applyFill="1"/>
    <xf numFmtId="2" fontId="10" fillId="6" borderId="7" xfId="0" applyNumberFormat="1" applyFont="1" applyFill="1" applyBorder="1" applyAlignment="1">
      <alignment horizontal="center"/>
    </xf>
    <xf numFmtId="2" fontId="10" fillId="6" borderId="0" xfId="0" applyNumberFormat="1" applyFont="1" applyFill="1" applyAlignment="1">
      <alignment horizontal="center"/>
    </xf>
    <xf numFmtId="0" fontId="10" fillId="9" borderId="4" xfId="0" applyFont="1" applyFill="1" applyBorder="1" applyAlignment="1">
      <alignment horizontal="right"/>
    </xf>
    <xf numFmtId="10" fontId="11" fillId="9" borderId="6" xfId="0" applyNumberFormat="1" applyFont="1" applyFill="1" applyBorder="1"/>
    <xf numFmtId="10" fontId="11" fillId="9" borderId="8" xfId="0" applyNumberFormat="1" applyFont="1" applyFill="1" applyBorder="1" applyAlignment="1">
      <alignment horizontal="left"/>
    </xf>
    <xf numFmtId="0" fontId="10" fillId="9" borderId="5" xfId="0" applyFont="1" applyFill="1" applyBorder="1" applyAlignment="1">
      <alignment horizontal="right"/>
    </xf>
    <xf numFmtId="10" fontId="11" fillId="9" borderId="9" xfId="0" applyNumberFormat="1" applyFont="1" applyFill="1" applyBorder="1"/>
    <xf numFmtId="10" fontId="11" fillId="9" borderId="10" xfId="0" applyNumberFormat="1" applyFont="1" applyFill="1" applyBorder="1" applyAlignment="1">
      <alignment horizontal="left"/>
    </xf>
    <xf numFmtId="0" fontId="10" fillId="9" borderId="15" xfId="0" applyFont="1" applyFill="1" applyBorder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center"/>
    </xf>
    <xf numFmtId="164" fontId="1" fillId="6" borderId="4" xfId="0" applyNumberFormat="1" applyFont="1" applyFill="1" applyBorder="1" applyAlignment="1">
      <alignment horizontal="center"/>
    </xf>
    <xf numFmtId="164" fontId="1" fillId="6" borderId="5" xfId="0" applyNumberFormat="1" applyFont="1" applyFill="1" applyBorder="1" applyAlignment="1">
      <alignment horizontal="center"/>
    </xf>
    <xf numFmtId="10" fontId="1" fillId="8" borderId="7" xfId="0" applyNumberFormat="1" applyFont="1" applyFill="1" applyBorder="1" applyAlignment="1">
      <alignment horizontal="center"/>
    </xf>
    <xf numFmtId="10" fontId="1" fillId="8" borderId="0" xfId="0" applyNumberFormat="1" applyFont="1" applyFill="1" applyAlignment="1">
      <alignment horizontal="center"/>
    </xf>
    <xf numFmtId="38" fontId="0" fillId="0" borderId="0" xfId="0" applyNumberFormat="1" applyAlignment="1">
      <alignment horizontal="center"/>
    </xf>
    <xf numFmtId="164" fontId="0" fillId="17" borderId="15" xfId="0" applyNumberFormat="1" applyFill="1" applyBorder="1" applyAlignment="1">
      <alignment horizontal="center"/>
    </xf>
    <xf numFmtId="40" fontId="2" fillId="0" borderId="0" xfId="0" applyNumberFormat="1" applyFont="1" applyAlignment="1">
      <alignment horizontal="center"/>
    </xf>
    <xf numFmtId="3" fontId="1" fillId="2" borderId="0" xfId="0" applyNumberFormat="1" applyFont="1" applyFill="1" applyAlignment="1">
      <alignment horizontal="center"/>
    </xf>
    <xf numFmtId="3" fontId="1" fillId="12" borderId="0" xfId="0" applyNumberFormat="1" applyFont="1" applyFill="1" applyAlignment="1">
      <alignment horizontal="center"/>
    </xf>
    <xf numFmtId="10" fontId="1" fillId="8" borderId="8" xfId="0" applyNumberFormat="1" applyFont="1" applyFill="1" applyBorder="1" applyAlignment="1">
      <alignment horizontal="center"/>
    </xf>
    <xf numFmtId="10" fontId="1" fillId="8" borderId="10" xfId="0" applyNumberFormat="1" applyFont="1" applyFill="1" applyBorder="1" applyAlignment="1">
      <alignment horizontal="center"/>
    </xf>
    <xf numFmtId="10" fontId="0" fillId="4" borderId="7" xfId="0" applyNumberFormat="1" applyFill="1" applyBorder="1" applyAlignment="1">
      <alignment horizontal="center"/>
    </xf>
    <xf numFmtId="10" fontId="0" fillId="4" borderId="8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0" fontId="0" fillId="4" borderId="10" xfId="0" applyNumberFormat="1" applyFill="1" applyBorder="1" applyAlignment="1">
      <alignment horizontal="center"/>
    </xf>
    <xf numFmtId="169" fontId="0" fillId="13" borderId="4" xfId="0" applyNumberFormat="1" applyFill="1" applyBorder="1" applyAlignment="1">
      <alignment horizontal="center"/>
    </xf>
    <xf numFmtId="169" fontId="0" fillId="13" borderId="5" xfId="0" applyNumberFormat="1" applyFill="1" applyBorder="1" applyAlignment="1">
      <alignment horizontal="center"/>
    </xf>
    <xf numFmtId="2" fontId="0" fillId="0" borderId="0" xfId="0" applyNumberFormat="1"/>
    <xf numFmtId="0" fontId="1" fillId="18" borderId="14" xfId="0" applyFont="1" applyFill="1" applyBorder="1" applyAlignment="1">
      <alignment horizontal="center" vertical="center"/>
    </xf>
    <xf numFmtId="10" fontId="1" fillId="3" borderId="10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distributed"/>
    </xf>
    <xf numFmtId="0" fontId="1" fillId="5" borderId="3" xfId="0" applyFont="1" applyFill="1" applyBorder="1" applyAlignment="1">
      <alignment horizontal="center" vertical="distributed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3" fillId="0" borderId="0" xfId="0" applyFont="1" applyAlignment="1">
      <alignment wrapText="1"/>
    </xf>
    <xf numFmtId="3" fontId="0" fillId="12" borderId="4" xfId="0" applyNumberFormat="1" applyFill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164" fontId="0" fillId="12" borderId="4" xfId="0" applyNumberFormat="1" applyFill="1" applyBorder="1" applyAlignment="1">
      <alignment horizontal="center"/>
    </xf>
    <xf numFmtId="38" fontId="0" fillId="12" borderId="6" xfId="0" applyNumberFormat="1" applyFill="1" applyBorder="1" applyAlignment="1">
      <alignment horizontal="center"/>
    </xf>
    <xf numFmtId="3" fontId="1" fillId="12" borderId="7" xfId="0" applyNumberFormat="1" applyFont="1" applyFill="1" applyBorder="1" applyAlignment="1">
      <alignment horizontal="center"/>
    </xf>
    <xf numFmtId="164" fontId="0" fillId="12" borderId="8" xfId="0" applyNumberFormat="1" applyFill="1" applyBorder="1" applyAlignment="1">
      <alignment horizontal="center"/>
    </xf>
    <xf numFmtId="0" fontId="1" fillId="12" borderId="6" xfId="0" applyFont="1" applyFill="1" applyBorder="1" applyAlignment="1">
      <alignment horizontal="center"/>
    </xf>
    <xf numFmtId="38" fontId="0" fillId="12" borderId="7" xfId="0" applyNumberFormat="1" applyFill="1" applyBorder="1" applyAlignment="1">
      <alignment horizontal="center"/>
    </xf>
    <xf numFmtId="3" fontId="0" fillId="12" borderId="8" xfId="0" applyNumberFormat="1" applyFill="1" applyBorder="1" applyAlignment="1">
      <alignment horizontal="center"/>
    </xf>
    <xf numFmtId="169" fontId="0" fillId="13" borderId="19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0" fontId="0" fillId="4" borderId="21" xfId="0" applyNumberFormat="1" applyFill="1" applyBorder="1" applyAlignment="1">
      <alignment horizontal="center"/>
    </xf>
    <xf numFmtId="10" fontId="0" fillId="4" borderId="22" xfId="0" applyNumberFormat="1" applyFill="1" applyBorder="1" applyAlignment="1">
      <alignment horizontal="center"/>
    </xf>
    <xf numFmtId="169" fontId="0" fillId="12" borderId="4" xfId="0" applyNumberFormat="1" applyFill="1" applyBorder="1" applyAlignment="1">
      <alignment horizontal="center"/>
    </xf>
    <xf numFmtId="169" fontId="0" fillId="12" borderId="5" xfId="0" applyNumberFormat="1" applyFill="1" applyBorder="1" applyAlignment="1">
      <alignment horizontal="center"/>
    </xf>
    <xf numFmtId="164" fontId="0" fillId="12" borderId="19" xfId="0" applyNumberFormat="1" applyFill="1" applyBorder="1" applyAlignment="1">
      <alignment horizontal="center"/>
    </xf>
    <xf numFmtId="38" fontId="0" fillId="12" borderId="20" xfId="0" applyNumberFormat="1" applyFill="1" applyBorder="1" applyAlignment="1">
      <alignment horizontal="center"/>
    </xf>
    <xf numFmtId="3" fontId="1" fillId="12" borderId="21" xfId="0" applyNumberFormat="1" applyFont="1" applyFill="1" applyBorder="1" applyAlignment="1">
      <alignment horizontal="center"/>
    </xf>
    <xf numFmtId="164" fontId="0" fillId="12" borderId="22" xfId="0" applyNumberFormat="1" applyFill="1" applyBorder="1" applyAlignment="1">
      <alignment horizontal="center"/>
    </xf>
    <xf numFmtId="0" fontId="1" fillId="12" borderId="20" xfId="0" applyFont="1" applyFill="1" applyBorder="1" applyAlignment="1">
      <alignment horizontal="center"/>
    </xf>
    <xf numFmtId="38" fontId="0" fillId="12" borderId="21" xfId="0" applyNumberFormat="1" applyFill="1" applyBorder="1" applyAlignment="1">
      <alignment horizontal="center"/>
    </xf>
    <xf numFmtId="169" fontId="0" fillId="12" borderId="19" xfId="0" applyNumberFormat="1" applyFill="1" applyBorder="1" applyAlignment="1">
      <alignment horizontal="center"/>
    </xf>
    <xf numFmtId="10" fontId="1" fillId="3" borderId="8" xfId="0" applyNumberFormat="1" applyFont="1" applyFill="1" applyBorder="1" applyAlignment="1">
      <alignment horizontal="center"/>
    </xf>
    <xf numFmtId="3" fontId="1" fillId="12" borderId="5" xfId="0" applyNumberFormat="1" applyFont="1" applyFill="1" applyBorder="1" applyAlignment="1">
      <alignment horizontal="center"/>
    </xf>
    <xf numFmtId="3" fontId="0" fillId="12" borderId="19" xfId="0" applyNumberFormat="1" applyFill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15" fontId="1" fillId="0" borderId="17" xfId="0" applyNumberFormat="1" applyFont="1" applyBorder="1" applyAlignment="1">
      <alignment horizontal="center" vertical="center"/>
    </xf>
    <xf numFmtId="167" fontId="1" fillId="0" borderId="17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3" fontId="0" fillId="0" borderId="19" xfId="0" applyNumberFormat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38" fontId="0" fillId="3" borderId="21" xfId="0" applyNumberFormat="1" applyFill="1" applyBorder="1" applyAlignment="1">
      <alignment horizontal="center"/>
    </xf>
    <xf numFmtId="167" fontId="0" fillId="3" borderId="22" xfId="0" applyNumberFormat="1" applyFill="1" applyBorder="1" applyAlignment="1">
      <alignment horizontal="center"/>
    </xf>
    <xf numFmtId="177" fontId="0" fillId="16" borderId="15" xfId="0" applyNumberFormat="1" applyFill="1" applyBorder="1" applyAlignment="1">
      <alignment horizontal="center"/>
    </xf>
    <xf numFmtId="169" fontId="0" fillId="13" borderId="16" xfId="0" applyNumberFormat="1" applyFill="1" applyBorder="1" applyAlignment="1">
      <alignment horizontal="center"/>
    </xf>
    <xf numFmtId="10" fontId="1" fillId="0" borderId="6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68" fontId="1" fillId="0" borderId="8" xfId="0" applyNumberFormat="1" applyFont="1" applyBorder="1" applyAlignment="1">
      <alignment horizontal="center"/>
    </xf>
    <xf numFmtId="0" fontId="1" fillId="5" borderId="2" xfId="0" applyFont="1" applyFill="1" applyBorder="1" applyAlignment="1">
      <alignment horizontal="center" vertical="distributed" wrapText="1"/>
    </xf>
    <xf numFmtId="0" fontId="0" fillId="5" borderId="3" xfId="0" applyFill="1" applyBorder="1" applyAlignment="1">
      <alignment horizontal="center" vertical="distributed"/>
    </xf>
    <xf numFmtId="10" fontId="1" fillId="0" borderId="8" xfId="0" applyNumberFormat="1" applyFont="1" applyBorder="1" applyAlignment="1">
      <alignment horizontal="center"/>
    </xf>
    <xf numFmtId="167" fontId="4" fillId="10" borderId="11" xfId="0" applyNumberFormat="1" applyFont="1" applyFill="1" applyBorder="1"/>
    <xf numFmtId="167" fontId="2" fillId="0" borderId="0" xfId="0" applyNumberFormat="1" applyFont="1"/>
    <xf numFmtId="177" fontId="2" fillId="16" borderId="15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10" fontId="10" fillId="4" borderId="7" xfId="0" applyNumberFormat="1" applyFont="1" applyFill="1" applyBorder="1" applyAlignment="1">
      <alignment horizontal="center"/>
    </xf>
    <xf numFmtId="10" fontId="10" fillId="4" borderId="0" xfId="0" applyNumberFormat="1" applyFont="1" applyFill="1" applyAlignment="1">
      <alignment horizontal="center"/>
    </xf>
    <xf numFmtId="10" fontId="10" fillId="4" borderId="21" xfId="0" applyNumberFormat="1" applyFont="1" applyFill="1" applyBorder="1" applyAlignment="1">
      <alignment horizontal="center"/>
    </xf>
    <xf numFmtId="169" fontId="1" fillId="13" borderId="3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68" fontId="1" fillId="0" borderId="10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0" fontId="1" fillId="0" borderId="11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68" fontId="1" fillId="0" borderId="13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1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0" fontId="1" fillId="16" borderId="4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0" fontId="0" fillId="4" borderId="25" xfId="0" applyNumberForma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169" fontId="3" fillId="8" borderId="3" xfId="0" applyNumberFormat="1" applyFont="1" applyFill="1" applyBorder="1" applyAlignment="1">
      <alignment horizontal="right"/>
    </xf>
    <xf numFmtId="169" fontId="0" fillId="13" borderId="3" xfId="0" applyNumberFormat="1" applyFill="1" applyBorder="1" applyAlignment="1">
      <alignment horizontal="right"/>
    </xf>
    <xf numFmtId="167" fontId="1" fillId="0" borderId="9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167" fontId="1" fillId="0" borderId="12" xfId="0" applyNumberFormat="1" applyFont="1" applyBorder="1" applyAlignment="1">
      <alignment horizontal="center"/>
    </xf>
    <xf numFmtId="167" fontId="1" fillId="0" borderId="13" xfId="0" applyNumberFormat="1" applyFont="1" applyBorder="1" applyAlignment="1">
      <alignment horizontal="center"/>
    </xf>
    <xf numFmtId="10" fontId="11" fillId="9" borderId="11" xfId="0" applyNumberFormat="1" applyFont="1" applyFill="1" applyBorder="1"/>
    <xf numFmtId="10" fontId="11" fillId="9" borderId="13" xfId="0" applyNumberFormat="1" applyFont="1" applyFill="1" applyBorder="1" applyAlignment="1">
      <alignment horizontal="left"/>
    </xf>
    <xf numFmtId="178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9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2" fontId="1" fillId="6" borderId="7" xfId="0" applyNumberFormat="1" applyFont="1" applyFill="1" applyBorder="1" applyAlignment="1">
      <alignment horizontal="center"/>
    </xf>
    <xf numFmtId="2" fontId="1" fillId="6" borderId="0" xfId="0" applyNumberFormat="1" applyFont="1" applyFill="1" applyAlignment="1">
      <alignment horizontal="center"/>
    </xf>
    <xf numFmtId="38" fontId="1" fillId="6" borderId="7" xfId="0" applyNumberFormat="1" applyFont="1" applyFill="1" applyBorder="1" applyAlignment="1">
      <alignment horizontal="center"/>
    </xf>
    <xf numFmtId="38" fontId="1" fillId="6" borderId="0" xfId="0" applyNumberFormat="1" applyFont="1" applyFill="1" applyAlignment="1">
      <alignment horizontal="center"/>
    </xf>
    <xf numFmtId="0" fontId="1" fillId="6" borderId="1" xfId="0" applyFont="1" applyFill="1" applyBorder="1" applyAlignment="1">
      <alignment horizontal="center" vertical="center" wrapText="1"/>
    </xf>
    <xf numFmtId="178" fontId="1" fillId="6" borderId="6" xfId="0" applyNumberFormat="1" applyFont="1" applyFill="1" applyBorder="1" applyAlignment="1">
      <alignment horizontal="center"/>
    </xf>
    <xf numFmtId="4" fontId="6" fillId="0" borderId="0" xfId="0" applyNumberFormat="1" applyFont="1" applyAlignment="1">
      <alignment horizontal="center"/>
    </xf>
    <xf numFmtId="4" fontId="5" fillId="12" borderId="7" xfId="0" applyNumberFormat="1" applyFont="1" applyFill="1" applyBorder="1" applyAlignment="1">
      <alignment horizontal="center"/>
    </xf>
    <xf numFmtId="4" fontId="5" fillId="12" borderId="0" xfId="0" applyNumberFormat="1" applyFont="1" applyFill="1" applyAlignment="1">
      <alignment horizontal="center"/>
    </xf>
    <xf numFmtId="4" fontId="5" fillId="12" borderId="21" xfId="0" applyNumberFormat="1" applyFont="1" applyFill="1" applyBorder="1" applyAlignment="1">
      <alignment horizontal="center"/>
    </xf>
    <xf numFmtId="4" fontId="5" fillId="2" borderId="0" xfId="0" applyNumberFormat="1" applyFont="1" applyFill="1" applyAlignment="1">
      <alignment horizontal="center"/>
    </xf>
    <xf numFmtId="4" fontId="14" fillId="0" borderId="0" xfId="0" applyNumberFormat="1" applyFont="1" applyAlignment="1">
      <alignment horizontal="center"/>
    </xf>
    <xf numFmtId="4" fontId="10" fillId="12" borderId="7" xfId="0" applyNumberFormat="1" applyFont="1" applyFill="1" applyBorder="1" applyAlignment="1">
      <alignment horizontal="center"/>
    </xf>
    <xf numFmtId="4" fontId="10" fillId="12" borderId="0" xfId="0" applyNumberFormat="1" applyFont="1" applyFill="1" applyAlignment="1">
      <alignment horizontal="center"/>
    </xf>
    <xf numFmtId="4" fontId="10" fillId="2" borderId="0" xfId="0" applyNumberFormat="1" applyFont="1" applyFill="1" applyAlignment="1">
      <alignment horizontal="center"/>
    </xf>
    <xf numFmtId="178" fontId="5" fillId="0" borderId="0" xfId="0" applyNumberFormat="1" applyFont="1" applyAlignment="1">
      <alignment horizontal="center"/>
    </xf>
    <xf numFmtId="178" fontId="10" fillId="6" borderId="7" xfId="0" applyNumberFormat="1" applyFont="1" applyFill="1" applyBorder="1" applyAlignment="1">
      <alignment horizontal="center"/>
    </xf>
    <xf numFmtId="178" fontId="1" fillId="6" borderId="7" xfId="0" applyNumberFormat="1" applyFont="1" applyFill="1" applyBorder="1" applyAlignment="1">
      <alignment horizontal="center"/>
    </xf>
    <xf numFmtId="178" fontId="1" fillId="6" borderId="0" xfId="0" applyNumberFormat="1" applyFont="1" applyFill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 wrapText="1"/>
    </xf>
    <xf numFmtId="167" fontId="1" fillId="8" borderId="6" xfId="0" applyNumberFormat="1" applyFont="1" applyFill="1" applyBorder="1" applyAlignment="1">
      <alignment horizontal="center"/>
    </xf>
    <xf numFmtId="167" fontId="1" fillId="8" borderId="7" xfId="0" applyNumberFormat="1" applyFont="1" applyFill="1" applyBorder="1" applyAlignment="1">
      <alignment horizontal="center"/>
    </xf>
    <xf numFmtId="167" fontId="1" fillId="8" borderId="9" xfId="0" applyNumberFormat="1" applyFont="1" applyFill="1" applyBorder="1" applyAlignment="1">
      <alignment horizontal="center"/>
    </xf>
    <xf numFmtId="167" fontId="1" fillId="8" borderId="0" xfId="0" applyNumberFormat="1" applyFont="1" applyFill="1" applyAlignment="1">
      <alignment horizontal="center"/>
    </xf>
    <xf numFmtId="167" fontId="0" fillId="12" borderId="8" xfId="0" applyNumberFormat="1" applyFill="1" applyBorder="1" applyAlignment="1">
      <alignment horizontal="center"/>
    </xf>
    <xf numFmtId="167" fontId="0" fillId="12" borderId="10" xfId="0" applyNumberFormat="1" applyFill="1" applyBorder="1" applyAlignment="1">
      <alignment horizontal="center"/>
    </xf>
    <xf numFmtId="38" fontId="0" fillId="19" borderId="7" xfId="0" applyNumberFormat="1" applyFill="1" applyBorder="1" applyAlignment="1">
      <alignment horizontal="center"/>
    </xf>
    <xf numFmtId="38" fontId="0" fillId="19" borderId="0" xfId="0" applyNumberFormat="1" applyFill="1" applyAlignment="1">
      <alignment horizontal="center"/>
    </xf>
    <xf numFmtId="179" fontId="0" fillId="12" borderId="10" xfId="0" applyNumberFormat="1" applyFill="1" applyBorder="1" applyAlignment="1">
      <alignment horizontal="center"/>
    </xf>
    <xf numFmtId="180" fontId="0" fillId="12" borderId="10" xfId="0" applyNumberFormat="1" applyFill="1" applyBorder="1" applyAlignment="1">
      <alignment horizontal="center"/>
    </xf>
    <xf numFmtId="180" fontId="0" fillId="12" borderId="8" xfId="0" applyNumberFormat="1" applyFill="1" applyBorder="1" applyAlignment="1">
      <alignment horizontal="center"/>
    </xf>
    <xf numFmtId="180" fontId="0" fillId="3" borderId="10" xfId="0" applyNumberFormat="1" applyFill="1" applyBorder="1" applyAlignment="1">
      <alignment horizontal="center"/>
    </xf>
    <xf numFmtId="181" fontId="0" fillId="3" borderId="10" xfId="0" applyNumberFormat="1" applyFill="1" applyBorder="1" applyAlignment="1">
      <alignment horizontal="center"/>
    </xf>
    <xf numFmtId="38" fontId="1" fillId="12" borderId="7" xfId="0" applyNumberFormat="1" applyFont="1" applyFill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164" fontId="1" fillId="6" borderId="10" xfId="0" applyNumberFormat="1" applyFont="1" applyFill="1" applyBorder="1" applyAlignment="1">
      <alignment horizontal="center"/>
    </xf>
    <xf numFmtId="3" fontId="0" fillId="3" borderId="5" xfId="0" applyNumberFormat="1" applyFill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0" fillId="2" borderId="27" xfId="0" applyNumberFormat="1" applyFill="1" applyBorder="1" applyAlignment="1">
      <alignment horizontal="center"/>
    </xf>
    <xf numFmtId="38" fontId="0" fillId="2" borderId="28" xfId="0" applyNumberFormat="1" applyFill="1" applyBorder="1" applyAlignment="1">
      <alignment horizontal="center"/>
    </xf>
    <xf numFmtId="4" fontId="5" fillId="2" borderId="29" xfId="0" applyNumberFormat="1" applyFont="1" applyFill="1" applyBorder="1" applyAlignment="1">
      <alignment horizontal="center"/>
    </xf>
    <xf numFmtId="3" fontId="1" fillId="12" borderId="30" xfId="0" applyNumberFormat="1" applyFont="1" applyFill="1" applyBorder="1" applyAlignment="1">
      <alignment horizontal="center"/>
    </xf>
    <xf numFmtId="164" fontId="0" fillId="2" borderId="31" xfId="0" applyNumberForma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38" fontId="0" fillId="12" borderId="30" xfId="0" applyNumberFormat="1" applyFill="1" applyBorder="1" applyAlignment="1">
      <alignment horizontal="center"/>
    </xf>
    <xf numFmtId="38" fontId="0" fillId="3" borderId="29" xfId="0" applyNumberFormat="1" applyFill="1" applyBorder="1" applyAlignment="1">
      <alignment horizontal="center"/>
    </xf>
    <xf numFmtId="179" fontId="0" fillId="12" borderId="32" xfId="0" applyNumberFormat="1" applyFill="1" applyBorder="1" applyAlignment="1">
      <alignment horizontal="center"/>
    </xf>
    <xf numFmtId="169" fontId="0" fillId="12" borderId="33" xfId="0" applyNumberFormat="1" applyFill="1" applyBorder="1" applyAlignment="1">
      <alignment horizontal="center"/>
    </xf>
    <xf numFmtId="3" fontId="0" fillId="12" borderId="33" xfId="0" applyNumberFormat="1" applyFill="1" applyBorder="1" applyAlignment="1">
      <alignment horizontal="center"/>
    </xf>
    <xf numFmtId="167" fontId="0" fillId="4" borderId="34" xfId="0" applyNumberFormat="1" applyFill="1" applyBorder="1" applyAlignment="1">
      <alignment horizontal="center"/>
    </xf>
    <xf numFmtId="167" fontId="0" fillId="4" borderId="30" xfId="0" applyNumberFormat="1" applyFill="1" applyBorder="1" applyAlignment="1">
      <alignment horizontal="center"/>
    </xf>
    <xf numFmtId="10" fontId="10" fillId="4" borderId="30" xfId="0" applyNumberFormat="1" applyFont="1" applyFill="1" applyBorder="1" applyAlignment="1">
      <alignment horizontal="center"/>
    </xf>
    <xf numFmtId="10" fontId="10" fillId="4" borderId="29" xfId="0" applyNumberFormat="1" applyFont="1" applyFill="1" applyBorder="1" applyAlignment="1">
      <alignment horizontal="center"/>
    </xf>
    <xf numFmtId="10" fontId="0" fillId="4" borderId="30" xfId="0" applyNumberFormat="1" applyFill="1" applyBorder="1" applyAlignment="1">
      <alignment horizontal="center"/>
    </xf>
    <xf numFmtId="10" fontId="0" fillId="4" borderId="31" xfId="0" applyNumberFormat="1" applyFill="1" applyBorder="1" applyAlignment="1">
      <alignment horizontal="center"/>
    </xf>
    <xf numFmtId="3" fontId="0" fillId="12" borderId="10" xfId="0" applyNumberFormat="1" applyFill="1" applyBorder="1" applyAlignment="1">
      <alignment horizontal="center"/>
    </xf>
    <xf numFmtId="3" fontId="0" fillId="12" borderId="27" xfId="0" applyNumberFormat="1" applyFill="1" applyBorder="1" applyAlignment="1">
      <alignment horizontal="center"/>
    </xf>
    <xf numFmtId="164" fontId="0" fillId="12" borderId="27" xfId="0" applyNumberFormat="1" applyFill="1" applyBorder="1" applyAlignment="1">
      <alignment horizontal="center"/>
    </xf>
    <xf numFmtId="164" fontId="0" fillId="12" borderId="33" xfId="0" applyNumberFormat="1" applyFill="1" applyBorder="1" applyAlignment="1">
      <alignment horizontal="center"/>
    </xf>
    <xf numFmtId="38" fontId="0" fillId="12" borderId="34" xfId="0" applyNumberFormat="1" applyFill="1" applyBorder="1" applyAlignment="1">
      <alignment horizontal="center"/>
    </xf>
    <xf numFmtId="4" fontId="5" fillId="12" borderId="29" xfId="0" applyNumberFormat="1" applyFont="1" applyFill="1" applyBorder="1" applyAlignment="1">
      <alignment horizontal="center"/>
    </xf>
    <xf numFmtId="164" fontId="0" fillId="12" borderId="31" xfId="0" applyNumberFormat="1" applyFill="1" applyBorder="1" applyAlignment="1">
      <alignment horizontal="center"/>
    </xf>
    <xf numFmtId="0" fontId="1" fillId="12" borderId="34" xfId="0" applyFont="1" applyFill="1" applyBorder="1" applyAlignment="1">
      <alignment horizontal="center"/>
    </xf>
    <xf numFmtId="38" fontId="0" fillId="12" borderId="29" xfId="0" applyNumberFormat="1" applyFill="1" applyBorder="1" applyAlignment="1">
      <alignment horizontal="center"/>
    </xf>
    <xf numFmtId="180" fontId="0" fillId="12" borderId="31" xfId="0" applyNumberFormat="1" applyFill="1" applyBorder="1" applyAlignment="1">
      <alignment horizontal="center"/>
    </xf>
    <xf numFmtId="10" fontId="0" fillId="4" borderId="32" xfId="0" applyNumberFormat="1" applyFill="1" applyBorder="1" applyAlignment="1">
      <alignment horizontal="center"/>
    </xf>
    <xf numFmtId="4" fontId="5" fillId="12" borderId="30" xfId="0" applyNumberFormat="1" applyFont="1" applyFill="1" applyBorder="1" applyAlignment="1">
      <alignment horizontal="center"/>
    </xf>
    <xf numFmtId="3" fontId="1" fillId="2" borderId="29" xfId="0" applyNumberFormat="1" applyFont="1" applyFill="1" applyBorder="1" applyAlignment="1">
      <alignment horizontal="center"/>
    </xf>
    <xf numFmtId="167" fontId="0" fillId="12" borderId="32" xfId="0" applyNumberFormat="1" applyFill="1" applyBorder="1" applyAlignment="1">
      <alignment horizontal="center"/>
    </xf>
    <xf numFmtId="167" fontId="0" fillId="12" borderId="22" xfId="0" applyNumberFormat="1" applyFill="1" applyBorder="1" applyAlignment="1">
      <alignment horizontal="center"/>
    </xf>
    <xf numFmtId="3" fontId="1" fillId="12" borderId="23" xfId="0" applyNumberFormat="1" applyFont="1" applyFill="1" applyBorder="1" applyAlignment="1">
      <alignment horizontal="center"/>
    </xf>
    <xf numFmtId="164" fontId="0" fillId="12" borderId="23" xfId="0" applyNumberFormat="1" applyFill="1" applyBorder="1" applyAlignment="1">
      <alignment horizontal="center"/>
    </xf>
    <xf numFmtId="38" fontId="0" fillId="12" borderId="24" xfId="0" applyNumberFormat="1" applyFill="1" applyBorder="1" applyAlignment="1">
      <alignment horizontal="center"/>
    </xf>
    <xf numFmtId="4" fontId="5" fillId="12" borderId="25" xfId="0" applyNumberFormat="1" applyFont="1" applyFill="1" applyBorder="1" applyAlignment="1">
      <alignment horizontal="center"/>
    </xf>
    <xf numFmtId="3" fontId="1" fillId="12" borderId="25" xfId="0" applyNumberFormat="1" applyFont="1" applyFill="1" applyBorder="1" applyAlignment="1">
      <alignment horizontal="center"/>
    </xf>
    <xf numFmtId="164" fontId="0" fillId="12" borderId="26" xfId="0" applyNumberFormat="1" applyFill="1" applyBorder="1" applyAlignment="1">
      <alignment horizontal="center"/>
    </xf>
    <xf numFmtId="0" fontId="1" fillId="12" borderId="24" xfId="0" applyFont="1" applyFill="1" applyBorder="1" applyAlignment="1">
      <alignment horizontal="center"/>
    </xf>
    <xf numFmtId="38" fontId="0" fillId="12" borderId="25" xfId="0" applyNumberFormat="1" applyFill="1" applyBorder="1" applyAlignment="1">
      <alignment horizontal="center"/>
    </xf>
    <xf numFmtId="180" fontId="0" fillId="12" borderId="26" xfId="0" applyNumberFormat="1" applyFill="1" applyBorder="1" applyAlignment="1">
      <alignment horizontal="center"/>
    </xf>
    <xf numFmtId="169" fontId="0" fillId="12" borderId="23" xfId="0" applyNumberFormat="1" applyFill="1" applyBorder="1" applyAlignment="1">
      <alignment horizontal="center"/>
    </xf>
    <xf numFmtId="0" fontId="1" fillId="12" borderId="22" xfId="0" applyFont="1" applyFill="1" applyBorder="1" applyAlignment="1">
      <alignment horizontal="center"/>
    </xf>
    <xf numFmtId="0" fontId="1" fillId="12" borderId="26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10" fontId="1" fillId="4" borderId="0" xfId="0" applyNumberFormat="1" applyFont="1" applyFill="1" applyAlignment="1">
      <alignment horizontal="center"/>
    </xf>
    <xf numFmtId="10" fontId="15" fillId="9" borderId="6" xfId="0" applyNumberFormat="1" applyFont="1" applyFill="1" applyBorder="1"/>
    <xf numFmtId="10" fontId="15" fillId="9" borderId="8" xfId="0" applyNumberFormat="1" applyFont="1" applyFill="1" applyBorder="1" applyAlignment="1">
      <alignment horizontal="left"/>
    </xf>
    <xf numFmtId="182" fontId="0" fillId="12" borderId="22" xfId="0" applyNumberFormat="1" applyFill="1" applyBorder="1" applyAlignment="1">
      <alignment horizontal="center"/>
    </xf>
    <xf numFmtId="0" fontId="1" fillId="0" borderId="15" xfId="0" applyFont="1" applyBorder="1" applyAlignment="1">
      <alignment horizontal="center" vertical="center"/>
    </xf>
    <xf numFmtId="164" fontId="0" fillId="17" borderId="19" xfId="0" applyNumberFormat="1" applyFill="1" applyBorder="1" applyAlignment="1">
      <alignment horizontal="center"/>
    </xf>
    <xf numFmtId="38" fontId="0" fillId="12" borderId="28" xfId="0" applyNumberFormat="1" applyFill="1" applyBorder="1" applyAlignment="1">
      <alignment horizontal="center"/>
    </xf>
    <xf numFmtId="3" fontId="1" fillId="12" borderId="29" xfId="0" applyNumberFormat="1" applyFont="1" applyFill="1" applyBorder="1" applyAlignment="1">
      <alignment horizontal="center"/>
    </xf>
    <xf numFmtId="0" fontId="1" fillId="12" borderId="28" xfId="0" applyFont="1" applyFill="1" applyBorder="1" applyAlignment="1">
      <alignment horizontal="center"/>
    </xf>
    <xf numFmtId="181" fontId="0" fillId="12" borderId="10" xfId="0" applyNumberFormat="1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38" fontId="0" fillId="2" borderId="24" xfId="0" applyNumberFormat="1" applyFill="1" applyBorder="1" applyAlignment="1">
      <alignment horizontal="center"/>
    </xf>
    <xf numFmtId="4" fontId="5" fillId="2" borderId="25" xfId="0" applyNumberFormat="1" applyFont="1" applyFill="1" applyBorder="1" applyAlignment="1">
      <alignment horizontal="center"/>
    </xf>
    <xf numFmtId="164" fontId="0" fillId="2" borderId="26" xfId="0" applyNumberForma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38" fontId="0" fillId="3" borderId="25" xfId="0" applyNumberFormat="1" applyFill="1" applyBorder="1" applyAlignment="1">
      <alignment horizontal="center"/>
    </xf>
    <xf numFmtId="169" fontId="0" fillId="7" borderId="23" xfId="0" applyNumberFormat="1" applyFill="1" applyBorder="1" applyAlignment="1">
      <alignment horizontal="center"/>
    </xf>
    <xf numFmtId="3" fontId="0" fillId="3" borderId="23" xfId="0" applyNumberFormat="1" applyFill="1" applyBorder="1" applyAlignment="1">
      <alignment horizontal="center"/>
    </xf>
    <xf numFmtId="10" fontId="10" fillId="4" borderId="25" xfId="0" applyNumberFormat="1" applyFont="1" applyFill="1" applyBorder="1" applyAlignment="1">
      <alignment horizontal="center"/>
    </xf>
    <xf numFmtId="10" fontId="1" fillId="4" borderId="21" xfId="0" applyNumberFormat="1" applyFont="1" applyFill="1" applyBorder="1" applyAlignment="1">
      <alignment horizontal="center"/>
    </xf>
    <xf numFmtId="0" fontId="0" fillId="0" borderId="10" xfId="0" applyBorder="1"/>
    <xf numFmtId="3" fontId="0" fillId="12" borderId="25" xfId="0" applyNumberFormat="1" applyFill="1" applyBorder="1" applyAlignment="1">
      <alignment horizontal="center"/>
    </xf>
    <xf numFmtId="3" fontId="0" fillId="12" borderId="9" xfId="0" applyNumberFormat="1" applyFill="1" applyBorder="1" applyAlignment="1">
      <alignment horizontal="center"/>
    </xf>
    <xf numFmtId="4" fontId="10" fillId="12" borderId="21" xfId="0" applyNumberFormat="1" applyFont="1" applyFill="1" applyBorder="1" applyAlignment="1">
      <alignment horizontal="center"/>
    </xf>
    <xf numFmtId="178" fontId="1" fillId="6" borderId="10" xfId="0" applyNumberFormat="1" applyFont="1" applyFill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164" fontId="0" fillId="2" borderId="23" xfId="0" applyNumberFormat="1" applyFill="1" applyBorder="1" applyAlignment="1">
      <alignment horizontal="center"/>
    </xf>
    <xf numFmtId="3" fontId="1" fillId="2" borderId="25" xfId="0" applyNumberFormat="1" applyFont="1" applyFill="1" applyBorder="1" applyAlignment="1">
      <alignment horizontal="center"/>
    </xf>
    <xf numFmtId="10" fontId="0" fillId="4" borderId="26" xfId="0" applyNumberFormat="1" applyFill="1" applyBorder="1" applyAlignment="1">
      <alignment horizontal="center"/>
    </xf>
    <xf numFmtId="3" fontId="0" fillId="12" borderId="23" xfId="0" applyNumberFormat="1" applyFill="1" applyBorder="1" applyAlignment="1">
      <alignment horizontal="center"/>
    </xf>
    <xf numFmtId="181" fontId="0" fillId="12" borderId="22" xfId="0" applyNumberFormat="1" applyFill="1" applyBorder="1" applyAlignment="1">
      <alignment horizontal="center"/>
    </xf>
    <xf numFmtId="3" fontId="0" fillId="0" borderId="20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3" fontId="0" fillId="0" borderId="7" xfId="0" applyNumberFormat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9" fontId="0" fillId="3" borderId="10" xfId="0" applyNumberFormat="1" applyFill="1" applyBorder="1" applyAlignment="1">
      <alignment horizontal="center"/>
    </xf>
    <xf numFmtId="9" fontId="0" fillId="3" borderId="26" xfId="0" applyNumberFormat="1" applyFill="1" applyBorder="1" applyAlignment="1">
      <alignment horizontal="center"/>
    </xf>
    <xf numFmtId="169" fontId="0" fillId="13" borderId="23" xfId="0" applyNumberFormat="1" applyFill="1" applyBorder="1" applyAlignment="1">
      <alignment horizontal="center"/>
    </xf>
    <xf numFmtId="169" fontId="0" fillId="13" borderId="33" xfId="0" applyNumberFormat="1" applyFill="1" applyBorder="1" applyAlignment="1">
      <alignment horizontal="center"/>
    </xf>
    <xf numFmtId="169" fontId="0" fillId="13" borderId="15" xfId="0" applyNumberFormat="1" applyFill="1" applyBorder="1" applyAlignment="1">
      <alignment horizontal="center"/>
    </xf>
    <xf numFmtId="169" fontId="0" fillId="13" borderId="36" xfId="0" applyNumberFormat="1" applyFill="1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69" fontId="0" fillId="13" borderId="9" xfId="0" applyNumberFormat="1" applyFill="1" applyBorder="1" applyAlignment="1">
      <alignment horizontal="center"/>
    </xf>
    <xf numFmtId="169" fontId="0" fillId="13" borderId="37" xfId="0" applyNumberFormat="1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9" xfId="0" applyBorder="1"/>
    <xf numFmtId="0" fontId="0" fillId="0" borderId="25" xfId="0" applyBorder="1" applyAlignment="1">
      <alignment horizontal="center" vertical="center"/>
    </xf>
    <xf numFmtId="169" fontId="0" fillId="0" borderId="7" xfId="0" applyNumberFormat="1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38" xfId="0" applyNumberFormat="1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9" fontId="0" fillId="0" borderId="12" xfId="0" applyNumberFormat="1" applyBorder="1" applyAlignment="1">
      <alignment horizontal="center"/>
    </xf>
    <xf numFmtId="169" fontId="0" fillId="0" borderId="21" xfId="0" applyNumberFormat="1" applyBorder="1" applyAlignment="1">
      <alignment horizontal="center"/>
    </xf>
    <xf numFmtId="169" fontId="0" fillId="0" borderId="25" xfId="0" applyNumberFormat="1" applyBorder="1" applyAlignment="1">
      <alignment horizontal="center"/>
    </xf>
    <xf numFmtId="169" fontId="0" fillId="0" borderId="38" xfId="0" applyNumberFormat="1" applyBorder="1" applyAlignment="1">
      <alignment horizontal="center"/>
    </xf>
    <xf numFmtId="3" fontId="1" fillId="12" borderId="19" xfId="0" applyNumberFormat="1" applyFont="1" applyFill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10" fontId="1" fillId="5" borderId="1" xfId="0" applyNumberFormat="1" applyFont="1" applyFill="1" applyBorder="1" applyAlignment="1">
      <alignment horizontal="center"/>
    </xf>
    <xf numFmtId="10" fontId="1" fillId="5" borderId="2" xfId="0" applyNumberFormat="1" applyFont="1" applyFill="1" applyBorder="1" applyAlignment="1">
      <alignment horizontal="center"/>
    </xf>
    <xf numFmtId="10" fontId="1" fillId="5" borderId="3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0" fontId="0" fillId="5" borderId="1" xfId="0" applyNumberFormat="1" applyFill="1" applyBorder="1" applyAlignment="1">
      <alignment horizontal="center" vertical="center"/>
    </xf>
    <xf numFmtId="10" fontId="0" fillId="5" borderId="2" xfId="0" applyNumberFormat="1" applyFill="1" applyBorder="1" applyAlignment="1">
      <alignment horizontal="center" vertical="center"/>
    </xf>
    <xf numFmtId="10" fontId="0" fillId="5" borderId="3" xfId="0" applyNumberFormat="1" applyFill="1" applyBorder="1" applyAlignment="1">
      <alignment horizontal="center" vertical="center"/>
    </xf>
    <xf numFmtId="10" fontId="1" fillId="5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958305948967576E-2"/>
          <c:y val="0.14490413936014288"/>
          <c:w val="0.842056367256243"/>
          <c:h val="0.73100855838401524"/>
        </c:manualLayout>
      </c:layout>
      <c:scatterChart>
        <c:scatterStyle val="smoothMarker"/>
        <c:varyColors val="0"/>
        <c:ser>
          <c:idx val="0"/>
          <c:order val="0"/>
          <c:tx>
            <c:v>1Y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'Feb-17'!$P$13:$R$13</c:f>
              <c:numCache>
                <c:formatCode>0.000</c:formatCode>
                <c:ptCount val="3"/>
                <c:pt idx="0">
                  <c:v>17.7961406391323</c:v>
                </c:pt>
                <c:pt idx="1">
                  <c:v>20.214136682814729</c:v>
                </c:pt>
                <c:pt idx="2">
                  <c:v>21.571140639132299</c:v>
                </c:pt>
              </c:numCache>
            </c:numRef>
          </c:xVal>
          <c:yVal>
            <c:numRef>
              <c:f>'Feb-17'!$P$8:$R$8</c:f>
              <c:numCache>
                <c:formatCode>0.00%</c:formatCode>
                <c:ptCount val="3"/>
                <c:pt idx="0">
                  <c:v>0.17375000000000002</c:v>
                </c:pt>
                <c:pt idx="1">
                  <c:v>0.13</c:v>
                </c:pt>
                <c:pt idx="2">
                  <c:v>0.15625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F4-4F0F-AC13-E276A0198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13367440"/>
        <c:axId val="-18133625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5Y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'Feb-17'!$P$14:$R$14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23.94</c:v>
                      </c:pt>
                      <c:pt idx="1">
                        <c:v>27.837448857986104</c:v>
                      </c:pt>
                      <c:pt idx="2">
                        <c:v>29.786000000000001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'Feb-17'!$P$9:$R$9</c15:sqref>
                        </c15:formulaRef>
                      </c:ext>
                    </c:extLst>
                    <c:numCache>
                      <c:formatCode>0.00%</c:formatCode>
                      <c:ptCount val="3"/>
                      <c:pt idx="0">
                        <c:v>0.14224999999999999</c:v>
                      </c:pt>
                      <c:pt idx="1">
                        <c:v>0.121</c:v>
                      </c:pt>
                      <c:pt idx="2">
                        <c:v>0.13474999999999998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98F4-4F0F-AC13-E276A0198EC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10Y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'Feb-17'!$P$15:$R$15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35.298999999999999</c:v>
                      </c:pt>
                      <c:pt idx="1">
                        <c:v>41.528593725669452</c:v>
                      </c:pt>
                      <c:pt idx="2">
                        <c:v>43.604999999999997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'Feb-17'!$P$10:$R$10</c15:sqref>
                        </c15:formulaRef>
                      </c:ext>
                    </c:extLst>
                    <c:numCache>
                      <c:formatCode>0.00%</c:formatCode>
                      <c:ptCount val="3"/>
                      <c:pt idx="0">
                        <c:v>0.12724999999999997</c:v>
                      </c:pt>
                      <c:pt idx="1">
                        <c:v>0.121</c:v>
                      </c:pt>
                      <c:pt idx="2">
                        <c:v>0.14474999999999999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8F4-4F0F-AC13-E276A0198EC5}"/>
                  </c:ext>
                </c:extLst>
              </c15:ser>
            </c15:filteredScatterSeries>
          </c:ext>
        </c:extLst>
      </c:scatterChart>
      <c:valAx>
        <c:axId val="-1813367440"/>
        <c:scaling>
          <c:orientation val="minMax"/>
          <c:min val="1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362544"/>
        <c:crosses val="autoZero"/>
        <c:crossBetween val="midCat"/>
      </c:valAx>
      <c:valAx>
        <c:axId val="-1813362544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13367440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7613</xdr:colOff>
      <xdr:row>2</xdr:row>
      <xdr:rowOff>1</xdr:rowOff>
    </xdr:from>
    <xdr:to>
      <xdr:col>24</xdr:col>
      <xdr:colOff>941070</xdr:colOff>
      <xdr:row>15</xdr:row>
      <xdr:rowOff>157976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B13:V110"/>
  <sheetViews>
    <sheetView tabSelected="1" topLeftCell="A5" zoomScale="68" zoomScaleNormal="130" workbookViewId="0">
      <selection activeCell="K34" sqref="K34"/>
    </sheetView>
  </sheetViews>
  <sheetFormatPr defaultRowHeight="12.75" x14ac:dyDescent="0.35"/>
  <cols>
    <col min="1" max="1" width="4.3984375" customWidth="1"/>
    <col min="2" max="2" width="11" customWidth="1"/>
    <col min="3" max="3" width="12.265625" customWidth="1"/>
    <col min="4" max="4" width="13.59765625" customWidth="1"/>
    <col min="5" max="5" width="13.3984375" customWidth="1"/>
    <col min="6" max="6" width="10.265625" customWidth="1"/>
    <col min="7" max="7" width="9.3984375" customWidth="1"/>
    <col min="8" max="8" width="11.1328125" customWidth="1"/>
    <col min="9" max="9" width="4.59765625" customWidth="1"/>
    <col min="10" max="10" width="6.59765625" customWidth="1"/>
    <col min="11" max="11" width="10.06640625" bestFit="1" customWidth="1"/>
    <col min="12" max="12" width="16.59765625" bestFit="1" customWidth="1"/>
    <col min="15" max="15" width="10.265625" bestFit="1" customWidth="1"/>
    <col min="18" max="18" width="9.73046875" bestFit="1" customWidth="1"/>
    <col min="22" max="22" width="10.86328125" bestFit="1" customWidth="1"/>
  </cols>
  <sheetData>
    <row r="13" spans="3:14" ht="13.15" thickBot="1" x14ac:dyDescent="0.4"/>
    <row r="14" spans="3:14" x14ac:dyDescent="0.35">
      <c r="C14" s="545" t="s">
        <v>152</v>
      </c>
      <c r="D14" s="546"/>
      <c r="E14" s="546"/>
      <c r="F14" s="547"/>
      <c r="K14" s="545" t="s">
        <v>153</v>
      </c>
      <c r="L14" s="546"/>
      <c r="M14" s="546"/>
      <c r="N14" s="547"/>
    </row>
    <row r="15" spans="3:14" ht="13.15" thickBot="1" x14ac:dyDescent="0.4">
      <c r="C15" s="548"/>
      <c r="D15" s="549"/>
      <c r="E15" s="549"/>
      <c r="F15" s="550"/>
      <c r="K15" s="548"/>
      <c r="L15" s="549"/>
      <c r="M15" s="549"/>
      <c r="N15" s="550"/>
    </row>
    <row r="16" spans="3:14" ht="13.15" thickBot="1" x14ac:dyDescent="0.4"/>
    <row r="17" spans="2:22" ht="13.15" thickBot="1" x14ac:dyDescent="0.4">
      <c r="B17" s="1"/>
      <c r="D17" s="551" t="s">
        <v>145</v>
      </c>
      <c r="E17" s="552"/>
      <c r="F17" s="552"/>
      <c r="G17" s="552"/>
      <c r="H17" s="553"/>
    </row>
    <row r="18" spans="2:22" ht="27" customHeight="1" thickBot="1" x14ac:dyDescent="0.4">
      <c r="B18" s="17" t="s">
        <v>19</v>
      </c>
      <c r="C18" s="286" t="s">
        <v>144</v>
      </c>
      <c r="D18" s="9" t="s">
        <v>10</v>
      </c>
      <c r="E18" s="333" t="s">
        <v>154</v>
      </c>
      <c r="F18" s="333" t="s">
        <v>155</v>
      </c>
      <c r="G18" s="9" t="s">
        <v>146</v>
      </c>
      <c r="H18" s="334" t="s">
        <v>5</v>
      </c>
      <c r="K18" s="288" t="s">
        <v>148</v>
      </c>
      <c r="L18" s="288" t="s">
        <v>10</v>
      </c>
      <c r="M18" s="9" t="s">
        <v>147</v>
      </c>
      <c r="N18" s="9" t="s">
        <v>41</v>
      </c>
      <c r="O18" s="5" t="s">
        <v>5</v>
      </c>
      <c r="P18" s="9" t="s">
        <v>150</v>
      </c>
      <c r="Q18" s="9" t="s">
        <v>149</v>
      </c>
      <c r="R18" s="289" t="s">
        <v>151</v>
      </c>
    </row>
    <row r="19" spans="2:22" ht="13.5" thickBot="1" x14ac:dyDescent="0.45">
      <c r="B19" s="8"/>
      <c r="D19" s="2"/>
      <c r="E19" s="2"/>
      <c r="F19" s="2"/>
      <c r="G19" s="2"/>
      <c r="H19" s="2"/>
    </row>
    <row r="20" spans="2:22" x14ac:dyDescent="0.35">
      <c r="B20" s="294">
        <v>1</v>
      </c>
      <c r="C20" s="283">
        <v>44974</v>
      </c>
      <c r="D20" s="13" t="s">
        <v>139</v>
      </c>
      <c r="E20" s="201">
        <v>100</v>
      </c>
      <c r="F20" s="201">
        <v>102.02013400267558</v>
      </c>
      <c r="G20" s="316">
        <v>1000000000000000</v>
      </c>
      <c r="H20" s="283">
        <v>45339</v>
      </c>
      <c r="J20">
        <v>1</v>
      </c>
      <c r="K20" s="329">
        <v>44971</v>
      </c>
      <c r="L20" s="319" t="s">
        <v>156</v>
      </c>
      <c r="M20" s="321">
        <v>20.213999999999999</v>
      </c>
      <c r="N20" s="321">
        <v>20.215</v>
      </c>
      <c r="O20" s="320">
        <v>45339</v>
      </c>
      <c r="P20" s="321">
        <v>20.215</v>
      </c>
      <c r="Q20" s="322" t="b">
        <v>1</v>
      </c>
      <c r="R20" s="323">
        <v>3</v>
      </c>
    </row>
    <row r="21" spans="2:22" x14ac:dyDescent="0.35">
      <c r="B21" s="18">
        <f>B20+1</f>
        <v>2</v>
      </c>
      <c r="C21" s="284">
        <v>44974</v>
      </c>
      <c r="D21" s="15" t="s">
        <v>0</v>
      </c>
      <c r="E21" s="88">
        <v>-1876.0000000000002</v>
      </c>
      <c r="F21" s="88">
        <v>-2073.3006423099155</v>
      </c>
      <c r="G21" s="287">
        <v>1000000000000000</v>
      </c>
      <c r="H21" s="284">
        <v>45339</v>
      </c>
      <c r="J21">
        <v>2</v>
      </c>
      <c r="K21" s="284">
        <v>44975</v>
      </c>
      <c r="L21" s="527" t="s">
        <v>178</v>
      </c>
      <c r="M21" s="528">
        <v>19.274999999999999</v>
      </c>
      <c r="N21" s="538">
        <v>19.487000000000002</v>
      </c>
      <c r="O21" s="541">
        <v>45220</v>
      </c>
      <c r="P21" s="528">
        <v>19.274999999999999</v>
      </c>
      <c r="Q21" s="528" t="b">
        <v>1</v>
      </c>
      <c r="R21" s="531">
        <v>6</v>
      </c>
    </row>
    <row r="22" spans="2:22" x14ac:dyDescent="0.35">
      <c r="B22" s="324">
        <f t="shared" ref="B22:B39" si="0">B21+1</f>
        <v>3</v>
      </c>
      <c r="C22" s="302">
        <v>44974</v>
      </c>
      <c r="D22" s="325" t="s">
        <v>0</v>
      </c>
      <c r="E22" s="326">
        <v>102</v>
      </c>
      <c r="F22" s="326">
        <v>2061.9299999999998</v>
      </c>
      <c r="G22" s="327">
        <v>20.215</v>
      </c>
      <c r="H22" s="302">
        <v>45339</v>
      </c>
      <c r="J22">
        <v>3</v>
      </c>
      <c r="K22" s="526">
        <v>44981</v>
      </c>
      <c r="L22" s="290" t="s">
        <v>179</v>
      </c>
      <c r="M22" s="538">
        <v>0.125</v>
      </c>
      <c r="N22" s="538">
        <v>0.13</v>
      </c>
      <c r="O22" s="517">
        <v>45044</v>
      </c>
      <c r="P22" s="538">
        <v>0.13</v>
      </c>
      <c r="Q22" s="290" t="b">
        <v>1</v>
      </c>
      <c r="R22" s="291">
        <v>9</v>
      </c>
    </row>
    <row r="23" spans="2:22" x14ac:dyDescent="0.35">
      <c r="B23" s="18">
        <f t="shared" si="0"/>
        <v>4</v>
      </c>
      <c r="C23" s="284">
        <v>44978</v>
      </c>
      <c r="D23" s="15" t="s">
        <v>139</v>
      </c>
      <c r="E23" s="88">
        <v>-95</v>
      </c>
      <c r="F23" s="88">
        <v>-96.268115223525598</v>
      </c>
      <c r="G23" s="521">
        <v>10000000000000</v>
      </c>
      <c r="H23" s="523">
        <v>45220</v>
      </c>
      <c r="J23">
        <v>4</v>
      </c>
      <c r="K23" s="529">
        <v>44981</v>
      </c>
      <c r="L23" s="527" t="s">
        <v>180</v>
      </c>
      <c r="M23" s="538">
        <v>18.427</v>
      </c>
      <c r="N23" s="538">
        <v>18.579000000000001</v>
      </c>
      <c r="O23" s="542">
        <v>45044</v>
      </c>
      <c r="P23" s="538">
        <v>18.427</v>
      </c>
      <c r="Q23" s="533" t="b">
        <v>1</v>
      </c>
      <c r="R23" s="531">
        <v>12</v>
      </c>
    </row>
    <row r="24" spans="2:22" x14ac:dyDescent="0.35">
      <c r="B24" s="18">
        <f t="shared" si="0"/>
        <v>5</v>
      </c>
      <c r="C24" s="284">
        <v>44978</v>
      </c>
      <c r="D24" s="15" t="s">
        <v>0</v>
      </c>
      <c r="E24" s="88">
        <v>1736.6000000000001</v>
      </c>
      <c r="F24" s="88">
        <v>1855.6416672457804</v>
      </c>
      <c r="G24" s="521">
        <v>10000000000000</v>
      </c>
      <c r="H24" s="284">
        <v>45220</v>
      </c>
      <c r="J24">
        <v>5</v>
      </c>
      <c r="K24" s="530">
        <v>44984</v>
      </c>
      <c r="L24" s="527" t="s">
        <v>181</v>
      </c>
      <c r="M24" s="538">
        <v>0.127</v>
      </c>
      <c r="N24" s="538">
        <v>0.129</v>
      </c>
      <c r="O24" s="543">
        <v>45353</v>
      </c>
      <c r="P24" s="538">
        <v>0.129</v>
      </c>
      <c r="Q24" s="533" t="b">
        <v>1</v>
      </c>
      <c r="R24" s="531">
        <v>15</v>
      </c>
    </row>
    <row r="25" spans="2:22" ht="13.15" thickBot="1" x14ac:dyDescent="0.4">
      <c r="B25" s="515">
        <f t="shared" si="0"/>
        <v>6</v>
      </c>
      <c r="C25" s="302">
        <v>44978</v>
      </c>
      <c r="D25" s="325" t="s">
        <v>0</v>
      </c>
      <c r="E25" s="88">
        <v>-96</v>
      </c>
      <c r="F25" s="326">
        <v>-1850.3999999999999</v>
      </c>
      <c r="G25" s="327">
        <v>19.274999999999999</v>
      </c>
      <c r="H25" s="524">
        <v>45220</v>
      </c>
      <c r="I25" s="39"/>
      <c r="J25">
        <v>6</v>
      </c>
      <c r="K25" s="523">
        <v>44984</v>
      </c>
      <c r="L25" s="535" t="s">
        <v>182</v>
      </c>
      <c r="M25" s="539">
        <v>0.127</v>
      </c>
      <c r="N25" s="539">
        <v>0.129</v>
      </c>
      <c r="O25" s="540">
        <v>45353</v>
      </c>
      <c r="P25" s="539">
        <v>0.129</v>
      </c>
      <c r="Q25" s="536" t="b">
        <v>1</v>
      </c>
      <c r="R25" s="533">
        <v>18</v>
      </c>
      <c r="S25" s="532"/>
    </row>
    <row r="26" spans="2:22" x14ac:dyDescent="0.35">
      <c r="B26" s="18">
        <f t="shared" si="0"/>
        <v>7</v>
      </c>
      <c r="C26" s="284">
        <v>44985</v>
      </c>
      <c r="D26" s="15" t="s">
        <v>139</v>
      </c>
      <c r="E26" s="499">
        <v>10</v>
      </c>
      <c r="F26" s="88">
        <v>10.03238108094199</v>
      </c>
      <c r="G26" s="521">
        <v>10000000000000</v>
      </c>
      <c r="H26" s="284">
        <v>45044</v>
      </c>
      <c r="K26" s="534"/>
      <c r="L26" s="290"/>
      <c r="M26" s="290"/>
      <c r="N26" s="290"/>
      <c r="O26" s="290"/>
      <c r="P26" s="290"/>
      <c r="Q26" s="290"/>
      <c r="R26" s="537"/>
    </row>
    <row r="27" spans="2:22" x14ac:dyDescent="0.35">
      <c r="B27" s="18">
        <f t="shared" si="0"/>
        <v>8</v>
      </c>
      <c r="C27" s="284">
        <v>44985</v>
      </c>
      <c r="D27" s="15" t="s">
        <v>0</v>
      </c>
      <c r="E27" s="88">
        <v>-183.4</v>
      </c>
      <c r="F27" s="88">
        <v>-186.3886376134239</v>
      </c>
      <c r="G27" s="521">
        <v>10000000000000</v>
      </c>
      <c r="H27" s="284">
        <v>45044</v>
      </c>
      <c r="L27" s="290"/>
      <c r="M27" s="290"/>
      <c r="N27" s="290"/>
      <c r="O27" s="290"/>
      <c r="P27" s="290"/>
      <c r="Q27" s="290"/>
      <c r="R27" s="290"/>
    </row>
    <row r="28" spans="2:22" x14ac:dyDescent="0.35">
      <c r="B28" s="324">
        <f t="shared" si="0"/>
        <v>9</v>
      </c>
      <c r="C28" s="302">
        <v>44985</v>
      </c>
      <c r="D28" s="15" t="s">
        <v>1</v>
      </c>
      <c r="E28" s="88">
        <v>22</v>
      </c>
      <c r="F28" s="88">
        <v>407.61716898791133</v>
      </c>
      <c r="G28" s="155">
        <v>18.528053135814151</v>
      </c>
      <c r="H28" s="284">
        <v>45044</v>
      </c>
      <c r="L28" s="290"/>
      <c r="M28" s="290"/>
      <c r="N28" s="290"/>
      <c r="O28" s="290"/>
      <c r="P28" s="290"/>
      <c r="Q28" s="290"/>
      <c r="R28" s="290"/>
    </row>
    <row r="29" spans="2:22" x14ac:dyDescent="0.35">
      <c r="B29" s="18">
        <f t="shared" si="0"/>
        <v>10</v>
      </c>
      <c r="C29" s="523">
        <v>44985</v>
      </c>
      <c r="D29" s="498" t="s">
        <v>139</v>
      </c>
      <c r="E29" s="499">
        <v>-120</v>
      </c>
      <c r="F29" s="499">
        <v>-120.36911447331991</v>
      </c>
      <c r="G29" s="522">
        <v>1000000000000000</v>
      </c>
      <c r="H29" s="523">
        <v>45044</v>
      </c>
      <c r="L29" s="290"/>
      <c r="M29" s="290"/>
      <c r="N29" s="290"/>
      <c r="O29" s="290"/>
      <c r="P29" s="290"/>
      <c r="Q29" s="290"/>
      <c r="R29" s="290"/>
    </row>
    <row r="30" spans="2:22" x14ac:dyDescent="0.35">
      <c r="B30" s="18">
        <f t="shared" si="0"/>
        <v>11</v>
      </c>
      <c r="C30" s="284">
        <v>44985</v>
      </c>
      <c r="D30" s="15" t="s">
        <v>0</v>
      </c>
      <c r="E30" s="88">
        <v>2188.7999999999997</v>
      </c>
      <c r="F30" s="88">
        <v>2224.4681025532291</v>
      </c>
      <c r="G30" s="521">
        <v>1000000000000000</v>
      </c>
      <c r="H30" s="284">
        <v>45044</v>
      </c>
      <c r="L30" s="290"/>
      <c r="M30" s="290"/>
      <c r="N30" s="290"/>
      <c r="O30" s="290"/>
      <c r="P30" s="290"/>
      <c r="Q30" s="290"/>
      <c r="R30" s="290"/>
    </row>
    <row r="31" spans="2:22" ht="14.25" x14ac:dyDescent="0.45">
      <c r="B31" s="18">
        <f t="shared" si="0"/>
        <v>12</v>
      </c>
      <c r="C31" s="302">
        <v>44985</v>
      </c>
      <c r="D31" s="325" t="s">
        <v>0</v>
      </c>
      <c r="E31" s="326">
        <v>-123</v>
      </c>
      <c r="F31" s="326">
        <v>-2266.5209999999997</v>
      </c>
      <c r="G31" s="327">
        <v>18.427</v>
      </c>
      <c r="H31" s="524">
        <v>45044</v>
      </c>
      <c r="L31" s="290"/>
      <c r="M31" s="290"/>
      <c r="N31" s="290"/>
      <c r="O31" s="290"/>
      <c r="P31" s="290"/>
      <c r="Q31" s="290"/>
      <c r="R31" s="290"/>
      <c r="V31" s="292"/>
    </row>
    <row r="32" spans="2:22" x14ac:dyDescent="0.35">
      <c r="B32" s="509">
        <f t="shared" si="0"/>
        <v>13</v>
      </c>
      <c r="C32" s="523">
        <v>44987</v>
      </c>
      <c r="D32" s="15" t="s">
        <v>139</v>
      </c>
      <c r="E32" s="88">
        <v>-30</v>
      </c>
      <c r="F32" s="88">
        <v>-30.577041098687069</v>
      </c>
      <c r="G32" s="521">
        <v>10000000000000</v>
      </c>
      <c r="H32" s="284">
        <v>45353</v>
      </c>
      <c r="L32" s="290"/>
      <c r="M32" s="290"/>
      <c r="N32" s="290"/>
      <c r="O32" s="290"/>
      <c r="P32" s="290"/>
      <c r="Q32" s="290"/>
      <c r="R32" s="290"/>
    </row>
    <row r="33" spans="2:18" x14ac:dyDescent="0.35">
      <c r="B33" s="18">
        <f t="shared" si="0"/>
        <v>14</v>
      </c>
      <c r="C33" s="284">
        <v>44987</v>
      </c>
      <c r="D33" s="15" t="s">
        <v>0</v>
      </c>
      <c r="E33" s="88">
        <v>548.69999999999993</v>
      </c>
      <c r="F33" s="88">
        <v>606.57344449052584</v>
      </c>
      <c r="G33" s="521">
        <v>10000000000001</v>
      </c>
      <c r="H33" s="284">
        <v>45353</v>
      </c>
      <c r="L33" s="290"/>
      <c r="M33" s="290"/>
      <c r="N33" s="290"/>
      <c r="O33" s="290"/>
      <c r="P33" s="290"/>
      <c r="Q33" s="290"/>
      <c r="R33" s="290"/>
    </row>
    <row r="34" spans="2:18" x14ac:dyDescent="0.35">
      <c r="B34" s="18">
        <f t="shared" si="0"/>
        <v>15</v>
      </c>
      <c r="C34" s="302">
        <v>44987</v>
      </c>
      <c r="D34" s="15" t="s">
        <v>8</v>
      </c>
      <c r="E34" s="326">
        <v>66</v>
      </c>
      <c r="F34" s="326">
        <v>1302.1195676240409</v>
      </c>
      <c r="G34" s="155">
        <v>19.72908435794</v>
      </c>
      <c r="H34" s="284">
        <v>45353</v>
      </c>
      <c r="L34" s="290"/>
      <c r="M34" s="290"/>
      <c r="N34" s="290"/>
      <c r="O34" s="290"/>
      <c r="P34" s="290"/>
      <c r="Q34" s="290"/>
      <c r="R34" s="290"/>
    </row>
    <row r="35" spans="2:18" x14ac:dyDescent="0.35">
      <c r="B35" s="509">
        <f t="shared" si="0"/>
        <v>16</v>
      </c>
      <c r="C35" s="284">
        <v>44987</v>
      </c>
      <c r="D35" s="498" t="s">
        <v>139</v>
      </c>
      <c r="E35" s="88">
        <v>30</v>
      </c>
      <c r="F35" s="88">
        <v>30.577041098687069</v>
      </c>
      <c r="G35" s="522">
        <v>10000000000000</v>
      </c>
      <c r="H35" s="523">
        <v>45353</v>
      </c>
      <c r="L35" s="290"/>
      <c r="M35" s="290"/>
      <c r="N35" s="290"/>
      <c r="O35" s="290"/>
      <c r="P35" s="290"/>
      <c r="Q35" s="290"/>
      <c r="R35" s="290"/>
    </row>
    <row r="36" spans="2:18" x14ac:dyDescent="0.35">
      <c r="B36" s="18">
        <f t="shared" si="0"/>
        <v>17</v>
      </c>
      <c r="C36" s="284">
        <v>44987</v>
      </c>
      <c r="D36" s="15" t="s">
        <v>0</v>
      </c>
      <c r="E36" s="88">
        <v>-548.69999999999993</v>
      </c>
      <c r="F36" s="88">
        <v>-606.57344449052584</v>
      </c>
      <c r="G36" s="521">
        <v>10000000000001</v>
      </c>
      <c r="H36" s="284">
        <v>45353</v>
      </c>
      <c r="L36" s="290"/>
      <c r="M36" s="290"/>
      <c r="N36" s="290"/>
      <c r="O36" s="290"/>
      <c r="P36" s="290"/>
      <c r="Q36" s="290"/>
      <c r="R36" s="290"/>
    </row>
    <row r="37" spans="2:18" x14ac:dyDescent="0.35">
      <c r="B37" s="18">
        <f t="shared" si="0"/>
        <v>18</v>
      </c>
      <c r="C37" s="302">
        <v>44987</v>
      </c>
      <c r="D37" s="15" t="s">
        <v>1</v>
      </c>
      <c r="E37" s="88">
        <v>63</v>
      </c>
      <c r="F37" s="88">
        <v>1242.9323145502208</v>
      </c>
      <c r="G37" s="155">
        <v>19.72908435794</v>
      </c>
      <c r="H37" s="284">
        <v>45353</v>
      </c>
      <c r="L37" s="290"/>
      <c r="M37" s="290"/>
      <c r="N37" s="290"/>
      <c r="O37" s="290"/>
      <c r="P37" s="290"/>
      <c r="Q37" s="290"/>
      <c r="R37" s="290"/>
    </row>
    <row r="38" spans="2:18" x14ac:dyDescent="0.35">
      <c r="B38" s="509">
        <f t="shared" si="0"/>
        <v>19</v>
      </c>
      <c r="C38" s="523">
        <v>44992</v>
      </c>
      <c r="D38" s="498" t="s">
        <v>139</v>
      </c>
      <c r="E38" s="499">
        <v>10</v>
      </c>
      <c r="F38" s="499">
        <v>10.027105161394429</v>
      </c>
      <c r="G38" s="522">
        <v>10000000000000</v>
      </c>
      <c r="H38" s="523">
        <v>45044</v>
      </c>
      <c r="L38" s="290"/>
      <c r="M38" s="290"/>
      <c r="N38" s="290"/>
      <c r="O38" s="290"/>
      <c r="P38" s="290"/>
      <c r="Q38" s="290"/>
      <c r="R38" s="290"/>
    </row>
    <row r="39" spans="2:18" ht="13.15" thickBot="1" x14ac:dyDescent="0.4">
      <c r="B39" s="18">
        <f t="shared" si="0"/>
        <v>20</v>
      </c>
      <c r="C39" s="525">
        <v>44992</v>
      </c>
      <c r="D39" s="16" t="s">
        <v>0</v>
      </c>
      <c r="E39" s="90">
        <v>-180.7</v>
      </c>
      <c r="F39" s="90">
        <v>-183.21445934485425</v>
      </c>
      <c r="G39" s="521">
        <v>10000000000001</v>
      </c>
      <c r="H39" s="524">
        <v>45044</v>
      </c>
      <c r="L39" s="290"/>
      <c r="M39" s="290"/>
      <c r="N39" s="290"/>
      <c r="O39" s="290"/>
      <c r="P39" s="290"/>
      <c r="Q39" s="290"/>
      <c r="R39" s="290"/>
    </row>
    <row r="40" spans="2:18" x14ac:dyDescent="0.35">
      <c r="B40" s="519"/>
      <c r="C40" s="517"/>
      <c r="D40" s="41"/>
      <c r="E40" s="272"/>
      <c r="F40" s="272"/>
      <c r="G40" s="520"/>
      <c r="H40" s="517"/>
      <c r="L40" s="290"/>
      <c r="M40" s="290"/>
      <c r="N40" s="290"/>
      <c r="O40" s="290"/>
      <c r="P40" s="290"/>
      <c r="Q40" s="290"/>
      <c r="R40" s="290"/>
    </row>
    <row r="41" spans="2:18" x14ac:dyDescent="0.35">
      <c r="B41" s="516"/>
      <c r="C41" s="517"/>
      <c r="D41" s="41"/>
      <c r="E41" s="272"/>
      <c r="F41" s="272"/>
      <c r="G41" s="518"/>
      <c r="H41" s="517"/>
      <c r="L41" s="290"/>
      <c r="M41" s="290"/>
      <c r="N41" s="290"/>
      <c r="O41" s="290"/>
      <c r="P41" s="290"/>
      <c r="Q41" s="290"/>
      <c r="R41" s="290"/>
    </row>
    <row r="42" spans="2:18" x14ac:dyDescent="0.35">
      <c r="B42" s="516"/>
      <c r="C42" s="517"/>
      <c r="D42" s="41"/>
      <c r="E42" s="272"/>
      <c r="F42" s="272"/>
      <c r="G42" s="518"/>
      <c r="H42" s="517"/>
      <c r="L42" s="290"/>
      <c r="M42" s="290"/>
      <c r="N42" s="290"/>
      <c r="O42" s="290"/>
      <c r="P42" s="290"/>
      <c r="Q42" s="290"/>
      <c r="R42" s="290"/>
    </row>
    <row r="43" spans="2:18" x14ac:dyDescent="0.35">
      <c r="B43" s="516"/>
      <c r="C43" s="517"/>
      <c r="D43" s="41"/>
      <c r="E43" s="272"/>
      <c r="F43" s="272"/>
      <c r="G43" s="518"/>
      <c r="H43" s="517"/>
      <c r="L43" s="290"/>
      <c r="M43" s="290"/>
      <c r="N43" s="290"/>
      <c r="O43" s="290"/>
      <c r="P43" s="290"/>
      <c r="Q43" s="290"/>
      <c r="R43" s="290"/>
    </row>
    <row r="44" spans="2:18" x14ac:dyDescent="0.35">
      <c r="B44" s="516"/>
      <c r="C44" s="517"/>
      <c r="D44" s="41"/>
      <c r="E44" s="272"/>
      <c r="F44" s="272"/>
      <c r="G44" s="518"/>
      <c r="H44" s="517"/>
      <c r="L44" s="290"/>
      <c r="M44" s="290"/>
      <c r="N44" s="290"/>
      <c r="O44" s="290"/>
      <c r="P44" s="290"/>
      <c r="Q44" s="290"/>
      <c r="R44" s="290"/>
    </row>
    <row r="45" spans="2:18" x14ac:dyDescent="0.35">
      <c r="B45" s="516"/>
      <c r="C45" s="517"/>
      <c r="D45" s="41"/>
      <c r="E45" s="272"/>
      <c r="F45" s="272"/>
      <c r="G45" s="518"/>
      <c r="H45" s="517"/>
      <c r="L45" s="290"/>
      <c r="M45" s="290"/>
      <c r="N45" s="290"/>
      <c r="O45" s="290"/>
      <c r="P45" s="290"/>
      <c r="Q45" s="290"/>
      <c r="R45" s="290"/>
    </row>
    <row r="46" spans="2:18" x14ac:dyDescent="0.35">
      <c r="B46" s="516"/>
      <c r="C46" s="517"/>
      <c r="D46" s="41"/>
      <c r="E46" s="272"/>
      <c r="F46" s="272"/>
      <c r="G46" s="518"/>
      <c r="H46" s="517"/>
      <c r="L46" s="290"/>
      <c r="M46" s="290"/>
      <c r="N46" s="290"/>
      <c r="O46" s="290"/>
      <c r="P46" s="290"/>
      <c r="Q46" s="290"/>
      <c r="R46" s="290"/>
    </row>
    <row r="47" spans="2:18" x14ac:dyDescent="0.35">
      <c r="B47" s="516"/>
      <c r="C47" s="517"/>
      <c r="D47" s="41"/>
      <c r="E47" s="272"/>
      <c r="F47" s="272"/>
      <c r="G47" s="518"/>
      <c r="H47" s="517"/>
      <c r="L47" s="290"/>
      <c r="M47" s="290"/>
      <c r="N47" s="290"/>
      <c r="O47" s="290"/>
      <c r="P47" s="290"/>
      <c r="Q47" s="290"/>
      <c r="R47" s="290"/>
    </row>
    <row r="48" spans="2:18" x14ac:dyDescent="0.35">
      <c r="B48" s="516"/>
      <c r="C48" s="517"/>
      <c r="D48" s="41"/>
      <c r="E48" s="272"/>
      <c r="F48" s="272"/>
      <c r="G48" s="518"/>
      <c r="H48" s="517"/>
      <c r="L48" s="290"/>
      <c r="M48" s="290"/>
      <c r="N48" s="290"/>
      <c r="O48" s="290"/>
      <c r="P48" s="290"/>
      <c r="Q48" s="290"/>
      <c r="R48" s="290"/>
    </row>
    <row r="49" spans="2:18" x14ac:dyDescent="0.35">
      <c r="B49" s="516"/>
      <c r="C49" s="517"/>
      <c r="D49" s="41"/>
      <c r="E49" s="272"/>
      <c r="F49" s="272"/>
      <c r="G49" s="518"/>
      <c r="H49" s="517"/>
      <c r="L49" s="290"/>
      <c r="M49" s="290"/>
      <c r="N49" s="290"/>
      <c r="O49" s="290"/>
      <c r="P49" s="290"/>
      <c r="Q49" s="290"/>
      <c r="R49" s="290"/>
    </row>
    <row r="50" spans="2:18" x14ac:dyDescent="0.35">
      <c r="B50" s="516"/>
      <c r="C50" s="517"/>
      <c r="D50" s="41"/>
      <c r="E50" s="272"/>
      <c r="F50" s="272"/>
      <c r="G50" s="518"/>
      <c r="H50" s="517"/>
      <c r="L50" s="290"/>
      <c r="M50" s="290"/>
      <c r="N50" s="290"/>
      <c r="O50" s="290"/>
      <c r="P50" s="290"/>
      <c r="Q50" s="290"/>
      <c r="R50" s="290"/>
    </row>
    <row r="51" spans="2:18" x14ac:dyDescent="0.35">
      <c r="B51" s="516"/>
      <c r="C51" s="517"/>
      <c r="D51" s="41"/>
      <c r="E51" s="272"/>
      <c r="F51" s="272"/>
      <c r="G51" s="518"/>
      <c r="H51" s="517"/>
      <c r="L51" s="290"/>
      <c r="M51" s="290"/>
      <c r="N51" s="290"/>
      <c r="O51" s="290"/>
      <c r="P51" s="290"/>
      <c r="Q51" s="290"/>
      <c r="R51" s="290"/>
    </row>
    <row r="52" spans="2:18" x14ac:dyDescent="0.35">
      <c r="B52" s="516"/>
      <c r="C52" s="517"/>
      <c r="D52" s="41"/>
      <c r="E52" s="272"/>
      <c r="F52" s="272"/>
      <c r="G52" s="518"/>
      <c r="H52" s="517"/>
      <c r="L52" s="290"/>
      <c r="M52" s="290"/>
      <c r="N52" s="290"/>
      <c r="O52" s="290"/>
      <c r="P52" s="290"/>
      <c r="Q52" s="290"/>
      <c r="R52" s="290"/>
    </row>
    <row r="53" spans="2:18" x14ac:dyDescent="0.35">
      <c r="B53" s="516"/>
      <c r="C53" s="517"/>
      <c r="D53" s="41"/>
      <c r="E53" s="272"/>
      <c r="F53" s="272"/>
      <c r="G53" s="518"/>
      <c r="H53" s="517"/>
      <c r="L53" s="290"/>
      <c r="M53" s="290"/>
      <c r="N53" s="290"/>
      <c r="O53" s="290"/>
      <c r="P53" s="290"/>
      <c r="Q53" s="290"/>
      <c r="R53" s="290"/>
    </row>
    <row r="54" spans="2:18" x14ac:dyDescent="0.35">
      <c r="B54" s="516"/>
      <c r="C54" s="517"/>
      <c r="D54" s="41"/>
      <c r="E54" s="272"/>
      <c r="F54" s="272"/>
      <c r="G54" s="518"/>
      <c r="H54" s="517"/>
      <c r="L54" s="290"/>
      <c r="M54" s="290"/>
      <c r="N54" s="290"/>
      <c r="O54" s="290"/>
      <c r="P54" s="290"/>
      <c r="Q54" s="290"/>
      <c r="R54" s="290"/>
    </row>
    <row r="55" spans="2:18" x14ac:dyDescent="0.35">
      <c r="B55" s="516"/>
      <c r="C55" s="517"/>
      <c r="D55" s="41"/>
      <c r="E55" s="272"/>
      <c r="F55" s="272"/>
      <c r="G55" s="518"/>
      <c r="H55" s="517"/>
      <c r="L55" s="290"/>
      <c r="M55" s="290"/>
      <c r="N55" s="290"/>
      <c r="O55" s="290"/>
      <c r="P55" s="290"/>
      <c r="Q55" s="290"/>
      <c r="R55" s="290"/>
    </row>
    <row r="56" spans="2:18" x14ac:dyDescent="0.35">
      <c r="B56" s="516"/>
      <c r="C56" s="517"/>
      <c r="D56" s="41"/>
      <c r="E56" s="272"/>
      <c r="F56" s="272"/>
      <c r="G56" s="518"/>
      <c r="H56" s="517"/>
      <c r="L56" s="290"/>
      <c r="M56" s="290"/>
      <c r="N56" s="290"/>
      <c r="O56" s="290"/>
      <c r="P56" s="290"/>
      <c r="Q56" s="290"/>
      <c r="R56" s="290"/>
    </row>
    <row r="57" spans="2:18" x14ac:dyDescent="0.35">
      <c r="B57" s="516"/>
      <c r="C57" s="517"/>
      <c r="D57" s="41"/>
      <c r="E57" s="272"/>
      <c r="F57" s="272"/>
      <c r="G57" s="518"/>
      <c r="H57" s="517"/>
      <c r="L57" s="290"/>
      <c r="M57" s="290"/>
      <c r="N57" s="290"/>
      <c r="O57" s="290"/>
      <c r="P57" s="290"/>
      <c r="Q57" s="290"/>
      <c r="R57" s="290"/>
    </row>
    <row r="58" spans="2:18" x14ac:dyDescent="0.35">
      <c r="B58" s="516"/>
      <c r="C58" s="517"/>
      <c r="D58" s="41"/>
      <c r="E58" s="272"/>
      <c r="F58" s="272"/>
      <c r="G58" s="518"/>
      <c r="H58" s="517"/>
      <c r="L58" s="290"/>
      <c r="M58" s="290"/>
      <c r="N58" s="290"/>
      <c r="O58" s="290"/>
      <c r="P58" s="290"/>
      <c r="Q58" s="290"/>
      <c r="R58" s="290"/>
    </row>
    <row r="59" spans="2:18" x14ac:dyDescent="0.35">
      <c r="B59" s="516"/>
      <c r="C59" s="517"/>
      <c r="D59" s="41"/>
      <c r="E59" s="272"/>
      <c r="F59" s="272"/>
      <c r="G59" s="518"/>
      <c r="H59" s="517"/>
      <c r="L59" s="290"/>
      <c r="M59" s="290"/>
      <c r="N59" s="290"/>
      <c r="O59" s="290"/>
      <c r="P59" s="290"/>
      <c r="Q59" s="290"/>
      <c r="R59" s="290"/>
    </row>
    <row r="60" spans="2:18" x14ac:dyDescent="0.35">
      <c r="B60" s="516"/>
      <c r="C60" s="517"/>
      <c r="D60" s="41"/>
      <c r="E60" s="272"/>
      <c r="F60" s="272"/>
      <c r="G60" s="518"/>
      <c r="H60" s="517"/>
      <c r="L60" s="290"/>
      <c r="M60" s="290"/>
      <c r="N60" s="290"/>
      <c r="O60" s="290"/>
      <c r="P60" s="290"/>
      <c r="Q60" s="290"/>
      <c r="R60" s="290"/>
    </row>
    <row r="61" spans="2:18" x14ac:dyDescent="0.35">
      <c r="B61" s="516"/>
      <c r="C61" s="517"/>
      <c r="D61" s="41"/>
      <c r="E61" s="272"/>
      <c r="F61" s="272"/>
      <c r="G61" s="518"/>
      <c r="H61" s="517"/>
      <c r="L61" s="290"/>
      <c r="M61" s="290"/>
      <c r="N61" s="290"/>
      <c r="O61" s="290"/>
      <c r="P61" s="290"/>
      <c r="Q61" s="290"/>
      <c r="R61" s="290"/>
    </row>
    <row r="62" spans="2:18" x14ac:dyDescent="0.35">
      <c r="B62" s="516"/>
      <c r="C62" s="517"/>
      <c r="D62" s="41"/>
      <c r="E62" s="272"/>
      <c r="F62" s="272"/>
      <c r="G62" s="518"/>
      <c r="H62" s="517"/>
      <c r="L62" s="290"/>
      <c r="M62" s="290"/>
      <c r="N62" s="290"/>
      <c r="O62" s="290"/>
      <c r="P62" s="290"/>
      <c r="Q62" s="290"/>
      <c r="R62" s="290"/>
    </row>
    <row r="63" spans="2:18" x14ac:dyDescent="0.35">
      <c r="B63" s="516"/>
      <c r="C63" s="517"/>
      <c r="D63" s="41"/>
      <c r="E63" s="272"/>
      <c r="F63" s="272"/>
      <c r="G63" s="518"/>
      <c r="H63" s="517"/>
      <c r="L63" s="290"/>
      <c r="M63" s="290"/>
      <c r="N63" s="290"/>
      <c r="O63" s="290"/>
      <c r="P63" s="290"/>
      <c r="Q63" s="290"/>
      <c r="R63" s="290"/>
    </row>
    <row r="64" spans="2:18" x14ac:dyDescent="0.35">
      <c r="B64" s="516"/>
      <c r="C64" s="517"/>
      <c r="D64" s="41"/>
      <c r="E64" s="272"/>
      <c r="F64" s="272"/>
      <c r="G64" s="518"/>
      <c r="H64" s="517"/>
      <c r="L64" s="290"/>
      <c r="M64" s="290"/>
      <c r="N64" s="290"/>
      <c r="O64" s="290"/>
      <c r="P64" s="290"/>
      <c r="Q64" s="290"/>
      <c r="R64" s="290"/>
    </row>
    <row r="65" spans="2:18" x14ac:dyDescent="0.35">
      <c r="B65" s="516"/>
      <c r="C65" s="517"/>
      <c r="D65" s="41"/>
      <c r="E65" s="272"/>
      <c r="F65" s="272"/>
      <c r="G65" s="518"/>
      <c r="H65" s="517"/>
      <c r="L65" s="290"/>
      <c r="M65" s="290"/>
      <c r="N65" s="290"/>
      <c r="O65" s="290"/>
      <c r="P65" s="290"/>
      <c r="Q65" s="290"/>
      <c r="R65" s="290"/>
    </row>
    <row r="66" spans="2:18" x14ac:dyDescent="0.35">
      <c r="B66" s="516"/>
      <c r="C66" s="517"/>
      <c r="D66" s="41"/>
      <c r="E66" s="272"/>
      <c r="F66" s="272"/>
      <c r="G66" s="518"/>
      <c r="H66" s="517"/>
      <c r="L66" s="290"/>
      <c r="M66" s="290"/>
      <c r="N66" s="290"/>
      <c r="O66" s="290"/>
      <c r="P66" s="290"/>
      <c r="Q66" s="290"/>
      <c r="R66" s="290"/>
    </row>
    <row r="67" spans="2:18" x14ac:dyDescent="0.35">
      <c r="B67" s="516"/>
      <c r="C67" s="517"/>
      <c r="D67" s="41"/>
      <c r="E67" s="272"/>
      <c r="F67" s="272"/>
      <c r="G67" s="518"/>
      <c r="H67" s="517"/>
      <c r="L67" s="290"/>
      <c r="M67" s="290"/>
      <c r="N67" s="290"/>
      <c r="O67" s="290"/>
      <c r="P67" s="290"/>
      <c r="Q67" s="290"/>
      <c r="R67" s="290"/>
    </row>
    <row r="68" spans="2:18" x14ac:dyDescent="0.35">
      <c r="B68" s="516"/>
      <c r="C68" s="517"/>
      <c r="D68" s="41"/>
      <c r="E68" s="272"/>
      <c r="F68" s="272"/>
      <c r="G68" s="518"/>
      <c r="H68" s="517"/>
      <c r="L68" s="290"/>
      <c r="M68" s="290"/>
      <c r="N68" s="290"/>
      <c r="O68" s="290"/>
      <c r="P68" s="290"/>
      <c r="Q68" s="290"/>
      <c r="R68" s="290"/>
    </row>
    <row r="69" spans="2:18" x14ac:dyDescent="0.35">
      <c r="B69" s="516"/>
      <c r="C69" s="517"/>
      <c r="D69" s="41"/>
      <c r="E69" s="272"/>
      <c r="F69" s="272"/>
      <c r="G69" s="518"/>
      <c r="H69" s="517"/>
      <c r="L69" s="290"/>
      <c r="M69" s="290"/>
      <c r="N69" s="290"/>
      <c r="O69" s="290"/>
      <c r="P69" s="290"/>
      <c r="Q69" s="290"/>
      <c r="R69" s="290"/>
    </row>
    <row r="70" spans="2:18" x14ac:dyDescent="0.35">
      <c r="B70" s="516"/>
      <c r="C70" s="517"/>
      <c r="D70" s="41"/>
      <c r="E70" s="272"/>
      <c r="F70" s="272"/>
      <c r="G70" s="518"/>
      <c r="H70" s="517"/>
      <c r="L70" s="290"/>
      <c r="M70" s="290"/>
      <c r="N70" s="290"/>
      <c r="O70" s="290"/>
      <c r="P70" s="290"/>
      <c r="Q70" s="290"/>
      <c r="R70" s="290"/>
    </row>
    <row r="71" spans="2:18" x14ac:dyDescent="0.35">
      <c r="B71" s="516"/>
      <c r="C71" s="517"/>
      <c r="D71" s="41"/>
      <c r="E71" s="272"/>
      <c r="F71" s="272"/>
      <c r="G71" s="518"/>
      <c r="H71" s="517"/>
      <c r="L71" s="290"/>
      <c r="M71" s="290"/>
      <c r="N71" s="290"/>
      <c r="O71" s="290"/>
      <c r="P71" s="290"/>
      <c r="Q71" s="290"/>
      <c r="R71" s="290"/>
    </row>
    <row r="72" spans="2:18" x14ac:dyDescent="0.35">
      <c r="B72" s="516"/>
      <c r="C72" s="517"/>
      <c r="D72" s="41"/>
      <c r="E72" s="272"/>
      <c r="F72" s="272"/>
      <c r="G72" s="518"/>
      <c r="H72" s="517"/>
      <c r="L72" s="290"/>
      <c r="M72" s="290"/>
      <c r="N72" s="290"/>
      <c r="O72" s="290"/>
      <c r="P72" s="290"/>
      <c r="Q72" s="290"/>
      <c r="R72" s="290"/>
    </row>
    <row r="73" spans="2:18" x14ac:dyDescent="0.35">
      <c r="B73" s="516"/>
      <c r="C73" s="517"/>
      <c r="D73" s="41"/>
      <c r="E73" s="272"/>
      <c r="F73" s="272"/>
      <c r="G73" s="518"/>
      <c r="H73" s="517"/>
      <c r="L73" s="290"/>
      <c r="M73" s="290"/>
      <c r="N73" s="290"/>
      <c r="O73" s="290"/>
      <c r="P73" s="290"/>
      <c r="Q73" s="290"/>
      <c r="R73" s="290"/>
    </row>
    <row r="74" spans="2:18" x14ac:dyDescent="0.35">
      <c r="B74" s="516"/>
      <c r="C74" s="517"/>
      <c r="D74" s="41"/>
      <c r="E74" s="272"/>
      <c r="F74" s="272"/>
      <c r="G74" s="518"/>
      <c r="H74" s="517"/>
      <c r="L74" s="290"/>
      <c r="M74" s="290"/>
      <c r="N74" s="290"/>
      <c r="O74" s="290"/>
      <c r="P74" s="290"/>
      <c r="Q74" s="290"/>
      <c r="R74" s="290"/>
    </row>
    <row r="75" spans="2:18" x14ac:dyDescent="0.35">
      <c r="B75" s="516"/>
      <c r="C75" s="517"/>
      <c r="D75" s="41"/>
      <c r="E75" s="272"/>
      <c r="F75" s="272"/>
      <c r="G75" s="518"/>
      <c r="H75" s="517"/>
      <c r="L75" s="290"/>
      <c r="M75" s="290"/>
      <c r="N75" s="290"/>
      <c r="O75" s="290"/>
      <c r="P75" s="290"/>
      <c r="Q75" s="290"/>
      <c r="R75" s="290"/>
    </row>
    <row r="76" spans="2:18" x14ac:dyDescent="0.35">
      <c r="B76" s="516"/>
      <c r="C76" s="517"/>
      <c r="D76" s="41"/>
      <c r="E76" s="272"/>
      <c r="F76" s="272"/>
      <c r="G76" s="518"/>
      <c r="H76" s="517"/>
      <c r="L76" s="290"/>
      <c r="M76" s="290"/>
      <c r="N76" s="290"/>
      <c r="O76" s="290"/>
      <c r="P76" s="290"/>
      <c r="Q76" s="290"/>
      <c r="R76" s="290"/>
    </row>
    <row r="77" spans="2:18" x14ac:dyDescent="0.35">
      <c r="B77" s="516"/>
      <c r="C77" s="517"/>
      <c r="D77" s="41"/>
      <c r="E77" s="272"/>
      <c r="F77" s="272"/>
      <c r="G77" s="518"/>
      <c r="H77" s="517"/>
      <c r="L77" s="290"/>
      <c r="M77" s="290"/>
      <c r="N77" s="290"/>
      <c r="O77" s="290"/>
      <c r="P77" s="290"/>
      <c r="Q77" s="290"/>
      <c r="R77" s="290"/>
    </row>
    <row r="78" spans="2:18" x14ac:dyDescent="0.35">
      <c r="B78" s="516"/>
      <c r="C78" s="517"/>
      <c r="D78" s="41"/>
      <c r="E78" s="272"/>
      <c r="F78" s="272"/>
      <c r="G78" s="518"/>
      <c r="H78" s="517"/>
      <c r="L78" s="290"/>
      <c r="M78" s="290"/>
      <c r="N78" s="290"/>
      <c r="O78" s="290"/>
      <c r="P78" s="290"/>
      <c r="Q78" s="290"/>
      <c r="R78" s="290"/>
    </row>
    <row r="79" spans="2:18" x14ac:dyDescent="0.35">
      <c r="B79" s="516"/>
      <c r="C79" s="517"/>
      <c r="D79" s="41"/>
      <c r="E79" s="272"/>
      <c r="F79" s="272"/>
      <c r="G79" s="518"/>
      <c r="H79" s="517"/>
      <c r="L79" s="290"/>
      <c r="M79" s="290"/>
      <c r="N79" s="290"/>
      <c r="O79" s="290"/>
      <c r="P79" s="290"/>
      <c r="Q79" s="290"/>
      <c r="R79" s="290"/>
    </row>
    <row r="80" spans="2:18" x14ac:dyDescent="0.35">
      <c r="B80" s="516"/>
      <c r="C80" s="517"/>
      <c r="D80" s="41"/>
      <c r="E80" s="272"/>
      <c r="F80" s="272"/>
      <c r="G80" s="518"/>
      <c r="H80" s="517"/>
      <c r="L80" s="290"/>
      <c r="M80" s="290"/>
      <c r="N80" s="290"/>
      <c r="O80" s="290"/>
      <c r="P80" s="290"/>
      <c r="Q80" s="290"/>
      <c r="R80" s="290"/>
    </row>
    <row r="81" spans="2:18" x14ac:dyDescent="0.35">
      <c r="B81" s="516"/>
      <c r="C81" s="517"/>
      <c r="D81" s="41"/>
      <c r="E81" s="272"/>
      <c r="F81" s="272"/>
      <c r="G81" s="518"/>
      <c r="H81" s="517"/>
      <c r="L81" s="290"/>
      <c r="M81" s="290"/>
      <c r="N81" s="290"/>
      <c r="O81" s="290"/>
      <c r="P81" s="290"/>
      <c r="Q81" s="290"/>
      <c r="R81" s="290"/>
    </row>
    <row r="82" spans="2:18" x14ac:dyDescent="0.35">
      <c r="B82" s="516"/>
      <c r="C82" s="517"/>
      <c r="D82" s="41"/>
      <c r="E82" s="272"/>
      <c r="F82" s="272"/>
      <c r="G82" s="518"/>
      <c r="H82" s="517"/>
      <c r="L82" s="290"/>
      <c r="M82" s="290"/>
      <c r="N82" s="290"/>
      <c r="O82" s="290"/>
      <c r="P82" s="290"/>
      <c r="Q82" s="290"/>
      <c r="R82" s="290"/>
    </row>
    <row r="83" spans="2:18" x14ac:dyDescent="0.35">
      <c r="B83" s="516"/>
      <c r="C83" s="517"/>
      <c r="D83" s="41"/>
      <c r="E83" s="272"/>
      <c r="F83" s="272"/>
      <c r="G83" s="518"/>
      <c r="H83" s="517"/>
      <c r="L83" s="290"/>
      <c r="M83" s="290"/>
      <c r="N83" s="290"/>
      <c r="O83" s="290"/>
      <c r="P83" s="290"/>
      <c r="Q83" s="290"/>
      <c r="R83" s="290"/>
    </row>
    <row r="84" spans="2:18" x14ac:dyDescent="0.35">
      <c r="B84" s="516"/>
      <c r="C84" s="517"/>
      <c r="D84" s="41"/>
      <c r="E84" s="272"/>
      <c r="F84" s="272"/>
      <c r="G84" s="518"/>
      <c r="H84" s="517"/>
      <c r="L84" s="290"/>
      <c r="M84" s="290"/>
      <c r="N84" s="290"/>
      <c r="O84" s="290"/>
      <c r="P84" s="290"/>
      <c r="Q84" s="290"/>
      <c r="R84" s="290"/>
    </row>
    <row r="85" spans="2:18" x14ac:dyDescent="0.35">
      <c r="B85" s="516"/>
      <c r="C85" s="517"/>
      <c r="D85" s="41"/>
      <c r="E85" s="272"/>
      <c r="F85" s="272"/>
      <c r="G85" s="518"/>
      <c r="H85" s="517"/>
      <c r="L85" s="290"/>
      <c r="M85" s="290"/>
      <c r="N85" s="290"/>
      <c r="O85" s="290"/>
      <c r="P85" s="290"/>
      <c r="Q85" s="290"/>
      <c r="R85" s="290"/>
    </row>
    <row r="86" spans="2:18" x14ac:dyDescent="0.35">
      <c r="B86" s="516"/>
      <c r="C86" s="517"/>
      <c r="D86" s="41"/>
      <c r="E86" s="272"/>
      <c r="F86" s="272"/>
      <c r="G86" s="518"/>
      <c r="H86" s="517"/>
      <c r="L86" s="290"/>
      <c r="M86" s="290"/>
      <c r="N86" s="290"/>
      <c r="O86" s="290"/>
      <c r="P86" s="290"/>
      <c r="Q86" s="290"/>
      <c r="R86" s="290"/>
    </row>
    <row r="87" spans="2:18" x14ac:dyDescent="0.35">
      <c r="B87" s="516"/>
      <c r="C87" s="517"/>
      <c r="D87" s="41"/>
      <c r="E87" s="272"/>
      <c r="F87" s="272"/>
      <c r="G87" s="518"/>
      <c r="H87" s="517"/>
      <c r="L87" s="290"/>
      <c r="M87" s="290"/>
      <c r="N87" s="290"/>
      <c r="O87" s="290"/>
      <c r="P87" s="290"/>
      <c r="Q87" s="290"/>
      <c r="R87" s="290"/>
    </row>
    <row r="88" spans="2:18" x14ac:dyDescent="0.35">
      <c r="B88" s="516"/>
      <c r="C88" s="517"/>
      <c r="D88" s="41"/>
      <c r="E88" s="272"/>
      <c r="F88" s="272"/>
      <c r="G88" s="518"/>
      <c r="H88" s="517"/>
      <c r="L88" s="290"/>
      <c r="M88" s="290"/>
      <c r="N88" s="290"/>
      <c r="O88" s="290"/>
      <c r="P88" s="290"/>
      <c r="Q88" s="290"/>
      <c r="R88" s="290"/>
    </row>
    <row r="89" spans="2:18" x14ac:dyDescent="0.35">
      <c r="B89" s="516"/>
      <c r="C89" s="517"/>
      <c r="D89" s="41"/>
      <c r="E89" s="272"/>
      <c r="F89" s="272"/>
      <c r="G89" s="518"/>
      <c r="H89" s="517"/>
      <c r="L89" s="290"/>
      <c r="M89" s="290"/>
      <c r="N89" s="290"/>
      <c r="O89" s="290"/>
      <c r="P89" s="290"/>
      <c r="Q89" s="290"/>
      <c r="R89" s="290"/>
    </row>
    <row r="90" spans="2:18" x14ac:dyDescent="0.35">
      <c r="B90" s="516"/>
      <c r="C90" s="517"/>
      <c r="D90" s="41"/>
      <c r="E90" s="272"/>
      <c r="F90" s="272"/>
      <c r="G90" s="518"/>
      <c r="H90" s="517"/>
      <c r="L90" s="290"/>
      <c r="M90" s="290"/>
      <c r="N90" s="290"/>
      <c r="O90" s="290"/>
      <c r="P90" s="290"/>
      <c r="Q90" s="290"/>
      <c r="R90" s="290"/>
    </row>
    <row r="91" spans="2:18" x14ac:dyDescent="0.35">
      <c r="B91" s="516"/>
      <c r="C91" s="517"/>
      <c r="D91" s="41"/>
      <c r="E91" s="272"/>
      <c r="F91" s="272"/>
      <c r="G91" s="518"/>
      <c r="H91" s="517"/>
      <c r="L91" s="290"/>
      <c r="M91" s="290"/>
      <c r="N91" s="290"/>
      <c r="O91" s="290"/>
      <c r="P91" s="290"/>
      <c r="Q91" s="290"/>
      <c r="R91" s="290"/>
    </row>
    <row r="92" spans="2:18" x14ac:dyDescent="0.35">
      <c r="B92" s="516"/>
      <c r="C92" s="517"/>
      <c r="D92" s="41"/>
      <c r="E92" s="272"/>
      <c r="F92" s="272"/>
      <c r="G92" s="518"/>
      <c r="H92" s="517"/>
      <c r="L92" s="290"/>
      <c r="M92" s="290"/>
      <c r="N92" s="290"/>
      <c r="O92" s="290"/>
      <c r="P92" s="290"/>
      <c r="Q92" s="290"/>
      <c r="R92" s="290"/>
    </row>
    <row r="93" spans="2:18" x14ac:dyDescent="0.35">
      <c r="B93" s="516"/>
      <c r="C93" s="517"/>
      <c r="D93" s="41"/>
      <c r="E93" s="272"/>
      <c r="F93" s="272"/>
      <c r="G93" s="518"/>
      <c r="H93" s="517"/>
      <c r="L93" s="290"/>
      <c r="M93" s="290"/>
      <c r="N93" s="290"/>
      <c r="O93" s="290"/>
      <c r="P93" s="290"/>
      <c r="Q93" s="290"/>
      <c r="R93" s="290"/>
    </row>
    <row r="94" spans="2:18" x14ac:dyDescent="0.35">
      <c r="B94" s="516"/>
      <c r="C94" s="517"/>
      <c r="D94" s="41"/>
      <c r="E94" s="272"/>
      <c r="F94" s="272"/>
      <c r="G94" s="518"/>
      <c r="H94" s="517"/>
      <c r="L94" s="290"/>
      <c r="M94" s="290"/>
      <c r="N94" s="290"/>
      <c r="O94" s="290"/>
      <c r="P94" s="290"/>
      <c r="Q94" s="290"/>
      <c r="R94" s="290"/>
    </row>
    <row r="95" spans="2:18" x14ac:dyDescent="0.35">
      <c r="B95" s="516"/>
      <c r="C95" s="517"/>
      <c r="D95" s="41"/>
      <c r="E95" s="272"/>
      <c r="F95" s="272"/>
      <c r="G95" s="518"/>
      <c r="H95" s="517"/>
      <c r="L95" s="290"/>
      <c r="M95" s="290"/>
      <c r="N95" s="290"/>
      <c r="O95" s="290"/>
      <c r="P95" s="290"/>
      <c r="Q95" s="290"/>
      <c r="R95" s="290"/>
    </row>
    <row r="96" spans="2:18" x14ac:dyDescent="0.35">
      <c r="B96" s="516"/>
      <c r="C96" s="517"/>
      <c r="D96" s="41"/>
      <c r="E96" s="272"/>
      <c r="F96" s="272"/>
      <c r="G96" s="518"/>
      <c r="H96" s="517"/>
      <c r="L96" s="290"/>
      <c r="M96" s="290"/>
      <c r="N96" s="290"/>
      <c r="O96" s="290"/>
      <c r="P96" s="290"/>
      <c r="Q96" s="290"/>
      <c r="R96" s="290"/>
    </row>
    <row r="97" spans="2:18" x14ac:dyDescent="0.35">
      <c r="B97" s="516"/>
      <c r="C97" s="517"/>
      <c r="D97" s="41"/>
      <c r="E97" s="272"/>
      <c r="F97" s="272"/>
      <c r="G97" s="518"/>
      <c r="H97" s="517"/>
      <c r="L97" s="290"/>
      <c r="M97" s="290"/>
      <c r="N97" s="290"/>
      <c r="O97" s="290"/>
      <c r="P97" s="290"/>
      <c r="Q97" s="290"/>
      <c r="R97" s="290"/>
    </row>
    <row r="98" spans="2:18" x14ac:dyDescent="0.35">
      <c r="B98" s="516"/>
      <c r="C98" s="517"/>
      <c r="D98" s="41"/>
      <c r="E98" s="272"/>
      <c r="F98" s="272"/>
      <c r="G98" s="518"/>
      <c r="H98" s="517"/>
      <c r="L98" s="290"/>
      <c r="M98" s="290"/>
      <c r="N98" s="290"/>
      <c r="O98" s="290"/>
      <c r="P98" s="290"/>
      <c r="Q98" s="290"/>
      <c r="R98" s="290"/>
    </row>
    <row r="99" spans="2:18" x14ac:dyDescent="0.35">
      <c r="B99" s="516"/>
      <c r="C99" s="517"/>
      <c r="D99" s="41"/>
      <c r="E99" s="272"/>
      <c r="F99" s="272"/>
      <c r="G99" s="518"/>
      <c r="H99" s="517"/>
      <c r="L99" s="290"/>
      <c r="M99" s="290"/>
      <c r="N99" s="290"/>
      <c r="O99" s="290"/>
      <c r="P99" s="290"/>
      <c r="Q99" s="290"/>
      <c r="R99" s="290"/>
    </row>
    <row r="100" spans="2:18" x14ac:dyDescent="0.35">
      <c r="B100" s="516"/>
      <c r="C100" s="517"/>
      <c r="D100" s="41"/>
      <c r="E100" s="272"/>
      <c r="F100" s="272"/>
      <c r="G100" s="518"/>
      <c r="H100" s="517"/>
    </row>
    <row r="101" spans="2:18" x14ac:dyDescent="0.35">
      <c r="B101" s="516"/>
      <c r="C101" s="517"/>
      <c r="D101" s="41"/>
      <c r="E101" s="272"/>
      <c r="F101" s="272"/>
      <c r="G101" s="518"/>
      <c r="H101" s="517"/>
    </row>
    <row r="102" spans="2:18" x14ac:dyDescent="0.35">
      <c r="B102" s="516"/>
      <c r="C102" s="517"/>
      <c r="D102" s="41"/>
      <c r="E102" s="272"/>
      <c r="F102" s="272"/>
      <c r="G102" s="518"/>
      <c r="H102" s="517"/>
    </row>
    <row r="103" spans="2:18" x14ac:dyDescent="0.35">
      <c r="B103" s="516"/>
      <c r="C103" s="517"/>
      <c r="D103" s="41"/>
      <c r="E103" s="272"/>
      <c r="F103" s="272"/>
      <c r="G103" s="518"/>
      <c r="H103" s="517"/>
    </row>
    <row r="104" spans="2:18" x14ac:dyDescent="0.35">
      <c r="B104" s="516"/>
      <c r="C104" s="517"/>
      <c r="D104" s="41"/>
      <c r="E104" s="272"/>
      <c r="F104" s="272"/>
      <c r="G104" s="518"/>
      <c r="H104" s="517"/>
    </row>
    <row r="105" spans="2:18" x14ac:dyDescent="0.35">
      <c r="B105" s="516"/>
      <c r="C105" s="517"/>
      <c r="D105" s="41"/>
      <c r="E105" s="272"/>
      <c r="F105" s="272"/>
      <c r="G105" s="518"/>
      <c r="H105" s="517"/>
    </row>
    <row r="106" spans="2:18" x14ac:dyDescent="0.35">
      <c r="B106" s="516"/>
      <c r="C106" s="517"/>
      <c r="D106" s="41"/>
      <c r="E106" s="272"/>
      <c r="F106" s="272"/>
      <c r="G106" s="518"/>
      <c r="H106" s="517"/>
    </row>
    <row r="107" spans="2:18" x14ac:dyDescent="0.35">
      <c r="B107" s="516"/>
      <c r="C107" s="517"/>
      <c r="D107" s="41"/>
      <c r="E107" s="272"/>
      <c r="F107" s="272"/>
      <c r="G107" s="518"/>
      <c r="H107" s="517"/>
    </row>
    <row r="108" spans="2:18" x14ac:dyDescent="0.35">
      <c r="B108" s="516"/>
      <c r="C108" s="517"/>
      <c r="D108" s="41"/>
      <c r="E108" s="272"/>
      <c r="F108" s="272"/>
      <c r="G108" s="518"/>
      <c r="H108" s="517"/>
    </row>
    <row r="109" spans="2:18" x14ac:dyDescent="0.35">
      <c r="B109" s="516"/>
      <c r="C109" s="517"/>
      <c r="D109" s="41"/>
      <c r="E109" s="272"/>
      <c r="F109" s="272"/>
      <c r="G109" s="518"/>
      <c r="H109" s="517"/>
    </row>
    <row r="110" spans="2:18" x14ac:dyDescent="0.35">
      <c r="B110" s="516"/>
      <c r="C110" s="517"/>
      <c r="D110" s="41"/>
      <c r="E110" s="272"/>
      <c r="F110" s="272"/>
      <c r="G110" s="518"/>
      <c r="H110" s="517"/>
    </row>
  </sheetData>
  <mergeCells count="3">
    <mergeCell ref="C14:F15"/>
    <mergeCell ref="K14:N15"/>
    <mergeCell ref="D17:H17"/>
  </mergeCells>
  <pageMargins left="0.75" right="0.75" top="1" bottom="1" header="0.5" footer="0.5"/>
  <pageSetup orientation="portrait" horizontalDpi="1200" verticalDpi="9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4A956-ACD7-4510-B7C5-5A2F43538B61}">
  <sheetPr codeName="Sheet21"/>
  <dimension ref="A1:AU110"/>
  <sheetViews>
    <sheetView topLeftCell="D14" zoomScale="104" zoomScaleNormal="173" workbookViewId="0">
      <selection activeCell="L28" sqref="L28"/>
    </sheetView>
  </sheetViews>
  <sheetFormatPr defaultRowHeight="12.75" x14ac:dyDescent="0.35"/>
  <cols>
    <col min="1" max="1" width="4.3984375" customWidth="1"/>
    <col min="2" max="5" width="14.265625" customWidth="1"/>
    <col min="6" max="7" width="10" customWidth="1"/>
    <col min="8" max="8" width="10.3984375" bestFit="1" customWidth="1"/>
    <col min="9" max="25" width="10" customWidth="1"/>
    <col min="26" max="26" width="4.265625" customWidth="1"/>
    <col min="27" max="27" width="14.265625" customWidth="1"/>
    <col min="28" max="29" width="10" customWidth="1"/>
    <col min="30" max="30" width="9.86328125" bestFit="1" customWidth="1"/>
    <col min="31" max="32" width="9" customWidth="1"/>
    <col min="33" max="39" width="14.265625" customWidth="1"/>
    <col min="40" max="47" width="10" customWidth="1"/>
  </cols>
  <sheetData>
    <row r="1" spans="3:37" ht="13.15" thickBot="1" x14ac:dyDescent="0.4"/>
    <row r="2" spans="3:37" ht="13.15" thickBot="1" x14ac:dyDescent="0.4">
      <c r="F2" s="557" t="s">
        <v>38</v>
      </c>
      <c r="G2" s="558"/>
      <c r="H2" s="378">
        <v>44992</v>
      </c>
      <c r="K2" s="46" t="s">
        <v>57</v>
      </c>
      <c r="L2" s="559" t="s">
        <v>157</v>
      </c>
      <c r="M2" s="560"/>
      <c r="O2" s="41" t="s">
        <v>54</v>
      </c>
      <c r="P2" s="41" t="s">
        <v>35</v>
      </c>
      <c r="Q2" s="41" t="s">
        <v>51</v>
      </c>
      <c r="R2" s="41" t="s">
        <v>53</v>
      </c>
      <c r="S2" s="41" t="s">
        <v>3</v>
      </c>
      <c r="T2" s="41"/>
    </row>
    <row r="3" spans="3:37" ht="13.15" thickBot="1" x14ac:dyDescent="0.4">
      <c r="F3" s="561" t="s">
        <v>61</v>
      </c>
      <c r="G3" s="562"/>
      <c r="H3" s="379">
        <v>44987</v>
      </c>
      <c r="K3" s="259" t="s">
        <v>47</v>
      </c>
      <c r="L3" s="485">
        <v>0.128</v>
      </c>
      <c r="M3" s="486">
        <v>0.13</v>
      </c>
      <c r="O3" s="48" t="s">
        <v>32</v>
      </c>
      <c r="P3" s="330">
        <f>AVERAGE($L$3:$M$3)</f>
        <v>0.129</v>
      </c>
      <c r="Q3" s="331">
        <f>AVERAGE($L$4:$M$4)</f>
        <v>-1.7500000000000002E-2</v>
      </c>
      <c r="R3" s="332">
        <f>AVERAGE($L$5:$M$5)</f>
        <v>3.5000000000000003E-2</v>
      </c>
      <c r="S3" s="354">
        <f>$I$6*EXP(-($I$10-$I$11)*365/365)</f>
        <v>19.427774176301391</v>
      </c>
    </row>
    <row r="4" spans="3:37" ht="13.15" thickBot="1" x14ac:dyDescent="0.4">
      <c r="K4" s="262" t="s">
        <v>48</v>
      </c>
      <c r="L4" s="263">
        <v>-0.02</v>
      </c>
      <c r="M4" s="264">
        <v>-1.4999999999999999E-2</v>
      </c>
      <c r="O4" s="344" t="s">
        <v>33</v>
      </c>
      <c r="P4" s="345">
        <f>AVERAGE($L$8:$M$8)</f>
        <v>0.121</v>
      </c>
      <c r="Q4" s="346">
        <f>AVERAGE($L$9:$M$9)</f>
        <v>-7.4999999999999997E-3</v>
      </c>
      <c r="R4" s="347">
        <f>AVERAGE($L$10:$M$10)</f>
        <v>1.7500000000000002E-2</v>
      </c>
      <c r="S4" s="355">
        <f>$I$6*EXP(-($I$10-$I$11)*5*365/365)</f>
        <v>26.541344866071082</v>
      </c>
    </row>
    <row r="5" spans="3:37" ht="13.15" thickBot="1" x14ac:dyDescent="0.4">
      <c r="F5" s="46" t="s">
        <v>60</v>
      </c>
      <c r="G5" s="45" t="s">
        <v>40</v>
      </c>
      <c r="H5" s="47" t="s">
        <v>41</v>
      </c>
      <c r="I5" s="48" t="s">
        <v>44</v>
      </c>
      <c r="K5" s="265" t="s">
        <v>49</v>
      </c>
      <c r="L5" s="386">
        <v>0.03</v>
      </c>
      <c r="M5" s="387">
        <v>0.04</v>
      </c>
      <c r="O5" s="348" t="s">
        <v>34</v>
      </c>
      <c r="P5" s="349">
        <f>AVERAGE($L$13:$M$13)</f>
        <v>0.121</v>
      </c>
      <c r="Q5" s="350">
        <f>AVERAGE($L$10:$M$10)</f>
        <v>1.7500000000000002E-2</v>
      </c>
      <c r="R5" s="351">
        <f>AVERAGE($L$15:$M$15)</f>
        <v>1.4999999999999999E-2</v>
      </c>
      <c r="S5" s="356">
        <f>$I$6*EXP(-($I$10-$I$11)*10*365/365)</f>
        <v>39.20105661100267</v>
      </c>
    </row>
    <row r="6" spans="3:37" ht="13.15" thickBot="1" x14ac:dyDescent="0.4">
      <c r="E6" s="504"/>
      <c r="F6" s="53" t="s">
        <v>39</v>
      </c>
      <c r="G6" s="146">
        <v>17.87</v>
      </c>
      <c r="H6" s="147">
        <v>18.07</v>
      </c>
      <c r="I6" s="148">
        <f>AVERAGE(G6:H6)</f>
        <v>17.97</v>
      </c>
      <c r="K6" s="266"/>
      <c r="L6" s="266"/>
      <c r="M6" s="266"/>
      <c r="O6" s="267"/>
      <c r="P6" s="267"/>
      <c r="Q6" s="267"/>
      <c r="R6" s="267"/>
      <c r="S6" s="267"/>
    </row>
    <row r="7" spans="3:37" ht="13.15" thickBot="1" x14ac:dyDescent="0.4">
      <c r="F7" s="54" t="s">
        <v>45</v>
      </c>
      <c r="G7" s="336">
        <v>1.06</v>
      </c>
      <c r="H7" s="62">
        <v>1.08</v>
      </c>
      <c r="I7" s="55">
        <f>AVERAGE(G7:H7)</f>
        <v>1.07</v>
      </c>
      <c r="K7" s="46" t="s">
        <v>58</v>
      </c>
      <c r="L7" s="559" t="s">
        <v>157</v>
      </c>
      <c r="M7" s="560"/>
      <c r="O7" s="41" t="s">
        <v>31</v>
      </c>
      <c r="P7" s="41" t="s">
        <v>36</v>
      </c>
      <c r="Q7" s="41" t="s">
        <v>35</v>
      </c>
      <c r="R7" s="41" t="s">
        <v>55</v>
      </c>
      <c r="S7" s="266"/>
    </row>
    <row r="8" spans="3:37" ht="13.15" thickBot="1" x14ac:dyDescent="0.4">
      <c r="K8" s="259" t="s">
        <v>47</v>
      </c>
      <c r="L8" s="260">
        <v>0.12</v>
      </c>
      <c r="M8" s="261">
        <v>0.122</v>
      </c>
      <c r="O8" s="48" t="str">
        <f>O3</f>
        <v>1Y</v>
      </c>
      <c r="P8" s="330">
        <f>P3-Q3/2+R3</f>
        <v>0.17275000000000001</v>
      </c>
      <c r="Q8" s="331">
        <f>P3</f>
        <v>0.129</v>
      </c>
      <c r="R8" s="335">
        <f>P3+Q3/2+R3</f>
        <v>0.15525</v>
      </c>
      <c r="S8" s="266"/>
    </row>
    <row r="9" spans="3:37" ht="13.15" thickBot="1" x14ac:dyDescent="0.4">
      <c r="F9" s="46" t="s">
        <v>46</v>
      </c>
      <c r="G9" s="45" t="s">
        <v>40</v>
      </c>
      <c r="H9" s="47" t="s">
        <v>41</v>
      </c>
      <c r="I9" s="48" t="s">
        <v>44</v>
      </c>
      <c r="K9" s="262" t="s">
        <v>48</v>
      </c>
      <c r="L9" s="263">
        <v>-5.0000000000000001E-3</v>
      </c>
      <c r="M9" s="264">
        <v>-0.01</v>
      </c>
      <c r="O9" s="344" t="str">
        <f>O4</f>
        <v>5Y</v>
      </c>
      <c r="P9" s="345">
        <f>P4-Q4/2+R4</f>
        <v>0.14224999999999999</v>
      </c>
      <c r="Q9" s="346">
        <f>P4</f>
        <v>0.121</v>
      </c>
      <c r="R9" s="352">
        <f>P4+Q4/2+R4</f>
        <v>0.13474999999999998</v>
      </c>
      <c r="S9" s="266"/>
    </row>
    <row r="10" spans="3:37" ht="13.15" thickBot="1" x14ac:dyDescent="0.4">
      <c r="F10" s="56" t="s">
        <v>42</v>
      </c>
      <c r="G10" s="63">
        <v>1.7999999999999999E-2</v>
      </c>
      <c r="H10" s="64">
        <v>0.02</v>
      </c>
      <c r="I10" s="57">
        <f>AVERAGE(G10:H10)</f>
        <v>1.9E-2</v>
      </c>
      <c r="K10" s="265" t="s">
        <v>49</v>
      </c>
      <c r="L10" s="386">
        <v>1.4999999999999999E-2</v>
      </c>
      <c r="M10" s="387">
        <v>0.02</v>
      </c>
      <c r="O10" s="348" t="str">
        <f>O5</f>
        <v>10Y</v>
      </c>
      <c r="P10" s="349">
        <f>P5-Q5/2+R5</f>
        <v>0.12724999999999997</v>
      </c>
      <c r="Q10" s="350">
        <f>P5</f>
        <v>0.121</v>
      </c>
      <c r="R10" s="353">
        <f>P5+Q5/2+R5</f>
        <v>0.14474999999999999</v>
      </c>
      <c r="S10" s="266"/>
    </row>
    <row r="11" spans="3:37" ht="13.15" thickBot="1" x14ac:dyDescent="0.4">
      <c r="F11" s="58" t="s">
        <v>43</v>
      </c>
      <c r="G11" s="65">
        <v>9.6000000000000002E-2</v>
      </c>
      <c r="H11" s="66">
        <v>9.8000000000000004E-2</v>
      </c>
      <c r="I11" s="59">
        <f>AVERAGE(G11:H11)</f>
        <v>9.7000000000000003E-2</v>
      </c>
      <c r="K11" s="266"/>
      <c r="L11" s="266"/>
      <c r="M11" s="266"/>
      <c r="O11" s="267"/>
      <c r="P11" s="267"/>
      <c r="Q11" s="267"/>
      <c r="R11" s="267"/>
      <c r="S11" s="266"/>
    </row>
    <row r="12" spans="3:37" ht="13.15" thickBot="1" x14ac:dyDescent="0.4">
      <c r="F12" s="50"/>
      <c r="G12" s="51"/>
      <c r="H12" s="52"/>
      <c r="I12" s="1"/>
      <c r="K12" s="46" t="s">
        <v>59</v>
      </c>
      <c r="L12" s="559" t="s">
        <v>157</v>
      </c>
      <c r="M12" s="560"/>
      <c r="O12" s="41" t="s">
        <v>56</v>
      </c>
      <c r="P12" s="41" t="s">
        <v>36</v>
      </c>
      <c r="Q12" s="41" t="s">
        <v>35</v>
      </c>
      <c r="R12" s="41" t="s">
        <v>55</v>
      </c>
      <c r="S12" s="266"/>
    </row>
    <row r="13" spans="3:37" x14ac:dyDescent="0.35">
      <c r="F13" s="50"/>
      <c r="G13" s="51"/>
      <c r="H13" s="52"/>
      <c r="I13" s="1"/>
      <c r="K13" s="259" t="s">
        <v>47</v>
      </c>
      <c r="L13" s="260">
        <v>0.12</v>
      </c>
      <c r="M13" s="261">
        <v>0.122</v>
      </c>
      <c r="O13" s="48" t="str">
        <f>O8</f>
        <v>1Y</v>
      </c>
      <c r="P13" s="357">
        <v>17.7961406391323</v>
      </c>
      <c r="Q13" s="358">
        <f>S3</f>
        <v>19.427774176301391</v>
      </c>
      <c r="R13" s="359">
        <v>21.571140639132299</v>
      </c>
      <c r="S13" s="266"/>
    </row>
    <row r="14" spans="3:37" x14ac:dyDescent="0.35">
      <c r="F14" s="50"/>
      <c r="G14" s="51"/>
      <c r="H14" s="76"/>
      <c r="I14" s="77"/>
      <c r="K14" s="262" t="s">
        <v>48</v>
      </c>
      <c r="L14" s="263">
        <v>-0.01</v>
      </c>
      <c r="M14" s="264">
        <v>-1.4999999999999999E-2</v>
      </c>
      <c r="O14" s="344" t="str">
        <f>O9</f>
        <v>5Y</v>
      </c>
      <c r="P14" s="380">
        <v>23.94</v>
      </c>
      <c r="Q14" s="381">
        <f>S4</f>
        <v>26.541344866071082</v>
      </c>
      <c r="R14" s="382">
        <v>29.786000000000001</v>
      </c>
      <c r="S14" s="266"/>
    </row>
    <row r="15" spans="3:37" ht="13.15" thickBot="1" x14ac:dyDescent="0.4">
      <c r="E15" s="39"/>
      <c r="F15" s="50"/>
      <c r="G15" s="51"/>
      <c r="H15" s="157"/>
      <c r="I15" s="75"/>
      <c r="K15" s="265" t="s">
        <v>49</v>
      </c>
      <c r="L15" s="386">
        <v>0.01</v>
      </c>
      <c r="M15" s="387">
        <v>0.02</v>
      </c>
      <c r="O15" s="348" t="str">
        <f>O10</f>
        <v>10Y</v>
      </c>
      <c r="P15" s="383">
        <v>35.298999999999999</v>
      </c>
      <c r="Q15" s="384">
        <f>S5</f>
        <v>39.20105661100267</v>
      </c>
      <c r="R15" s="385">
        <v>43.604999999999997</v>
      </c>
      <c r="S15" s="266"/>
      <c r="AG15" s="71"/>
    </row>
    <row r="16" spans="3:37" ht="13.15" thickBot="1" x14ac:dyDescent="0.4">
      <c r="C16" s="360" t="s">
        <v>142</v>
      </c>
      <c r="D16" s="361" t="s">
        <v>143</v>
      </c>
      <c r="I16" s="110"/>
      <c r="N16" s="285"/>
      <c r="AA16" s="40" t="s">
        <v>62</v>
      </c>
      <c r="AB16" s="82" t="str">
        <f>TEXT(H3,"mmm-dd")</f>
        <v>Mar-02</v>
      </c>
      <c r="AI16" s="40"/>
      <c r="AJ16" s="40"/>
      <c r="AK16" s="40"/>
    </row>
    <row r="17" spans="1:47" ht="13.15" thickBot="1" x14ac:dyDescent="0.4">
      <c r="B17" s="1"/>
      <c r="C17" s="328">
        <f ca="1">D19-C19-D17</f>
        <v>20103.830616481428</v>
      </c>
      <c r="D17" s="489">
        <f ca="1">SUM(D38:D39)</f>
        <v>-55648.302726587281</v>
      </c>
      <c r="E17" s="563" t="s">
        <v>16</v>
      </c>
      <c r="F17" s="563"/>
      <c r="G17" s="563"/>
      <c r="H17" s="563"/>
      <c r="I17" s="563"/>
      <c r="J17" s="563"/>
      <c r="K17" s="564"/>
      <c r="L17" s="565" t="s">
        <v>15</v>
      </c>
      <c r="M17" s="566"/>
      <c r="N17" s="566"/>
      <c r="O17" s="566"/>
      <c r="P17" s="566"/>
      <c r="Q17" s="567"/>
      <c r="R17" s="554" t="s">
        <v>37</v>
      </c>
      <c r="S17" s="555"/>
      <c r="T17" s="555"/>
      <c r="U17" s="555"/>
      <c r="V17" s="555"/>
      <c r="W17" s="555"/>
      <c r="X17" s="555"/>
      <c r="Y17" s="556"/>
      <c r="AA17" t="s">
        <v>17</v>
      </c>
      <c r="AH17" s="23"/>
      <c r="AN17" s="82"/>
    </row>
    <row r="18" spans="1:47" ht="27" customHeight="1" thickBot="1" x14ac:dyDescent="0.4">
      <c r="B18" s="362" t="s">
        <v>19</v>
      </c>
      <c r="C18" s="362" t="s">
        <v>137</v>
      </c>
      <c r="D18" s="488" t="s">
        <v>12</v>
      </c>
      <c r="E18" s="363" t="s">
        <v>4</v>
      </c>
      <c r="F18" s="373" t="s">
        <v>159</v>
      </c>
      <c r="G18" s="377" t="s">
        <v>25</v>
      </c>
      <c r="H18" s="377" t="s">
        <v>27</v>
      </c>
      <c r="I18" s="365" t="s">
        <v>140</v>
      </c>
      <c r="J18" s="365" t="s">
        <v>141</v>
      </c>
      <c r="K18" s="366" t="s">
        <v>68</v>
      </c>
      <c r="L18" s="374" t="s">
        <v>160</v>
      </c>
      <c r="M18" s="374" t="s">
        <v>161</v>
      </c>
      <c r="N18" s="374" t="s">
        <v>155</v>
      </c>
      <c r="O18" s="367" t="s">
        <v>2</v>
      </c>
      <c r="P18" s="367" t="s">
        <v>5</v>
      </c>
      <c r="Q18" s="374" t="s">
        <v>162</v>
      </c>
      <c r="R18" s="368" t="s">
        <v>13</v>
      </c>
      <c r="S18" s="369" t="s">
        <v>3</v>
      </c>
      <c r="T18" s="375" t="s">
        <v>163</v>
      </c>
      <c r="U18" s="370" t="s">
        <v>35</v>
      </c>
      <c r="V18" s="370" t="s">
        <v>51</v>
      </c>
      <c r="W18" s="370" t="s">
        <v>52</v>
      </c>
      <c r="X18" s="369" t="s">
        <v>7</v>
      </c>
      <c r="Y18" s="371" t="s">
        <v>138</v>
      </c>
      <c r="AA18" s="392" t="s">
        <v>11</v>
      </c>
      <c r="AB18" s="393" t="s">
        <v>164</v>
      </c>
      <c r="AC18" s="397" t="s">
        <v>165</v>
      </c>
      <c r="AD18" s="397" t="s">
        <v>166</v>
      </c>
      <c r="AE18" s="393" t="s">
        <v>167</v>
      </c>
      <c r="AF18" s="393" t="s">
        <v>168</v>
      </c>
      <c r="AG18" s="403" t="s">
        <v>169</v>
      </c>
      <c r="AH18" s="397" t="s">
        <v>170</v>
      </c>
      <c r="AI18" s="397" t="s">
        <v>171</v>
      </c>
      <c r="AJ18" s="393" t="s">
        <v>172</v>
      </c>
      <c r="AK18" s="393" t="s">
        <v>173</v>
      </c>
      <c r="AL18" s="394" t="s">
        <v>22</v>
      </c>
      <c r="AM18" s="395" t="s">
        <v>21</v>
      </c>
      <c r="AN18" s="396" t="s">
        <v>13</v>
      </c>
      <c r="AO18" s="396" t="s">
        <v>3</v>
      </c>
      <c r="AP18" s="419" t="s">
        <v>163</v>
      </c>
      <c r="AQ18" s="396" t="s">
        <v>35</v>
      </c>
      <c r="AR18" s="396" t="s">
        <v>51</v>
      </c>
      <c r="AS18" s="396" t="s">
        <v>52</v>
      </c>
      <c r="AT18" s="396" t="s">
        <v>7</v>
      </c>
      <c r="AU18" s="418" t="s">
        <v>138</v>
      </c>
    </row>
    <row r="19" spans="1:47" ht="13.5" thickBot="1" x14ac:dyDescent="0.45">
      <c r="B19" s="8"/>
      <c r="C19" s="86">
        <f ca="1">SUM(C20:C158)</f>
        <v>7330.9759922439116</v>
      </c>
      <c r="D19" s="86">
        <f ca="1">SUM(D20:D331)</f>
        <v>-28213.496117861941</v>
      </c>
      <c r="E19" s="87">
        <f ca="1">SUM(E20:E331)</f>
        <v>6444294.2535480857</v>
      </c>
      <c r="F19" s="274">
        <f t="shared" ref="F19:K19" ca="1" si="0">SUM(F20:F331)</f>
        <v>-1.3745672856401825</v>
      </c>
      <c r="G19" s="405">
        <f t="shared" ca="1" si="0"/>
        <v>180977.77578016586</v>
      </c>
      <c r="H19" s="405">
        <f t="shared" ca="1" si="0"/>
        <v>532473.2657694337</v>
      </c>
      <c r="I19" s="129">
        <f t="shared" ca="1" si="0"/>
        <v>62.302181500194706</v>
      </c>
      <c r="J19" s="129">
        <f t="shared" ca="1" si="0"/>
        <v>-632.52004510476729</v>
      </c>
      <c r="K19" s="129">
        <f t="shared" ca="1" si="0"/>
        <v>-12458.811708709591</v>
      </c>
      <c r="L19" s="2"/>
      <c r="M19" s="2"/>
      <c r="N19" s="2"/>
      <c r="O19" s="2"/>
      <c r="P19" s="2"/>
      <c r="Q19" s="2"/>
      <c r="S19" s="2"/>
      <c r="T19" s="339"/>
      <c r="U19" s="339"/>
      <c r="V19" s="339"/>
      <c r="W19" s="339"/>
      <c r="X19" s="2"/>
      <c r="Y19" s="2"/>
      <c r="AA19" s="389">
        <f t="shared" ref="AA19:AM19" ca="1" si="1">SUM(AA20:AA239)</f>
        <v>6472507.7496659365</v>
      </c>
      <c r="AB19" s="398">
        <f t="shared" ca="1" si="1"/>
        <v>20.074286707293368</v>
      </c>
      <c r="AC19" s="120">
        <f t="shared" ca="1" si="1"/>
        <v>186079.4364163549</v>
      </c>
      <c r="AD19" s="120">
        <f t="shared" ca="1" si="1"/>
        <v>538937.93446079898</v>
      </c>
      <c r="AE19" s="272">
        <f t="shared" ca="1" si="1"/>
        <v>-471.40630321218214</v>
      </c>
      <c r="AF19" s="272">
        <f t="shared" ca="1" si="1"/>
        <v>-105.78551841531907</v>
      </c>
      <c r="AG19" s="388">
        <f t="shared" ca="1" si="1"/>
        <v>13510.829929439293</v>
      </c>
      <c r="AH19" s="414">
        <f t="shared" ca="1" si="1"/>
        <v>42145.595601275512</v>
      </c>
      <c r="AI19" s="414">
        <f t="shared" ca="1" si="1"/>
        <v>34.460449622454327</v>
      </c>
      <c r="AJ19" s="388">
        <f t="shared" ca="1" si="1"/>
        <v>0</v>
      </c>
      <c r="AK19" s="388">
        <f t="shared" ca="1" si="1"/>
        <v>3173.5655524595786</v>
      </c>
      <c r="AL19" s="388">
        <f t="shared" ca="1" si="1"/>
        <v>-51533.475540553045</v>
      </c>
      <c r="AM19" s="129">
        <f t="shared" ca="1" si="1"/>
        <v>7330.9759922439116</v>
      </c>
      <c r="AU19" s="20"/>
    </row>
    <row r="20" spans="1:47" ht="13.15" thickBot="1" x14ac:dyDescent="0.4">
      <c r="B20" s="293">
        <v>1</v>
      </c>
      <c r="C20" s="295">
        <f ca="1">AM20</f>
        <v>26078.539580658395</v>
      </c>
      <c r="D20" s="295">
        <f t="shared" ref="D20:D83" ca="1" si="2">E20-AA20</f>
        <v>26074.467430278659</v>
      </c>
      <c r="E20" s="295">
        <f ca="1">N20*BSPrice(L20,1/S20,1/O20,Q20,X20,Y20,T20)*1000000</f>
        <v>100193886.34711576</v>
      </c>
      <c r="F20" s="296">
        <f t="shared" ref="F20" ca="1" si="3">N20*BSDelta(L20,1/S20,1/O20,Q20,X20,Y20,T20)</f>
        <v>0</v>
      </c>
      <c r="G20" s="406">
        <f t="shared" ref="G20:G83" ca="1" si="4">BSGamma(L20,1/S20,1/O20,Q20,X20,Y20,T20)*N20</f>
        <v>0</v>
      </c>
      <c r="H20" s="406">
        <f t="shared" ref="H20:H83" ca="1" si="5">BSVega(L20,1/S20,1/O20,Q20,X20,Y20,T20)*N20*1000000</f>
        <v>0</v>
      </c>
      <c r="I20" s="297">
        <f ca="1">N20*BSDailyRhoUSD(L20,1/S20,1/O20,Q20,X20,Y20,T20)*1000000</f>
        <v>-9525.2817979312786</v>
      </c>
      <c r="J20" s="297">
        <f ca="1">N20*BSDailyRhoExt(L20,1/S20,1/O20,Q20,X20,Y20,T20)*1000000</f>
        <v>0</v>
      </c>
      <c r="K20" s="298">
        <f ca="1">N20*BSDailyTheta(L20,1/S20,1/O20,Q20,X20,Y20,T20)*1000000</f>
        <v>5215.7079161316788</v>
      </c>
      <c r="L20" s="299" t="str">
        <f t="shared" ref="L20:P35" ca="1" si="6">INDIRECT("'"&amp; $AB$16 &amp;"'!"&amp; ADDRESS(ROW(L20),COLUMN(L20),4))</f>
        <v>D</v>
      </c>
      <c r="M20" s="300">
        <f t="shared" ca="1" si="6"/>
        <v>100</v>
      </c>
      <c r="N20" s="300">
        <f t="shared" ca="1" si="6"/>
        <v>102.02013400267558</v>
      </c>
      <c r="O20" s="430">
        <f t="shared" ca="1" si="6"/>
        <v>1000000000000000</v>
      </c>
      <c r="P20" s="307">
        <f t="shared" ca="1" si="6"/>
        <v>45339</v>
      </c>
      <c r="Q20" s="301">
        <f ca="1">(P20-$H$2)</f>
        <v>347</v>
      </c>
      <c r="R20" s="106">
        <f ca="1">IF(L20="D",1,$I$6)</f>
        <v>1</v>
      </c>
      <c r="S20" s="104">
        <f ca="1">IF(L20="D",1,R20*EXP(-($I$10-$I$11)*Q20/365))</f>
        <v>1</v>
      </c>
      <c r="T20" s="340">
        <v>0</v>
      </c>
      <c r="U20" s="340">
        <v>0.13</v>
      </c>
      <c r="V20" s="340">
        <v>0.13</v>
      </c>
      <c r="W20" s="340">
        <v>0.13</v>
      </c>
      <c r="X20" s="279">
        <f t="shared" ref="X20:X30" si="7">$I$10</f>
        <v>1.9E-2</v>
      </c>
      <c r="Y20" s="280">
        <f>$I$11</f>
        <v>9.7000000000000003E-2</v>
      </c>
      <c r="AA20" s="390">
        <f ca="1">INDIRECT("'"&amp; $AB$16 &amp;"'!"&amp; ADDRESS(ROW(E20),COLUMN(E20),4))</f>
        <v>100167811.87968548</v>
      </c>
      <c r="AB20" s="399">
        <f t="shared" ref="AB20:AF70" ca="1" si="8">INDIRECT("'"&amp; $AB$16 &amp;"'!"&amp; ADDRESS(ROW(F20),COLUMN(F20),4))</f>
        <v>0</v>
      </c>
      <c r="AC20" s="257">
        <f t="shared" ca="1" si="8"/>
        <v>0</v>
      </c>
      <c r="AD20" s="257">
        <f t="shared" ca="1" si="8"/>
        <v>0</v>
      </c>
      <c r="AE20" s="401">
        <f t="shared" ca="1" si="8"/>
        <v>-9660.0191182600793</v>
      </c>
      <c r="AF20" s="401">
        <f t="shared" ca="1" si="8"/>
        <v>0</v>
      </c>
      <c r="AG20" s="404">
        <f ca="1">AB20*((1/R20)-(1/AN20))*1000000</f>
        <v>0</v>
      </c>
      <c r="AH20" s="415">
        <f ca="1">0.5*AC20*((1/R20)-(1/AN20))^2*1000000</f>
        <v>0</v>
      </c>
      <c r="AI20" s="415">
        <f ca="1">AD20*(T20-AP20)</f>
        <v>0</v>
      </c>
      <c r="AJ20" s="416">
        <f ca="1">(AE20*(X20-AT20))/0.01%</f>
        <v>0</v>
      </c>
      <c r="AK20" s="416">
        <f ca="1">(AF20*(Y20-AU20))/0.01%</f>
        <v>0</v>
      </c>
      <c r="AL20" s="416">
        <f ca="1">K20*(Today-$H$3)</f>
        <v>26078.539580658395</v>
      </c>
      <c r="AM20" s="268">
        <f ca="1">SUM(AG20:AL20)</f>
        <v>26078.539580658395</v>
      </c>
      <c r="AN20" s="420">
        <f ca="1">INDIRECT("'"&amp; $AB$16 &amp;"'!"&amp; ADDRESS(ROW(R20),COLUMN(R20),4))</f>
        <v>1</v>
      </c>
      <c r="AO20" s="421">
        <f t="shared" ref="AO20:AU35" ca="1" si="9">INDIRECT("'"&amp; $AB$16 &amp;"'!"&amp; ADDRESS(ROW(S20),COLUMN(S20),4))</f>
        <v>1</v>
      </c>
      <c r="AP20" s="270">
        <f t="shared" ca="1" si="9"/>
        <v>0</v>
      </c>
      <c r="AQ20" s="270">
        <f t="shared" ca="1" si="9"/>
        <v>0.13</v>
      </c>
      <c r="AR20" s="270">
        <f t="shared" ca="1" si="9"/>
        <v>0.13</v>
      </c>
      <c r="AS20" s="270">
        <f t="shared" ca="1" si="9"/>
        <v>0.13</v>
      </c>
      <c r="AT20" s="270">
        <f t="shared" ca="1" si="9"/>
        <v>1.9E-2</v>
      </c>
      <c r="AU20" s="277">
        <f t="shared" ca="1" si="9"/>
        <v>0.1</v>
      </c>
    </row>
    <row r="21" spans="1:47" ht="13.15" thickBot="1" x14ac:dyDescent="0.4">
      <c r="B21" s="144">
        <f>B20+1</f>
        <v>2</v>
      </c>
      <c r="C21" s="92">
        <f t="shared" ref="C21:C84" ca="1" si="10">AM21</f>
        <v>-1706383.0450315715</v>
      </c>
      <c r="D21" s="92">
        <f t="shared" ca="1" si="2"/>
        <v>-1710390.9624519795</v>
      </c>
      <c r="E21" s="92">
        <f t="shared" ref="E21:E84" ca="1" si="11">N21*BSPrice(L21,1/S21,1/O21,Q21,X21,Y21,T21)*1000000</f>
        <v>-105211960.87957166</v>
      </c>
      <c r="F21" s="134">
        <f ca="1">N21*BSDelta(L21,1/S21,1/O21,Q21,X21,Y21,T21)</f>
        <v>-1890.6589370059389</v>
      </c>
      <c r="G21" s="407">
        <f t="shared" ca="1" si="4"/>
        <v>0</v>
      </c>
      <c r="H21" s="407">
        <f t="shared" ca="1" si="5"/>
        <v>0</v>
      </c>
      <c r="I21" s="276">
        <f ca="1">N21*BSDailyRhoUSD(L21,1/S21,1/O21,Q21,X21,Y21,T21)*1000000</f>
        <v>0</v>
      </c>
      <c r="J21" s="276">
        <f t="shared" ref="J21:J84" ca="1" si="12">N21*BSDailyRhoExt(L21,1/S21,1/O21,Q21,X21,Y21,T21)*1000000</f>
        <v>10001.86714349443</v>
      </c>
      <c r="K21" s="136">
        <f ca="1">N21*BSDailyTheta(L21,1/S21,1/O21,Q21,X21,Y21,T21)*1000000</f>
        <v>-27964.154539006911</v>
      </c>
      <c r="L21" s="72" t="str">
        <f t="shared" ca="1" si="6"/>
        <v>F</v>
      </c>
      <c r="M21" s="89">
        <f t="shared" ca="1" si="6"/>
        <v>-1876.0000000000002</v>
      </c>
      <c r="N21" s="89">
        <f t="shared" ca="1" si="6"/>
        <v>-2073.3006423099155</v>
      </c>
      <c r="O21" s="429">
        <f t="shared" ca="1" si="6"/>
        <v>1000000000000000</v>
      </c>
      <c r="P21" s="308">
        <f t="shared" ca="1" si="6"/>
        <v>45339</v>
      </c>
      <c r="Q21" s="73">
        <f t="shared" ref="Q21:Q84" ca="1" si="13">(P21-$H$2)</f>
        <v>347</v>
      </c>
      <c r="R21" s="107">
        <f t="shared" ref="R21:R84" ca="1" si="14">IF(L21="D",1,$I$6)</f>
        <v>17.97</v>
      </c>
      <c r="S21" s="105">
        <f t="shared" ref="S21:S84" ca="1" si="15">IF(L21="D",1,R21*EXP(-($I$10-$I$11)*Q21/365))</f>
        <v>19.353187323137416</v>
      </c>
      <c r="T21" s="341">
        <v>0</v>
      </c>
      <c r="U21" s="341">
        <v>9.9199999999999997E-2</v>
      </c>
      <c r="V21" s="341">
        <v>9.9199999999999997E-2</v>
      </c>
      <c r="W21" s="341">
        <v>9.9199999999999997E-2</v>
      </c>
      <c r="X21" s="281">
        <f t="shared" si="7"/>
        <v>1.9E-2</v>
      </c>
      <c r="Y21" s="282">
        <f>Y20</f>
        <v>9.7000000000000003E-2</v>
      </c>
      <c r="AA21" s="391">
        <f t="shared" ref="AA21:AF84" ca="1" si="16">INDIRECT("'"&amp; $AB$16 &amp;"'!"&amp; ADDRESS(ROW(E21),COLUMN(E21),4))</f>
        <v>-103501569.91711968</v>
      </c>
      <c r="AB21" s="400">
        <f t="shared" ca="1" si="8"/>
        <v>-1882.693556792444</v>
      </c>
      <c r="AC21" s="258">
        <f t="shared" ca="1" si="8"/>
        <v>0</v>
      </c>
      <c r="AD21" s="258">
        <f t="shared" ca="1" si="8"/>
        <v>0</v>
      </c>
      <c r="AE21" s="402">
        <f t="shared" ca="1" si="8"/>
        <v>-1.4386413187891214E-8</v>
      </c>
      <c r="AF21" s="402">
        <f t="shared" ca="1" si="8"/>
        <v>9981.0399779647687</v>
      </c>
      <c r="AG21" s="404">
        <f t="shared" ref="AG21:AG84" ca="1" si="17">AB21*((1/R21)-(1/AN21))*1000000</f>
        <v>-1267131.0729975936</v>
      </c>
      <c r="AH21" s="415">
        <f t="shared" ref="AH21:AH84" ca="1" si="18">0.5*AC21*((1/R21)-(1/AN21))^2*1000000</f>
        <v>0</v>
      </c>
      <c r="AI21" s="415">
        <f t="shared" ref="AI21:AI84" ca="1" si="19">AD21*(T21-AP21)</f>
        <v>0</v>
      </c>
      <c r="AJ21" s="416">
        <f t="shared" ref="AJ21:AJ84" ca="1" si="20">(AE21*(X21-AT21))/0.01%</f>
        <v>0</v>
      </c>
      <c r="AK21" s="416">
        <f t="shared" ref="AK21:AK84" ca="1" si="21">(AF21*(Y21-AU21))/0.01%</f>
        <v>-299431.19933894335</v>
      </c>
      <c r="AL21" s="417">
        <f t="shared" ref="AL21:AL37" ca="1" si="22">K21*(Today-$H$3)</f>
        <v>-139820.77269503457</v>
      </c>
      <c r="AM21" s="269">
        <f ca="1">SUM(AG21:AL21)</f>
        <v>-1706383.0450315715</v>
      </c>
      <c r="AN21" s="422">
        <f t="shared" ref="AN21:AU36" ca="1" si="23">INDIRECT("'"&amp; $AB$16 &amp;"'!"&amp; ADDRESS(ROW(R21),COLUMN(R21),4))</f>
        <v>18.189999999999998</v>
      </c>
      <c r="AO21" s="423">
        <f t="shared" ca="1" si="9"/>
        <v>19.667884184801565</v>
      </c>
      <c r="AP21" s="271">
        <f t="shared" ca="1" si="9"/>
        <v>0</v>
      </c>
      <c r="AQ21" s="271">
        <f t="shared" ca="1" si="9"/>
        <v>9.9199999999999997E-2</v>
      </c>
      <c r="AR21" s="271">
        <f t="shared" ca="1" si="9"/>
        <v>9.9199999999999997E-2</v>
      </c>
      <c r="AS21" s="271">
        <f t="shared" ca="1" si="9"/>
        <v>9.9199999999999997E-2</v>
      </c>
      <c r="AT21" s="271">
        <f t="shared" ca="1" si="9"/>
        <v>1.9E-2</v>
      </c>
      <c r="AU21" s="278">
        <f t="shared" ca="1" si="9"/>
        <v>0.1</v>
      </c>
    </row>
    <row r="22" spans="1:47" ht="13.15" thickBot="1" x14ac:dyDescent="0.4">
      <c r="B22" s="318">
        <f t="shared" ref="B22:B28" si="24">B21+1</f>
        <v>3</v>
      </c>
      <c r="C22" s="309">
        <f t="shared" ca="1" si="10"/>
        <v>1670951.3030110609</v>
      </c>
      <c r="D22" s="309">
        <f t="shared" ca="1" si="2"/>
        <v>1674941.3110804199</v>
      </c>
      <c r="E22" s="309">
        <f t="shared" ca="1" si="11"/>
        <v>4460832.1528043011</v>
      </c>
      <c r="F22" s="310">
        <f t="shared" ref="F22:F85" ca="1" si="25">N22*BSDelta(L22,1/S22,1/O22,Q22,X22,Y22,T22)</f>
        <v>1880.2899600886367</v>
      </c>
      <c r="G22" s="408">
        <f t="shared" ca="1" si="4"/>
        <v>0</v>
      </c>
      <c r="H22" s="408">
        <f t="shared" ca="1" si="5"/>
        <v>0</v>
      </c>
      <c r="I22" s="311">
        <f t="shared" ref="I22:I85" ca="1" si="26">N22*BSDailyRhoUSD(L22,1/S22,1/O22,Q22,X22,Y22,T22)*1000000</f>
        <v>9522.9492794354246</v>
      </c>
      <c r="J22" s="311">
        <f t="shared" ca="1" si="12"/>
        <v>-9947.0137124978464</v>
      </c>
      <c r="K22" s="312">
        <f ca="1">N22*BSDailyTheta(L22,1/S22,1/O22,Q22,X22,Y22,T22)*1000000</f>
        <v>22596.111612846296</v>
      </c>
      <c r="L22" s="313" t="str">
        <f t="shared" ca="1" si="6"/>
        <v>F</v>
      </c>
      <c r="M22" s="314">
        <f t="shared" ca="1" si="6"/>
        <v>102</v>
      </c>
      <c r="N22" s="314">
        <f t="shared" ca="1" si="6"/>
        <v>2061.9299999999998</v>
      </c>
      <c r="O22" s="470">
        <f t="shared" ca="1" si="6"/>
        <v>20.215</v>
      </c>
      <c r="P22" s="315">
        <f t="shared" ca="1" si="6"/>
        <v>45339</v>
      </c>
      <c r="Q22" s="481">
        <f ca="1">(P22-$H$2)</f>
        <v>347</v>
      </c>
      <c r="R22" s="303">
        <f t="shared" ca="1" si="14"/>
        <v>17.97</v>
      </c>
      <c r="S22" s="304">
        <f t="shared" ca="1" si="15"/>
        <v>19.353187323137416</v>
      </c>
      <c r="T22" s="342">
        <v>0</v>
      </c>
      <c r="U22" s="342">
        <v>9.1899999999999996E-2</v>
      </c>
      <c r="V22" s="342">
        <v>9.1899999999999996E-2</v>
      </c>
      <c r="W22" s="342">
        <v>9.1899999999999996E-2</v>
      </c>
      <c r="X22" s="305">
        <f t="shared" si="7"/>
        <v>1.9E-2</v>
      </c>
      <c r="Y22" s="306">
        <f t="shared" ref="Y22:Y85" si="27">Y21</f>
        <v>9.7000000000000003E-2</v>
      </c>
      <c r="AA22" s="391">
        <f t="shared" ca="1" si="16"/>
        <v>2785890.8417238812</v>
      </c>
      <c r="AB22" s="400">
        <f t="shared" ca="1" si="8"/>
        <v>1872.3682645619747</v>
      </c>
      <c r="AC22" s="258">
        <f t="shared" ca="1" si="8"/>
        <v>0</v>
      </c>
      <c r="AD22" s="258">
        <f t="shared" ca="1" si="8"/>
        <v>0</v>
      </c>
      <c r="AE22" s="402">
        <f t="shared" ca="1" si="8"/>
        <v>9657.6469910450705</v>
      </c>
      <c r="AF22" s="402">
        <f t="shared" ca="1" si="8"/>
        <v>-9926.3007697800349</v>
      </c>
      <c r="AG22" s="404">
        <f t="shared" ca="1" si="17"/>
        <v>1260181.7218534281</v>
      </c>
      <c r="AH22" s="415">
        <f t="shared" ca="1" si="18"/>
        <v>0</v>
      </c>
      <c r="AI22" s="415">
        <f t="shared" ca="1" si="19"/>
        <v>0</v>
      </c>
      <c r="AJ22" s="416">
        <f t="shared" ca="1" si="20"/>
        <v>0</v>
      </c>
      <c r="AK22" s="416">
        <f t="shared" ca="1" si="21"/>
        <v>297789.02309340134</v>
      </c>
      <c r="AL22" s="417">
        <f t="shared" ca="1" si="22"/>
        <v>112980.55806423147</v>
      </c>
      <c r="AM22" s="269">
        <f ca="1">SUM(AG22:AL22)</f>
        <v>1670951.3030110609</v>
      </c>
      <c r="AN22" s="422">
        <f t="shared" ca="1" si="23"/>
        <v>18.189999999999998</v>
      </c>
      <c r="AO22" s="423">
        <f t="shared" ca="1" si="9"/>
        <v>19.667884184801565</v>
      </c>
      <c r="AP22" s="271">
        <f t="shared" ca="1" si="9"/>
        <v>0</v>
      </c>
      <c r="AQ22" s="271">
        <f t="shared" ca="1" si="9"/>
        <v>9.1899999999999996E-2</v>
      </c>
      <c r="AR22" s="271">
        <f t="shared" ca="1" si="9"/>
        <v>9.1899999999999996E-2</v>
      </c>
      <c r="AS22" s="271">
        <f t="shared" ca="1" si="9"/>
        <v>9.1899999999999996E-2</v>
      </c>
      <c r="AT22" s="271">
        <f t="shared" ca="1" si="9"/>
        <v>1.9E-2</v>
      </c>
      <c r="AU22" s="278">
        <f t="shared" ca="1" si="9"/>
        <v>0.1</v>
      </c>
    </row>
    <row r="23" spans="1:47" ht="13.15" thickBot="1" x14ac:dyDescent="0.4">
      <c r="B23" s="471">
        <f t="shared" si="24"/>
        <v>4</v>
      </c>
      <c r="C23" s="472">
        <f t="shared" ca="1" si="10"/>
        <v>-24761.109028555315</v>
      </c>
      <c r="D23" s="472">
        <f t="shared" ca="1" si="2"/>
        <v>-24757.242594227195</v>
      </c>
      <c r="E23" s="472">
        <f t="shared" ca="1" si="11"/>
        <v>-95132311.230841175</v>
      </c>
      <c r="F23" s="473">
        <f t="shared" ca="1" si="25"/>
        <v>0</v>
      </c>
      <c r="G23" s="474">
        <f t="shared" ca="1" si="4"/>
        <v>0</v>
      </c>
      <c r="H23" s="474">
        <f t="shared" ca="1" si="5"/>
        <v>0</v>
      </c>
      <c r="I23" s="475">
        <f t="shared" ca="1" si="26"/>
        <v>5942.5114960635037</v>
      </c>
      <c r="J23" s="475">
        <f t="shared" ca="1" si="12"/>
        <v>0</v>
      </c>
      <c r="K23" s="476">
        <f t="shared" ref="K23:K86" ca="1" si="28">N23*BSDailyTheta(L23,1/S23,1/O23,Q23,X23,Y23,T23)*1000000</f>
        <v>-4952.2218057110631</v>
      </c>
      <c r="L23" s="477" t="str">
        <f ca="1">INDIRECT("'"&amp; $AB$16 &amp;"'!"&amp; ADDRESS(ROW(L23),COLUMN(L23),4))</f>
        <v>D</v>
      </c>
      <c r="M23" s="478">
        <f ca="1">INDIRECT("'"&amp; $AB$16 &amp;"'!"&amp; ADDRESS(ROW(M23),COLUMN(M23),4))</f>
        <v>-95</v>
      </c>
      <c r="N23" s="478">
        <f ca="1">INDIRECT("'"&amp; $AB$16 &amp;"'!"&amp; ADDRESS(ROW(N23),COLUMN(N23),4))</f>
        <v>-96.268115223525598</v>
      </c>
      <c r="O23" s="479">
        <v>1000000000000000</v>
      </c>
      <c r="P23" s="480">
        <v>45220</v>
      </c>
      <c r="Q23" s="482">
        <f t="shared" si="13"/>
        <v>228</v>
      </c>
      <c r="R23" s="107">
        <f t="shared" ca="1" si="14"/>
        <v>1</v>
      </c>
      <c r="S23" s="105">
        <f t="shared" ca="1" si="15"/>
        <v>1</v>
      </c>
      <c r="T23" s="341">
        <v>0</v>
      </c>
      <c r="U23" s="341">
        <v>9.4200000000000006E-2</v>
      </c>
      <c r="V23" s="341">
        <v>9.4200000000000006E-2</v>
      </c>
      <c r="W23" s="341">
        <v>9.4200000000000006E-2</v>
      </c>
      <c r="X23" s="281">
        <f t="shared" si="7"/>
        <v>1.9E-2</v>
      </c>
      <c r="Y23" s="282">
        <f t="shared" si="27"/>
        <v>9.7000000000000003E-2</v>
      </c>
      <c r="AA23" s="391">
        <f t="shared" ca="1" si="16"/>
        <v>-95107553.988246948</v>
      </c>
      <c r="AB23" s="400">
        <f t="shared" ca="1" si="8"/>
        <v>0</v>
      </c>
      <c r="AC23" s="258">
        <f t="shared" ca="1" si="8"/>
        <v>0</v>
      </c>
      <c r="AD23" s="258">
        <f t="shared" ca="1" si="8"/>
        <v>0</v>
      </c>
      <c r="AE23" s="402">
        <f t="shared" ca="1" si="8"/>
        <v>6071.2493367839834</v>
      </c>
      <c r="AF23" s="402">
        <f t="shared" ca="1" si="8"/>
        <v>0</v>
      </c>
      <c r="AG23" s="404">
        <f t="shared" ca="1" si="17"/>
        <v>0</v>
      </c>
      <c r="AH23" s="415">
        <f t="shared" ca="1" si="18"/>
        <v>0</v>
      </c>
      <c r="AI23" s="415">
        <f t="shared" ca="1" si="19"/>
        <v>0</v>
      </c>
      <c r="AJ23" s="416">
        <f t="shared" ca="1" si="20"/>
        <v>0</v>
      </c>
      <c r="AK23" s="416">
        <f t="shared" ca="1" si="21"/>
        <v>0</v>
      </c>
      <c r="AL23" s="417">
        <f t="shared" ca="1" si="22"/>
        <v>-24761.109028555315</v>
      </c>
      <c r="AM23" s="269">
        <f t="shared" ref="AM23:AM86" ca="1" si="29">SUM(AG23:AL23)</f>
        <v>-24761.109028555315</v>
      </c>
      <c r="AN23" s="422">
        <f t="shared" ca="1" si="23"/>
        <v>1</v>
      </c>
      <c r="AO23" s="423">
        <f t="shared" ca="1" si="9"/>
        <v>1</v>
      </c>
      <c r="AP23" s="271">
        <f t="shared" ca="1" si="9"/>
        <v>0</v>
      </c>
      <c r="AQ23" s="271">
        <f t="shared" ca="1" si="9"/>
        <v>9.4200000000000006E-2</v>
      </c>
      <c r="AR23" s="271">
        <f t="shared" ca="1" si="9"/>
        <v>9.4200000000000006E-2</v>
      </c>
      <c r="AS23" s="271">
        <f t="shared" ca="1" si="9"/>
        <v>9.4200000000000006E-2</v>
      </c>
      <c r="AT23" s="271">
        <f t="shared" ca="1" si="9"/>
        <v>1.9E-2</v>
      </c>
      <c r="AU23" s="278">
        <f t="shared" ca="1" si="9"/>
        <v>0.1</v>
      </c>
    </row>
    <row r="24" spans="1:47" ht="13.15" thickBot="1" x14ac:dyDescent="0.4">
      <c r="B24" s="317">
        <f t="shared" si="24"/>
        <v>5</v>
      </c>
      <c r="C24" s="92">
        <f t="shared" ca="1" si="10"/>
        <v>1484129.7052225845</v>
      </c>
      <c r="D24" s="92">
        <f t="shared" ca="1" si="2"/>
        <v>1486454.2563593984</v>
      </c>
      <c r="E24" s="92">
        <f t="shared" ca="1" si="11"/>
        <v>97192188.77812089</v>
      </c>
      <c r="F24" s="134">
        <f t="shared" ca="1" si="25"/>
        <v>1746.5436323428653</v>
      </c>
      <c r="G24" s="407">
        <f t="shared" ca="1" si="4"/>
        <v>0</v>
      </c>
      <c r="H24" s="407">
        <f t="shared" ca="1" si="5"/>
        <v>0</v>
      </c>
      <c r="I24" s="276">
        <f t="shared" ca="1" si="26"/>
        <v>0</v>
      </c>
      <c r="J24" s="276">
        <f t="shared" ca="1" si="12"/>
        <v>-6070.9936824458309</v>
      </c>
      <c r="K24" s="136">
        <f t="shared" ca="1" si="28"/>
        <v>25832.589415238614</v>
      </c>
      <c r="L24" s="72" t="str">
        <f t="shared" ca="1" si="6"/>
        <v>F</v>
      </c>
      <c r="M24" s="89">
        <f t="shared" ca="1" si="6"/>
        <v>1736.6000000000001</v>
      </c>
      <c r="N24" s="89">
        <f t="shared" ca="1" si="6"/>
        <v>1855.6416672457804</v>
      </c>
      <c r="O24" s="429">
        <v>1000000000000000</v>
      </c>
      <c r="P24" s="308">
        <v>45220</v>
      </c>
      <c r="Q24" s="483">
        <f t="shared" si="13"/>
        <v>228</v>
      </c>
      <c r="R24" s="107">
        <f t="shared" ca="1" si="14"/>
        <v>17.97</v>
      </c>
      <c r="S24" s="105">
        <f t="shared" ca="1" si="15"/>
        <v>18.867238182987151</v>
      </c>
      <c r="T24" s="341">
        <v>0</v>
      </c>
      <c r="U24" s="341">
        <v>9.9699999999999997E-2</v>
      </c>
      <c r="V24" s="341">
        <v>9.9699999999999997E-2</v>
      </c>
      <c r="W24" s="341">
        <v>9.9699999999999997E-2</v>
      </c>
      <c r="X24" s="281">
        <f t="shared" si="7"/>
        <v>1.9E-2</v>
      </c>
      <c r="Y24" s="282">
        <f t="shared" si="27"/>
        <v>9.7000000000000003E-2</v>
      </c>
      <c r="AA24" s="391">
        <f t="shared" ca="1" si="16"/>
        <v>95705734.521761492</v>
      </c>
      <c r="AB24" s="400">
        <f t="shared" ca="1" si="8"/>
        <v>1740.8873109508743</v>
      </c>
      <c r="AC24" s="258">
        <f t="shared" ca="1" si="8"/>
        <v>0</v>
      </c>
      <c r="AD24" s="258">
        <f t="shared" ca="1" si="8"/>
        <v>0</v>
      </c>
      <c r="AE24" s="402">
        <f t="shared" ca="1" si="8"/>
        <v>1.2876100652687992E-8</v>
      </c>
      <c r="AF24" s="402">
        <f t="shared" ca="1" si="8"/>
        <v>-6109.2395642788906</v>
      </c>
      <c r="AG24" s="404">
        <f t="shared" ca="1" si="17"/>
        <v>1171689.5712180247</v>
      </c>
      <c r="AH24" s="415">
        <f t="shared" ca="1" si="18"/>
        <v>0</v>
      </c>
      <c r="AI24" s="415">
        <f t="shared" ca="1" si="19"/>
        <v>0</v>
      </c>
      <c r="AJ24" s="416">
        <f t="shared" ca="1" si="20"/>
        <v>0</v>
      </c>
      <c r="AK24" s="416">
        <f t="shared" ca="1" si="21"/>
        <v>183277.18692836686</v>
      </c>
      <c r="AL24" s="417">
        <f t="shared" ca="1" si="22"/>
        <v>129162.94707619307</v>
      </c>
      <c r="AM24" s="269">
        <f t="shared" ca="1" si="29"/>
        <v>1484129.7052225845</v>
      </c>
      <c r="AN24" s="422">
        <f t="shared" ca="1" si="23"/>
        <v>18.189999999999998</v>
      </c>
      <c r="AO24" s="423">
        <f t="shared" ca="1" si="9"/>
        <v>19.155288547202872</v>
      </c>
      <c r="AP24" s="271">
        <f t="shared" ca="1" si="9"/>
        <v>0</v>
      </c>
      <c r="AQ24" s="271">
        <f t="shared" ca="1" si="9"/>
        <v>9.9699999999999997E-2</v>
      </c>
      <c r="AR24" s="271">
        <f t="shared" ca="1" si="9"/>
        <v>9.9699999999999997E-2</v>
      </c>
      <c r="AS24" s="271">
        <f t="shared" ca="1" si="9"/>
        <v>9.9699999999999997E-2</v>
      </c>
      <c r="AT24" s="271">
        <f t="shared" ca="1" si="9"/>
        <v>1.9E-2</v>
      </c>
      <c r="AU24" s="278">
        <f t="shared" ca="1" si="9"/>
        <v>0.1</v>
      </c>
    </row>
    <row r="25" spans="1:47" ht="13.15" thickBot="1" x14ac:dyDescent="0.4">
      <c r="B25" s="317">
        <f t="shared" si="24"/>
        <v>6</v>
      </c>
      <c r="C25" s="92">
        <f t="shared" ca="1" si="10"/>
        <v>-1455245.3079211921</v>
      </c>
      <c r="D25" s="459">
        <f t="shared" ca="1" si="2"/>
        <v>-1457567.1485190836</v>
      </c>
      <c r="E25" s="459">
        <f t="shared" ca="1" si="11"/>
        <v>-2050288.7829775657</v>
      </c>
      <c r="F25" s="460">
        <f t="shared" ca="1" si="25"/>
        <v>-1741.6101364462324</v>
      </c>
      <c r="G25" s="407">
        <f t="shared" ca="1" si="4"/>
        <v>0</v>
      </c>
      <c r="H25" s="407">
        <f t="shared" ca="1" si="5"/>
        <v>0</v>
      </c>
      <c r="I25" s="442">
        <f t="shared" ca="1" si="26"/>
        <v>-5925.775994501133</v>
      </c>
      <c r="J25" s="442">
        <f t="shared" ca="1" si="12"/>
        <v>6053.844828059774</v>
      </c>
      <c r="K25" s="136">
        <f t="shared" ca="1" si="28"/>
        <v>-20821.190166028042</v>
      </c>
      <c r="L25" s="463" t="str">
        <f t="shared" ca="1" si="6"/>
        <v>F</v>
      </c>
      <c r="M25" s="445">
        <f t="shared" ca="1" si="6"/>
        <v>-96</v>
      </c>
      <c r="N25" s="89">
        <f t="shared" ca="1" si="6"/>
        <v>-1850.3999999999999</v>
      </c>
      <c r="O25" s="428">
        <f ca="1">INDIRECT("'"&amp; $AB$16 &amp;"'!"&amp; ADDRESS(ROW(O25),COLUMN(O25),4))</f>
        <v>19.274999999999999</v>
      </c>
      <c r="P25" s="308">
        <v>45220</v>
      </c>
      <c r="Q25" s="73">
        <f t="shared" si="13"/>
        <v>228</v>
      </c>
      <c r="R25" s="450">
        <f t="shared" ca="1" si="14"/>
        <v>17.97</v>
      </c>
      <c r="S25" s="451">
        <f t="shared" ca="1" si="15"/>
        <v>18.867238182987151</v>
      </c>
      <c r="T25" s="452">
        <v>0</v>
      </c>
      <c r="U25" s="452">
        <v>0.11219999999999999</v>
      </c>
      <c r="V25" s="452">
        <v>0.11219999999999999</v>
      </c>
      <c r="W25" s="452">
        <v>0.11219999999999999</v>
      </c>
      <c r="X25" s="454">
        <f t="shared" si="7"/>
        <v>1.9E-2</v>
      </c>
      <c r="Y25" s="466">
        <f t="shared" si="27"/>
        <v>9.7000000000000003E-2</v>
      </c>
      <c r="AA25" s="391">
        <f t="shared" ca="1" si="16"/>
        <v>-592721.63445848203</v>
      </c>
      <c r="AB25" s="400">
        <f t="shared" ca="1" si="8"/>
        <v>-1735.9697925757075</v>
      </c>
      <c r="AC25" s="258">
        <f t="shared" ca="1" si="8"/>
        <v>0</v>
      </c>
      <c r="AD25" s="258">
        <f t="shared" ca="1" si="8"/>
        <v>0</v>
      </c>
      <c r="AE25" s="402">
        <f t="shared" ca="1" si="8"/>
        <v>-6054.1471327413992</v>
      </c>
      <c r="AF25" s="402">
        <f t="shared" ca="1" si="8"/>
        <v>6091.9826760044361</v>
      </c>
      <c r="AG25" s="404">
        <f t="shared" ca="1" si="17"/>
        <v>-1168379.8768109188</v>
      </c>
      <c r="AH25" s="415">
        <f t="shared" ca="1" si="18"/>
        <v>0</v>
      </c>
      <c r="AI25" s="415">
        <f t="shared" ca="1" si="19"/>
        <v>0</v>
      </c>
      <c r="AJ25" s="416">
        <f t="shared" ca="1" si="20"/>
        <v>0</v>
      </c>
      <c r="AK25" s="416">
        <f t="shared" ca="1" si="21"/>
        <v>-182759.48028013323</v>
      </c>
      <c r="AL25" s="417">
        <f t="shared" ca="1" si="22"/>
        <v>-104105.95083014021</v>
      </c>
      <c r="AM25" s="269">
        <f t="shared" ca="1" si="29"/>
        <v>-1455245.3079211921</v>
      </c>
      <c r="AN25" s="422">
        <f t="shared" ca="1" si="23"/>
        <v>18.189999999999998</v>
      </c>
      <c r="AO25" s="423">
        <f t="shared" ca="1" si="9"/>
        <v>19.155288547202872</v>
      </c>
      <c r="AP25" s="271">
        <f t="shared" ca="1" si="9"/>
        <v>0</v>
      </c>
      <c r="AQ25" s="271">
        <f t="shared" ca="1" si="9"/>
        <v>0.11219999999999999</v>
      </c>
      <c r="AR25" s="271">
        <f t="shared" ca="1" si="9"/>
        <v>0.11219999999999999</v>
      </c>
      <c r="AS25" s="271">
        <f t="shared" ca="1" si="9"/>
        <v>0.11219999999999999</v>
      </c>
      <c r="AT25" s="271">
        <f t="shared" ca="1" si="9"/>
        <v>1.9E-2</v>
      </c>
      <c r="AU25" s="278">
        <f t="shared" ca="1" si="9"/>
        <v>0.1</v>
      </c>
    </row>
    <row r="26" spans="1:47" ht="13.15" thickBot="1" x14ac:dyDescent="0.4">
      <c r="B26" s="457">
        <f t="shared" si="24"/>
        <v>7</v>
      </c>
      <c r="C26" s="458">
        <f t="shared" ca="1" si="10"/>
        <v>2604.1769779519727</v>
      </c>
      <c r="D26" s="92">
        <f t="shared" ca="1" si="2"/>
        <v>2603.7703370656818</v>
      </c>
      <c r="E26" s="92">
        <f t="shared" ca="1" si="11"/>
        <v>10005261.657739338</v>
      </c>
      <c r="F26" s="134">
        <f t="shared" ca="1" si="25"/>
        <v>0</v>
      </c>
      <c r="G26" s="461">
        <f t="shared" ca="1" si="4"/>
        <v>0</v>
      </c>
      <c r="H26" s="461">
        <f t="shared" ca="1" si="5"/>
        <v>0</v>
      </c>
      <c r="I26" s="276">
        <f t="shared" ca="1" si="26"/>
        <v>-142.54071402806727</v>
      </c>
      <c r="J26" s="276">
        <f t="shared" ca="1" si="12"/>
        <v>0</v>
      </c>
      <c r="K26" s="462">
        <f t="shared" ca="1" si="28"/>
        <v>520.83539559039457</v>
      </c>
      <c r="L26" s="72" t="s">
        <v>139</v>
      </c>
      <c r="M26" s="89">
        <f t="shared" ca="1" si="6"/>
        <v>10</v>
      </c>
      <c r="N26" s="478">
        <f t="shared" ca="1" si="6"/>
        <v>10.03238108094199</v>
      </c>
      <c r="O26" s="465">
        <v>1000000000000000</v>
      </c>
      <c r="P26" s="480">
        <v>45044</v>
      </c>
      <c r="Q26" s="457">
        <f>(P26-$H$2)</f>
        <v>52</v>
      </c>
      <c r="R26" s="107">
        <f t="shared" si="14"/>
        <v>1</v>
      </c>
      <c r="S26" s="105">
        <f t="shared" si="15"/>
        <v>1</v>
      </c>
      <c r="T26" s="341">
        <v>0</v>
      </c>
      <c r="U26" s="341">
        <v>0.1036</v>
      </c>
      <c r="V26" s="341">
        <v>0.1036</v>
      </c>
      <c r="W26" s="341">
        <v>0.1036</v>
      </c>
      <c r="X26" s="281">
        <f t="shared" si="7"/>
        <v>1.9E-2</v>
      </c>
      <c r="Y26" s="282">
        <f>Y25</f>
        <v>9.7000000000000003E-2</v>
      </c>
      <c r="AA26" s="391">
        <f t="shared" ca="1" si="16"/>
        <v>10002657.887402272</v>
      </c>
      <c r="AB26" s="400">
        <f t="shared" ca="1" si="8"/>
        <v>0</v>
      </c>
      <c r="AC26" s="258">
        <f t="shared" ca="1" si="8"/>
        <v>0</v>
      </c>
      <c r="AD26" s="258">
        <f t="shared" ca="1" si="8"/>
        <v>0</v>
      </c>
      <c r="AE26" s="402">
        <f t="shared" ca="1" si="8"/>
        <v>-156.20589029641903</v>
      </c>
      <c r="AF26" s="402">
        <f t="shared" ca="1" si="8"/>
        <v>0</v>
      </c>
      <c r="AG26" s="404">
        <f t="shared" ca="1" si="17"/>
        <v>0</v>
      </c>
      <c r="AH26" s="415">
        <f t="shared" ca="1" si="18"/>
        <v>0</v>
      </c>
      <c r="AI26" s="415">
        <f t="shared" ca="1" si="19"/>
        <v>0</v>
      </c>
      <c r="AJ26" s="416">
        <f t="shared" ca="1" si="20"/>
        <v>0</v>
      </c>
      <c r="AK26" s="416">
        <f t="shared" ca="1" si="21"/>
        <v>0</v>
      </c>
      <c r="AL26" s="417">
        <f t="shared" ca="1" si="22"/>
        <v>2604.1769779519727</v>
      </c>
      <c r="AM26" s="269">
        <f t="shared" ca="1" si="29"/>
        <v>2604.1769779519727</v>
      </c>
      <c r="AN26" s="422">
        <f t="shared" ca="1" si="23"/>
        <v>1</v>
      </c>
      <c r="AO26" s="423">
        <f t="shared" ca="1" si="9"/>
        <v>1</v>
      </c>
      <c r="AP26" s="271">
        <f t="shared" ca="1" si="9"/>
        <v>0</v>
      </c>
      <c r="AQ26" s="271">
        <f t="shared" ca="1" si="9"/>
        <v>0.1036</v>
      </c>
      <c r="AR26" s="271">
        <f t="shared" ca="1" si="9"/>
        <v>0.1036</v>
      </c>
      <c r="AS26" s="271">
        <f t="shared" ca="1" si="9"/>
        <v>0.1036</v>
      </c>
      <c r="AT26" s="271">
        <f t="shared" ca="1" si="9"/>
        <v>1.9E-2</v>
      </c>
      <c r="AU26" s="278">
        <f t="shared" ca="1" si="9"/>
        <v>0.1</v>
      </c>
    </row>
    <row r="27" spans="1:47" ht="13.15" thickBot="1" x14ac:dyDescent="0.4">
      <c r="B27" s="317">
        <f t="shared" si="24"/>
        <v>8</v>
      </c>
      <c r="C27" s="92">
        <f t="shared" ca="1" si="10"/>
        <v>-141051.20314770556</v>
      </c>
      <c r="D27" s="92">
        <f t="shared" ca="1" si="2"/>
        <v>-141099.12526622042</v>
      </c>
      <c r="E27" s="92">
        <f t="shared" ca="1" si="11"/>
        <v>-10174082.775223678</v>
      </c>
      <c r="F27" s="134">
        <f t="shared" ca="1" si="25"/>
        <v>-182.82826747077277</v>
      </c>
      <c r="G27" s="407">
        <f t="shared" ca="1" si="4"/>
        <v>0</v>
      </c>
      <c r="H27" s="407">
        <f t="shared" ca="1" si="5"/>
        <v>0</v>
      </c>
      <c r="I27" s="276">
        <f t="shared" ca="1" si="26"/>
        <v>1.2862790130202233E-9</v>
      </c>
      <c r="J27" s="276">
        <f t="shared" ca="1" si="12"/>
        <v>144.94480431196058</v>
      </c>
      <c r="K27" s="136">
        <f t="shared" ca="1" si="28"/>
        <v>-2704.1566437925026</v>
      </c>
      <c r="L27" s="72" t="str">
        <f t="shared" ca="1" si="6"/>
        <v>F</v>
      </c>
      <c r="M27" s="89">
        <f t="shared" ca="1" si="6"/>
        <v>-182.39999999999998</v>
      </c>
      <c r="N27" s="89">
        <f t="shared" ca="1" si="6"/>
        <v>-185.37234187943574</v>
      </c>
      <c r="O27" s="425">
        <v>1000000000000000</v>
      </c>
      <c r="P27" s="308">
        <v>45044</v>
      </c>
      <c r="Q27" s="73">
        <f t="shared" si="13"/>
        <v>52</v>
      </c>
      <c r="R27" s="107">
        <f t="shared" ca="1" si="14"/>
        <v>17.97</v>
      </c>
      <c r="S27" s="105">
        <f t="shared" ca="1" si="15"/>
        <v>18.170802171504128</v>
      </c>
      <c r="T27" s="341">
        <v>0</v>
      </c>
      <c r="U27" s="341">
        <v>8.5699999999999998E-2</v>
      </c>
      <c r="V27" s="341">
        <v>8.5699999999999998E-2</v>
      </c>
      <c r="W27" s="341">
        <v>8.5699999999999998E-2</v>
      </c>
      <c r="X27" s="281">
        <f t="shared" si="7"/>
        <v>1.9E-2</v>
      </c>
      <c r="Y27" s="282">
        <f t="shared" si="27"/>
        <v>9.7000000000000003E-2</v>
      </c>
      <c r="AA27" s="391">
        <f t="shared" ca="1" si="16"/>
        <v>-10032983.649957458</v>
      </c>
      <c r="AB27" s="400">
        <f t="shared" ca="1" si="8"/>
        <v>-182.49997259272953</v>
      </c>
      <c r="AC27" s="258">
        <f t="shared" ca="1" si="8"/>
        <v>0</v>
      </c>
      <c r="AD27" s="258">
        <f t="shared" ca="1" si="8"/>
        <v>0</v>
      </c>
      <c r="AE27" s="402">
        <f t="shared" ca="1" si="8"/>
        <v>0</v>
      </c>
      <c r="AF27" s="402">
        <f t="shared" ca="1" si="8"/>
        <v>156.67824731744173</v>
      </c>
      <c r="AG27" s="404">
        <f t="shared" ca="1" si="17"/>
        <v>-122830.07250921978</v>
      </c>
      <c r="AH27" s="415">
        <f t="shared" ca="1" si="18"/>
        <v>0</v>
      </c>
      <c r="AI27" s="415">
        <f t="shared" ca="1" si="19"/>
        <v>0</v>
      </c>
      <c r="AJ27" s="416">
        <f t="shared" ca="1" si="20"/>
        <v>0</v>
      </c>
      <c r="AK27" s="416">
        <f t="shared" ca="1" si="21"/>
        <v>-4700.3474195232557</v>
      </c>
      <c r="AL27" s="417">
        <f t="shared" ca="1" si="22"/>
        <v>-13520.783218962513</v>
      </c>
      <c r="AM27" s="269">
        <f t="shared" ca="1" si="29"/>
        <v>-141051.20314770556</v>
      </c>
      <c r="AN27" s="422">
        <f t="shared" ca="1" si="23"/>
        <v>18.189999999999998</v>
      </c>
      <c r="AO27" s="423">
        <f t="shared" ca="1" si="9"/>
        <v>18.421552443545057</v>
      </c>
      <c r="AP27" s="271">
        <f t="shared" ca="1" si="9"/>
        <v>0</v>
      </c>
      <c r="AQ27" s="271">
        <f t="shared" ca="1" si="9"/>
        <v>8.5699999999999998E-2</v>
      </c>
      <c r="AR27" s="271">
        <f t="shared" ca="1" si="9"/>
        <v>8.5699999999999998E-2</v>
      </c>
      <c r="AS27" s="271">
        <f t="shared" ca="1" si="9"/>
        <v>8.5699999999999998E-2</v>
      </c>
      <c r="AT27" s="271">
        <f t="shared" ca="1" si="9"/>
        <v>1.9E-2</v>
      </c>
      <c r="AU27" s="278">
        <f t="shared" ca="1" si="9"/>
        <v>0.1</v>
      </c>
    </row>
    <row r="28" spans="1:47" ht="13.15" thickBot="1" x14ac:dyDescent="0.4">
      <c r="B28" s="144">
        <f t="shared" si="24"/>
        <v>9</v>
      </c>
      <c r="C28" s="92">
        <f ca="1">AM28</f>
        <v>165627.23048619722</v>
      </c>
      <c r="D28" s="92">
        <f t="shared" ca="1" si="2"/>
        <v>169813.3424151853</v>
      </c>
      <c r="E28" s="92">
        <f t="shared" ca="1" si="11"/>
        <v>679964.60969228356</v>
      </c>
      <c r="F28" s="134">
        <f t="shared" ca="1" si="25"/>
        <v>267.06220528006003</v>
      </c>
      <c r="G28" s="407">
        <f t="shared" ca="1" si="4"/>
        <v>54098.647927927028</v>
      </c>
      <c r="H28" s="407">
        <f t="shared" ca="1" si="5"/>
        <v>30965.659672175556</v>
      </c>
      <c r="I28" s="276">
        <f t="shared" ca="1" si="26"/>
        <v>202.05470637506235</v>
      </c>
      <c r="J28" s="276">
        <f t="shared" ca="1" si="12"/>
        <v>-211.70780212770455</v>
      </c>
      <c r="K28" s="136">
        <f t="shared" ca="1" si="28"/>
        <v>-612.69586491312043</v>
      </c>
      <c r="L28" s="72" t="s">
        <v>1</v>
      </c>
      <c r="M28" s="89">
        <f t="shared" ca="1" si="6"/>
        <v>22</v>
      </c>
      <c r="N28" s="89">
        <f t="shared" ca="1" si="6"/>
        <v>407.61716898791241</v>
      </c>
      <c r="O28" s="425">
        <f ca="1">INDIRECT("'"&amp; $AB$16 &amp;"'!"&amp; ADDRESS(ROW(O28),COLUMN(O28),4))</f>
        <v>18.528053135814201</v>
      </c>
      <c r="P28" s="308">
        <v>45044</v>
      </c>
      <c r="Q28" s="456">
        <f t="shared" si="13"/>
        <v>52</v>
      </c>
      <c r="R28" s="107">
        <f t="shared" si="14"/>
        <v>17.97</v>
      </c>
      <c r="S28" s="105">
        <f t="shared" si="15"/>
        <v>18.170802171504128</v>
      </c>
      <c r="T28" s="484">
        <v>0.129</v>
      </c>
      <c r="U28" s="341">
        <v>0.1099</v>
      </c>
      <c r="V28" s="341">
        <v>0.1099</v>
      </c>
      <c r="W28" s="341">
        <v>0.1099</v>
      </c>
      <c r="X28" s="281">
        <f t="shared" si="7"/>
        <v>1.9E-2</v>
      </c>
      <c r="Y28" s="282">
        <f t="shared" si="27"/>
        <v>9.7000000000000003E-2</v>
      </c>
      <c r="AA28" s="391">
        <f t="shared" ca="1" si="16"/>
        <v>510151.26727709826</v>
      </c>
      <c r="AB28" s="400">
        <f t="shared" ca="1" si="8"/>
        <v>222.8731231612727</v>
      </c>
      <c r="AC28" s="258">
        <f t="shared" ca="1" si="8"/>
        <v>57016.575037819086</v>
      </c>
      <c r="AD28" s="258">
        <f t="shared" ca="1" si="8"/>
        <v>34460.449622454296</v>
      </c>
      <c r="AE28" s="402">
        <f t="shared" ca="1" si="8"/>
        <v>183.39337222408759</v>
      </c>
      <c r="AF28" s="402">
        <f t="shared" ca="1" si="8"/>
        <v>-191.31803194359449</v>
      </c>
      <c r="AG28" s="404">
        <f t="shared" ca="1" si="17"/>
        <v>150002.8821338354</v>
      </c>
      <c r="AH28" s="415">
        <f ca="1">0.5*AC28*((1/R28)-(1/AN28))^2*1000000</f>
        <v>12913.82626899712</v>
      </c>
      <c r="AI28" s="415">
        <f t="shared" ca="1" si="19"/>
        <v>34.460449622454327</v>
      </c>
      <c r="AJ28" s="416">
        <f t="shared" ca="1" si="20"/>
        <v>0</v>
      </c>
      <c r="AK28" s="416">
        <f t="shared" ca="1" si="21"/>
        <v>5739.540958307839</v>
      </c>
      <c r="AL28" s="417">
        <f t="shared" ca="1" si="22"/>
        <v>-3063.4793245656019</v>
      </c>
      <c r="AM28" s="269">
        <f t="shared" ca="1" si="29"/>
        <v>165627.23048619722</v>
      </c>
      <c r="AN28" s="422">
        <f t="shared" ca="1" si="23"/>
        <v>18.189999999999998</v>
      </c>
      <c r="AO28" s="423">
        <f t="shared" ca="1" si="9"/>
        <v>18.421552443545057</v>
      </c>
      <c r="AP28" s="271">
        <f t="shared" ca="1" si="9"/>
        <v>0.128</v>
      </c>
      <c r="AQ28" s="271">
        <f t="shared" ca="1" si="9"/>
        <v>0.1099</v>
      </c>
      <c r="AR28" s="271">
        <f t="shared" ca="1" si="9"/>
        <v>0.1099</v>
      </c>
      <c r="AS28" s="271">
        <f t="shared" ca="1" si="9"/>
        <v>0.1099</v>
      </c>
      <c r="AT28" s="271">
        <f t="shared" ca="1" si="9"/>
        <v>1.9E-2</v>
      </c>
      <c r="AU28" s="278">
        <f t="shared" ca="1" si="9"/>
        <v>0.1</v>
      </c>
    </row>
    <row r="29" spans="1:47" ht="13.15" thickBot="1" x14ac:dyDescent="0.4">
      <c r="B29" s="144">
        <f>B28+1</f>
        <v>10</v>
      </c>
      <c r="C29" s="92">
        <f t="shared" ca="1" si="10"/>
        <v>-31245.072753800614</v>
      </c>
      <c r="D29" s="92">
        <f t="shared" ca="1" si="2"/>
        <v>-31240.19385188818</v>
      </c>
      <c r="E29" s="92">
        <f t="shared" ca="1" si="11"/>
        <v>-120043733.99488777</v>
      </c>
      <c r="F29" s="134">
        <f t="shared" ca="1" si="25"/>
        <v>0</v>
      </c>
      <c r="G29" s="407">
        <f t="shared" ca="1" si="4"/>
        <v>0</v>
      </c>
      <c r="H29" s="407">
        <f t="shared" ca="1" si="5"/>
        <v>0</v>
      </c>
      <c r="I29" s="276">
        <f t="shared" ca="1" si="26"/>
        <v>1710.2121007490862</v>
      </c>
      <c r="J29" s="276">
        <f t="shared" ca="1" si="12"/>
        <v>0</v>
      </c>
      <c r="K29" s="136">
        <f t="shared" ca="1" si="28"/>
        <v>-6249.0145507601228</v>
      </c>
      <c r="L29" s="72" t="s">
        <v>139</v>
      </c>
      <c r="M29" s="89">
        <f t="shared" ca="1" si="6"/>
        <v>-120</v>
      </c>
      <c r="N29" s="89">
        <f t="shared" ca="1" si="6"/>
        <v>-120.36911447331991</v>
      </c>
      <c r="O29" s="429">
        <v>1000000000000000</v>
      </c>
      <c r="P29" s="308">
        <v>45044</v>
      </c>
      <c r="Q29" s="144">
        <f t="shared" si="13"/>
        <v>52</v>
      </c>
      <c r="R29" s="107">
        <f t="shared" si="14"/>
        <v>1</v>
      </c>
      <c r="S29" s="105">
        <f t="shared" si="15"/>
        <v>1</v>
      </c>
      <c r="T29" s="341">
        <v>0</v>
      </c>
      <c r="U29" s="341">
        <v>0.11849999999999999</v>
      </c>
      <c r="V29" s="341">
        <v>0.11849999999999999</v>
      </c>
      <c r="W29" s="341">
        <v>0.11849999999999999</v>
      </c>
      <c r="X29" s="281">
        <f t="shared" si="7"/>
        <v>1.9E-2</v>
      </c>
      <c r="Y29" s="282">
        <f t="shared" si="27"/>
        <v>9.7000000000000003E-2</v>
      </c>
      <c r="AA29" s="391">
        <f t="shared" ca="1" si="16"/>
        <v>-120012493.80103588</v>
      </c>
      <c r="AB29" s="400">
        <f t="shared" ca="1" si="8"/>
        <v>0</v>
      </c>
      <c r="AC29" s="258">
        <f t="shared" ca="1" si="8"/>
        <v>0</v>
      </c>
      <c r="AD29" s="258">
        <f t="shared" ca="1" si="8"/>
        <v>0</v>
      </c>
      <c r="AE29" s="402">
        <f t="shared" ca="1" si="8"/>
        <v>1874.1677114134372</v>
      </c>
      <c r="AF29" s="402">
        <f t="shared" ca="1" si="8"/>
        <v>0</v>
      </c>
      <c r="AG29" s="404">
        <f t="shared" ca="1" si="17"/>
        <v>0</v>
      </c>
      <c r="AH29" s="415">
        <f t="shared" ca="1" si="18"/>
        <v>0</v>
      </c>
      <c r="AI29" s="415">
        <f t="shared" ca="1" si="19"/>
        <v>0</v>
      </c>
      <c r="AJ29" s="416">
        <f t="shared" ca="1" si="20"/>
        <v>0</v>
      </c>
      <c r="AK29" s="416">
        <f t="shared" ca="1" si="21"/>
        <v>0</v>
      </c>
      <c r="AL29" s="417">
        <f t="shared" ca="1" si="22"/>
        <v>-31245.072753800614</v>
      </c>
      <c r="AM29" s="269">
        <f t="shared" ca="1" si="29"/>
        <v>-31245.072753800614</v>
      </c>
      <c r="AN29" s="422">
        <f t="shared" ca="1" si="23"/>
        <v>1</v>
      </c>
      <c r="AO29" s="423">
        <f t="shared" ca="1" si="9"/>
        <v>1</v>
      </c>
      <c r="AP29" s="271">
        <f t="shared" ca="1" si="9"/>
        <v>0</v>
      </c>
      <c r="AQ29" s="271">
        <f t="shared" ca="1" si="9"/>
        <v>0.11849999999999999</v>
      </c>
      <c r="AR29" s="271">
        <f t="shared" ca="1" si="9"/>
        <v>0.11849999999999999</v>
      </c>
      <c r="AS29" s="271">
        <f t="shared" ca="1" si="9"/>
        <v>0.11849999999999999</v>
      </c>
      <c r="AT29" s="271">
        <f t="shared" ca="1" si="9"/>
        <v>1.9E-2</v>
      </c>
      <c r="AU29" s="278">
        <f t="shared" ca="1" si="9"/>
        <v>0.1</v>
      </c>
    </row>
    <row r="30" spans="1:47" ht="13.15" thickBot="1" x14ac:dyDescent="0.4">
      <c r="B30" s="144">
        <f t="shared" ref="B30:B93" si="30">B29+1</f>
        <v>11</v>
      </c>
      <c r="C30" s="92">
        <f t="shared" ca="1" si="10"/>
        <v>1692614.4377724668</v>
      </c>
      <c r="D30" s="92">
        <f t="shared" ca="1" si="2"/>
        <v>1693189.5031946301</v>
      </c>
      <c r="E30" s="92">
        <f t="shared" ca="1" si="11"/>
        <v>122088993.30268414</v>
      </c>
      <c r="F30" s="134">
        <f t="shared" ca="1" si="25"/>
        <v>2193.9392096492734</v>
      </c>
      <c r="G30" s="407">
        <f t="shared" ca="1" si="4"/>
        <v>0</v>
      </c>
      <c r="H30" s="407">
        <f t="shared" ca="1" si="5"/>
        <v>0</v>
      </c>
      <c r="I30" s="276">
        <f t="shared" ca="1" si="26"/>
        <v>-1.5435348156242679E-8</v>
      </c>
      <c r="J30" s="276">
        <f t="shared" ca="1" si="12"/>
        <v>-1739.337651743527</v>
      </c>
      <c r="K30" s="136">
        <f t="shared" ca="1" si="28"/>
        <v>32449.879725510036</v>
      </c>
      <c r="L30" s="72" t="str">
        <f t="shared" ca="1" si="6"/>
        <v>F</v>
      </c>
      <c r="M30" s="89">
        <f t="shared" ca="1" si="6"/>
        <v>2188.7999999999997</v>
      </c>
      <c r="N30" s="89">
        <f t="shared" ca="1" si="6"/>
        <v>2224.4681025532291</v>
      </c>
      <c r="O30" s="429">
        <v>1000000000000000</v>
      </c>
      <c r="P30" s="308">
        <v>45044</v>
      </c>
      <c r="Q30" s="73">
        <f t="shared" si="13"/>
        <v>52</v>
      </c>
      <c r="R30" s="107">
        <f t="shared" ca="1" si="14"/>
        <v>17.97</v>
      </c>
      <c r="S30" s="105">
        <f t="shared" ca="1" si="15"/>
        <v>18.170802171504128</v>
      </c>
      <c r="T30" s="341">
        <v>0</v>
      </c>
      <c r="U30" s="341">
        <v>0.11849999999999999</v>
      </c>
      <c r="V30" s="341">
        <v>0.11849999999999999</v>
      </c>
      <c r="W30" s="341">
        <v>0.11849999999999999</v>
      </c>
      <c r="X30" s="281">
        <f t="shared" si="7"/>
        <v>1.9E-2</v>
      </c>
      <c r="Y30" s="282">
        <f t="shared" si="27"/>
        <v>9.7000000000000003E-2</v>
      </c>
      <c r="AA30" s="391">
        <f t="shared" ca="1" si="16"/>
        <v>120395803.79948951</v>
      </c>
      <c r="AB30" s="400">
        <f t="shared" ca="1" si="8"/>
        <v>2189.9996711127546</v>
      </c>
      <c r="AC30" s="258">
        <f t="shared" ca="1" si="8"/>
        <v>0</v>
      </c>
      <c r="AD30" s="258">
        <f t="shared" ca="1" si="8"/>
        <v>0</v>
      </c>
      <c r="AE30" s="402">
        <f t="shared" ca="1" si="8"/>
        <v>0</v>
      </c>
      <c r="AF30" s="402">
        <f t="shared" ca="1" si="8"/>
        <v>-1880.138967809301</v>
      </c>
      <c r="AG30" s="404">
        <f t="shared" ca="1" si="17"/>
        <v>1473960.8701106375</v>
      </c>
      <c r="AH30" s="415">
        <f t="shared" ca="1" si="18"/>
        <v>0</v>
      </c>
      <c r="AI30" s="415">
        <f t="shared" ca="1" si="19"/>
        <v>0</v>
      </c>
      <c r="AJ30" s="416">
        <f t="shared" ca="1" si="20"/>
        <v>0</v>
      </c>
      <c r="AK30" s="416">
        <f t="shared" ca="1" si="21"/>
        <v>56404.169034279075</v>
      </c>
      <c r="AL30" s="417">
        <f t="shared" ca="1" si="22"/>
        <v>162249.39862755017</v>
      </c>
      <c r="AM30" s="269">
        <f t="shared" ca="1" si="29"/>
        <v>1692614.4377724668</v>
      </c>
      <c r="AN30" s="422">
        <f t="shared" ca="1" si="23"/>
        <v>18.189999999999998</v>
      </c>
      <c r="AO30" s="423">
        <f t="shared" ca="1" si="9"/>
        <v>18.421552443545057</v>
      </c>
      <c r="AP30" s="271">
        <f t="shared" ca="1" si="9"/>
        <v>0</v>
      </c>
      <c r="AQ30" s="271">
        <f t="shared" ca="1" si="9"/>
        <v>0.11849999999999999</v>
      </c>
      <c r="AR30" s="271">
        <f t="shared" ca="1" si="9"/>
        <v>0.11849999999999999</v>
      </c>
      <c r="AS30" s="271">
        <f t="shared" ca="1" si="9"/>
        <v>0.11849999999999999</v>
      </c>
      <c r="AT30" s="271">
        <f t="shared" ca="1" si="9"/>
        <v>1.9E-2</v>
      </c>
      <c r="AU30" s="278">
        <f t="shared" ca="1" si="9"/>
        <v>0.1</v>
      </c>
    </row>
    <row r="31" spans="1:47" ht="13.15" thickBot="1" x14ac:dyDescent="0.4">
      <c r="B31" s="144">
        <f t="shared" si="30"/>
        <v>12</v>
      </c>
      <c r="C31" s="92">
        <f ca="1">AM31</f>
        <v>-1692684.8118201194</v>
      </c>
      <c r="D31" s="92">
        <f t="shared" ca="1" si="2"/>
        <v>-1693275.7342196018</v>
      </c>
      <c r="E31" s="92">
        <f t="shared" ca="1" si="11"/>
        <v>-1729541.0963967899</v>
      </c>
      <c r="F31" s="134">
        <f t="shared" ca="1" si="25"/>
        <v>-2235.4149675987501</v>
      </c>
      <c r="G31" s="467">
        <f t="shared" ca="1" si="4"/>
        <v>0</v>
      </c>
      <c r="H31" s="467">
        <f t="shared" ca="1" si="5"/>
        <v>0</v>
      </c>
      <c r="I31" s="442">
        <f t="shared" ca="1" si="26"/>
        <v>-1747.5794425510612</v>
      </c>
      <c r="J31" s="276">
        <f t="shared" ca="1" si="12"/>
        <v>1772.2193045753825</v>
      </c>
      <c r="K31" s="136">
        <f t="shared" ca="1" si="28"/>
        <v>-26677.73678948516</v>
      </c>
      <c r="L31" s="72" t="str">
        <f t="shared" ca="1" si="6"/>
        <v>F</v>
      </c>
      <c r="M31" s="445">
        <f t="shared" ca="1" si="6"/>
        <v>-123</v>
      </c>
      <c r="N31" s="314">
        <f t="shared" ca="1" si="6"/>
        <v>-2266.5209999999997</v>
      </c>
      <c r="O31" s="487">
        <f ca="1">INDIRECT("'"&amp; $AB$16 &amp;"'!"&amp; ADDRESS(ROW(O31),COLUMN(O31),4))</f>
        <v>18.427</v>
      </c>
      <c r="P31" s="448">
        <v>45044</v>
      </c>
      <c r="Q31" s="449">
        <f t="shared" si="13"/>
        <v>52</v>
      </c>
      <c r="R31" s="450">
        <f t="shared" ca="1" si="14"/>
        <v>17.97</v>
      </c>
      <c r="S31" s="451">
        <f t="shared" ca="1" si="15"/>
        <v>18.170802171504128</v>
      </c>
      <c r="T31" s="452">
        <v>0</v>
      </c>
      <c r="U31" s="452">
        <v>0.11849999999999999</v>
      </c>
      <c r="V31" s="452">
        <v>0.11849999999999999</v>
      </c>
      <c r="W31" s="452">
        <v>0.11849999999999999</v>
      </c>
      <c r="X31" s="454">
        <f>$I$10</f>
        <v>1.9E-2</v>
      </c>
      <c r="Y31" s="466">
        <f t="shared" si="27"/>
        <v>9.7000000000000003E-2</v>
      </c>
      <c r="AA31" s="391">
        <f t="shared" ca="1" si="16"/>
        <v>-36265.362177188013</v>
      </c>
      <c r="AB31" s="400">
        <f t="shared" ca="1" si="8"/>
        <v>-2231.4009532763689</v>
      </c>
      <c r="AC31" s="258">
        <f t="shared" ca="1" si="8"/>
        <v>0</v>
      </c>
      <c r="AD31" s="258">
        <f t="shared" ca="1" si="8"/>
        <v>0</v>
      </c>
      <c r="AE31" s="402">
        <f t="shared" ca="1" si="8"/>
        <v>-1915.116095608189</v>
      </c>
      <c r="AF31" s="402">
        <f t="shared" ca="1" si="8"/>
        <v>1915.6824269855949</v>
      </c>
      <c r="AG31" s="404">
        <f t="shared" ca="1" si="17"/>
        <v>-1501825.6550631258</v>
      </c>
      <c r="AH31" s="415">
        <f t="shared" ca="1" si="18"/>
        <v>0</v>
      </c>
      <c r="AI31" s="415">
        <f t="shared" ca="1" si="19"/>
        <v>0</v>
      </c>
      <c r="AJ31" s="416">
        <f t="shared" ca="1" si="20"/>
        <v>0</v>
      </c>
      <c r="AK31" s="416">
        <f t="shared" ca="1" si="21"/>
        <v>-57470.472809567895</v>
      </c>
      <c r="AL31" s="417">
        <f t="shared" ca="1" si="22"/>
        <v>-133388.6839474258</v>
      </c>
      <c r="AM31" s="269">
        <f t="shared" ca="1" si="29"/>
        <v>-1692684.8118201194</v>
      </c>
      <c r="AN31" s="422">
        <f t="shared" ca="1" si="23"/>
        <v>18.189999999999998</v>
      </c>
      <c r="AO31" s="423">
        <f t="shared" ca="1" si="9"/>
        <v>18.421552443545057</v>
      </c>
      <c r="AP31" s="271">
        <f t="shared" ca="1" si="9"/>
        <v>0</v>
      </c>
      <c r="AQ31" s="271">
        <f t="shared" ca="1" si="9"/>
        <v>0.11849999999999999</v>
      </c>
      <c r="AR31" s="271">
        <f t="shared" ca="1" si="9"/>
        <v>0.11849999999999999</v>
      </c>
      <c r="AS31" s="271">
        <f t="shared" ca="1" si="9"/>
        <v>0.11849999999999999</v>
      </c>
      <c r="AT31" s="271">
        <f t="shared" ca="1" si="9"/>
        <v>1.9E-2</v>
      </c>
      <c r="AU31" s="278">
        <f t="shared" ca="1" si="9"/>
        <v>0.1</v>
      </c>
    </row>
    <row r="32" spans="1:47" ht="13.15" thickBot="1" x14ac:dyDescent="0.4">
      <c r="A32" s="504"/>
      <c r="B32" s="505">
        <f t="shared" si="30"/>
        <v>13</v>
      </c>
      <c r="C32" s="458">
        <f t="shared" ca="1" si="10"/>
        <v>-7810.455002843064</v>
      </c>
      <c r="D32" s="458">
        <f t="shared" ca="1" si="2"/>
        <v>-7809.2354043573141</v>
      </c>
      <c r="E32" s="458">
        <f t="shared" ca="1" si="11"/>
        <v>-30007809.235404357</v>
      </c>
      <c r="F32" s="490">
        <f t="shared" ca="1" si="25"/>
        <v>0</v>
      </c>
      <c r="G32" s="407">
        <f t="shared" ca="1" si="4"/>
        <v>0</v>
      </c>
      <c r="H32" s="407">
        <f t="shared" ca="1" si="5"/>
        <v>0</v>
      </c>
      <c r="I32" s="276">
        <f t="shared" ca="1" si="26"/>
        <v>2967.8956531454728</v>
      </c>
      <c r="J32" s="491">
        <f t="shared" ca="1" si="12"/>
        <v>0</v>
      </c>
      <c r="K32" s="462">
        <f t="shared" ca="1" si="28"/>
        <v>-1562.0910005686128</v>
      </c>
      <c r="L32" s="492" t="s">
        <v>139</v>
      </c>
      <c r="M32" s="89">
        <f t="shared" ca="1" si="6"/>
        <v>-30</v>
      </c>
      <c r="N32" s="478">
        <f t="shared" ca="1" si="6"/>
        <v>-30.577041098687069</v>
      </c>
      <c r="O32" s="493">
        <v>1000000000000000</v>
      </c>
      <c r="P32" s="308">
        <v>45353</v>
      </c>
      <c r="Q32" s="73">
        <f>(P32-$H$2)</f>
        <v>361</v>
      </c>
      <c r="R32" s="107">
        <f t="shared" si="14"/>
        <v>1</v>
      </c>
      <c r="S32" s="105">
        <f t="shared" si="15"/>
        <v>1</v>
      </c>
      <c r="T32" s="341">
        <v>0</v>
      </c>
      <c r="U32" s="341">
        <v>0.11849999999999999</v>
      </c>
      <c r="V32" s="341">
        <v>0.11849999999999999</v>
      </c>
      <c r="W32" s="341">
        <v>0.11849999999999999</v>
      </c>
      <c r="X32" s="281">
        <f>$I$10</f>
        <v>1.9E-2</v>
      </c>
      <c r="Y32" s="282">
        <f t="shared" si="27"/>
        <v>9.7000000000000003E-2</v>
      </c>
      <c r="AA32" s="391">
        <f t="shared" ca="1" si="16"/>
        <v>-30000000</v>
      </c>
      <c r="AB32" s="400">
        <f t="shared" ca="1" si="8"/>
        <v>0</v>
      </c>
      <c r="AC32" s="258">
        <f t="shared" ca="1" si="8"/>
        <v>0</v>
      </c>
      <c r="AD32" s="258">
        <f t="shared" ca="1" si="8"/>
        <v>0</v>
      </c>
      <c r="AE32" s="402">
        <f t="shared" ca="1" si="8"/>
        <v>3008.2191780821922</v>
      </c>
      <c r="AF32" s="402">
        <f t="shared" ca="1" si="8"/>
        <v>0</v>
      </c>
      <c r="AG32" s="404">
        <f t="shared" ca="1" si="17"/>
        <v>0</v>
      </c>
      <c r="AH32" s="415">
        <f t="shared" ca="1" si="18"/>
        <v>0</v>
      </c>
      <c r="AI32" s="415">
        <f t="shared" ca="1" si="19"/>
        <v>0</v>
      </c>
      <c r="AJ32" s="416">
        <f t="shared" ca="1" si="20"/>
        <v>0</v>
      </c>
      <c r="AK32" s="416">
        <f t="shared" ca="1" si="21"/>
        <v>0</v>
      </c>
      <c r="AL32" s="417">
        <f t="shared" ca="1" si="22"/>
        <v>-7810.455002843064</v>
      </c>
      <c r="AM32" s="269">
        <f t="shared" ca="1" si="29"/>
        <v>-7810.455002843064</v>
      </c>
      <c r="AN32" s="422">
        <f t="shared" ca="1" si="23"/>
        <v>1</v>
      </c>
      <c r="AO32" s="423">
        <f t="shared" ca="1" si="9"/>
        <v>1</v>
      </c>
      <c r="AP32" s="271">
        <f t="shared" ca="1" si="9"/>
        <v>0</v>
      </c>
      <c r="AQ32" s="271">
        <f t="shared" ca="1" si="9"/>
        <v>0.11849999999999999</v>
      </c>
      <c r="AR32" s="271">
        <f t="shared" ca="1" si="9"/>
        <v>0.11849999999999999</v>
      </c>
      <c r="AS32" s="271">
        <f t="shared" ca="1" si="9"/>
        <v>0.11849999999999999</v>
      </c>
      <c r="AT32" s="271">
        <f t="shared" ca="1" si="9"/>
        <v>1.9E-2</v>
      </c>
      <c r="AU32" s="278">
        <f t="shared" ca="1" si="9"/>
        <v>0.1</v>
      </c>
    </row>
    <row r="33" spans="1:47" ht="13.15" thickBot="1" x14ac:dyDescent="0.4">
      <c r="B33" s="144">
        <f t="shared" si="30"/>
        <v>14</v>
      </c>
      <c r="C33" s="136">
        <f ca="1">AM33</f>
        <v>495314.60044646781</v>
      </c>
      <c r="D33" s="92">
        <f t="shared" ca="1" si="2"/>
        <v>496522.54447957501</v>
      </c>
      <c r="E33" s="92">
        <f t="shared" ca="1" si="11"/>
        <v>30331596.76108152</v>
      </c>
      <c r="F33" s="134">
        <f t="shared" ca="1" si="25"/>
        <v>545.05879379664543</v>
      </c>
      <c r="G33" s="407">
        <f t="shared" ca="1" si="4"/>
        <v>0</v>
      </c>
      <c r="H33" s="407">
        <f t="shared" ca="1" si="5"/>
        <v>0</v>
      </c>
      <c r="I33" s="276">
        <f t="shared" ca="1" si="26"/>
        <v>0</v>
      </c>
      <c r="J33" s="276">
        <f t="shared" ca="1" si="12"/>
        <v>-2999.7712227697562</v>
      </c>
      <c r="K33" s="136">
        <f t="shared" ca="1" si="28"/>
        <v>8061.7968922032624</v>
      </c>
      <c r="L33" s="72" t="str">
        <f t="shared" ca="1" si="6"/>
        <v>F</v>
      </c>
      <c r="M33" s="89">
        <f t="shared" ca="1" si="6"/>
        <v>542.70000000000005</v>
      </c>
      <c r="N33" s="89">
        <f t="shared" ca="1" si="6"/>
        <v>599.94060201386628</v>
      </c>
      <c r="O33" s="493">
        <v>1000000000000000</v>
      </c>
      <c r="P33" s="308">
        <v>45353</v>
      </c>
      <c r="Q33" s="73">
        <f t="shared" si="13"/>
        <v>361</v>
      </c>
      <c r="R33" s="107">
        <f t="shared" ca="1" si="14"/>
        <v>17.97</v>
      </c>
      <c r="S33" s="105">
        <f t="shared" ca="1" si="15"/>
        <v>19.411174517048675</v>
      </c>
      <c r="T33" s="341">
        <v>0</v>
      </c>
      <c r="U33" s="341">
        <v>0.11849999999999999</v>
      </c>
      <c r="V33" s="341">
        <v>0.11849999999999999</v>
      </c>
      <c r="W33" s="341">
        <v>0.11849999999999999</v>
      </c>
      <c r="X33" s="281">
        <f t="shared" ref="X33:X36" si="31">$I$10</f>
        <v>1.9E-2</v>
      </c>
      <c r="Y33" s="282">
        <f t="shared" si="27"/>
        <v>9.7000000000000003E-2</v>
      </c>
      <c r="AA33" s="391">
        <f t="shared" ca="1" si="16"/>
        <v>29835074.216601945</v>
      </c>
      <c r="AB33" s="400">
        <f t="shared" ca="1" si="8"/>
        <v>542.70000000000016</v>
      </c>
      <c r="AC33" s="258">
        <f t="shared" ca="1" si="8"/>
        <v>0</v>
      </c>
      <c r="AD33" s="258">
        <f t="shared" ca="1" si="8"/>
        <v>0</v>
      </c>
      <c r="AE33" s="402">
        <f t="shared" ca="1" si="8"/>
        <v>4.1629241860204496E-9</v>
      </c>
      <c r="AF33" s="402">
        <f t="shared" ca="1" si="8"/>
        <v>-2991.5314257206651</v>
      </c>
      <c r="AG33" s="404">
        <f t="shared" ca="1" si="17"/>
        <v>365259.6732138315</v>
      </c>
      <c r="AH33" s="415">
        <f t="shared" ca="1" si="18"/>
        <v>0</v>
      </c>
      <c r="AI33" s="415">
        <f t="shared" ca="1" si="19"/>
        <v>0</v>
      </c>
      <c r="AJ33" s="416">
        <f t="shared" ca="1" si="20"/>
        <v>0</v>
      </c>
      <c r="AK33" s="416">
        <f t="shared" ca="1" si="21"/>
        <v>89745.94277162003</v>
      </c>
      <c r="AL33" s="417">
        <f t="shared" ca="1" si="22"/>
        <v>40308.984461016313</v>
      </c>
      <c r="AM33" s="269">
        <f t="shared" ca="1" si="29"/>
        <v>495314.60044646781</v>
      </c>
      <c r="AN33" s="422">
        <f t="shared" ca="1" si="23"/>
        <v>18.189999999999998</v>
      </c>
      <c r="AO33" s="423">
        <f t="shared" ca="1" si="9"/>
        <v>19.729084357940014</v>
      </c>
      <c r="AP33" s="271">
        <f t="shared" ca="1" si="9"/>
        <v>0</v>
      </c>
      <c r="AQ33" s="271">
        <f t="shared" ca="1" si="9"/>
        <v>0.11849999999999999</v>
      </c>
      <c r="AR33" s="271">
        <f t="shared" ca="1" si="9"/>
        <v>0.11849999999999999</v>
      </c>
      <c r="AS33" s="271">
        <f t="shared" ca="1" si="9"/>
        <v>0.11849999999999999</v>
      </c>
      <c r="AT33" s="271">
        <f t="shared" ca="1" si="9"/>
        <v>1.9E-2</v>
      </c>
      <c r="AU33" s="278">
        <f t="shared" ca="1" si="9"/>
        <v>0.1</v>
      </c>
    </row>
    <row r="34" spans="1:47" ht="13.15" thickBot="1" x14ac:dyDescent="0.4">
      <c r="A34" s="504"/>
      <c r="B34" s="73">
        <f t="shared" si="30"/>
        <v>15</v>
      </c>
      <c r="C34" s="92">
        <f t="shared" ca="1" si="10"/>
        <v>-505441.19423829624</v>
      </c>
      <c r="D34" s="92">
        <f t="shared" ca="1" si="2"/>
        <v>-498533.85772454645</v>
      </c>
      <c r="E34" s="92">
        <f t="shared" ca="1" si="11"/>
        <v>2836204.3838235857</v>
      </c>
      <c r="F34" s="134">
        <f t="shared" ca="1" si="25"/>
        <v>-502.01013352619151</v>
      </c>
      <c r="G34" s="407">
        <f t="shared" ca="1" si="4"/>
        <v>64914.902622075671</v>
      </c>
      <c r="H34" s="407">
        <f ca="1">BSVega(L34,1/S34,1/O34,Q34,X34,Y34,T34)*N34*1000000</f>
        <v>256585.28684046172</v>
      </c>
      <c r="I34" s="276">
        <f t="shared" ca="1" si="26"/>
        <v>-3042.3650167765572</v>
      </c>
      <c r="J34" s="276">
        <f t="shared" ca="1" si="12"/>
        <v>2763.8329446408156</v>
      </c>
      <c r="K34" s="136">
        <f t="shared" ca="1" si="28"/>
        <v>-10404.022219606304</v>
      </c>
      <c r="L34" s="72" t="s">
        <v>8</v>
      </c>
      <c r="M34" s="89">
        <f t="shared" ca="1" si="6"/>
        <v>66</v>
      </c>
      <c r="N34" s="89">
        <f t="shared" ca="1" si="6"/>
        <v>1302.11956762404</v>
      </c>
      <c r="O34" s="425">
        <v>19.729084357940014</v>
      </c>
      <c r="P34" s="308">
        <v>45353</v>
      </c>
      <c r="Q34" s="73">
        <f t="shared" si="13"/>
        <v>361</v>
      </c>
      <c r="R34" s="107">
        <f t="shared" si="14"/>
        <v>17.97</v>
      </c>
      <c r="S34" s="105">
        <f t="shared" si="15"/>
        <v>19.411174517048675</v>
      </c>
      <c r="T34" s="484">
        <v>0.129</v>
      </c>
      <c r="U34" s="341">
        <v>0.11849999999999999</v>
      </c>
      <c r="V34" s="341">
        <v>0.11849999999999999</v>
      </c>
      <c r="W34" s="341">
        <v>0.11849999999999999</v>
      </c>
      <c r="X34" s="281">
        <f t="shared" si="31"/>
        <v>1.9E-2</v>
      </c>
      <c r="Y34" s="282">
        <f t="shared" si="27"/>
        <v>9.7000000000000003E-2</v>
      </c>
      <c r="AA34" s="391">
        <f t="shared" ca="1" si="16"/>
        <v>3334738.2415481322</v>
      </c>
      <c r="AB34" s="400">
        <f t="shared" ca="1" si="8"/>
        <v>-558.61243342023931</v>
      </c>
      <c r="AC34" s="258">
        <f t="shared" ca="1" si="8"/>
        <v>66032.161635529948</v>
      </c>
      <c r="AD34" s="258">
        <f t="shared" ca="1" si="8"/>
        <v>258104.7596847344</v>
      </c>
      <c r="AE34" s="402">
        <f t="shared" ca="1" si="8"/>
        <v>-3412.6131382443295</v>
      </c>
      <c r="AF34" s="402">
        <f t="shared" ca="1" si="8"/>
        <v>3080.248977638601</v>
      </c>
      <c r="AG34" s="404">
        <f t="shared" ca="1" si="17"/>
        <v>-375969.40277180716</v>
      </c>
      <c r="AH34" s="415">
        <f ca="1">0.5*AC34*((1/R34)-(1/AN34))^2*1000000</f>
        <v>14955.788960700571</v>
      </c>
      <c r="AI34" s="415">
        <f t="shared" ca="1" si="19"/>
        <v>0</v>
      </c>
      <c r="AJ34" s="416">
        <f t="shared" ca="1" si="20"/>
        <v>0</v>
      </c>
      <c r="AK34" s="416">
        <f t="shared" ca="1" si="21"/>
        <v>-92407.469329158121</v>
      </c>
      <c r="AL34" s="417">
        <f t="shared" ca="1" si="22"/>
        <v>-52020.111098031521</v>
      </c>
      <c r="AM34" s="269">
        <f t="shared" ca="1" si="29"/>
        <v>-505441.19423829624</v>
      </c>
      <c r="AN34" s="422">
        <f t="shared" ca="1" si="23"/>
        <v>18.189999999999998</v>
      </c>
      <c r="AO34" s="423">
        <f t="shared" ca="1" si="9"/>
        <v>19.729084357940014</v>
      </c>
      <c r="AP34" s="271">
        <f t="shared" ca="1" si="9"/>
        <v>0.129</v>
      </c>
      <c r="AQ34" s="271">
        <f t="shared" ca="1" si="9"/>
        <v>0.11849999999999999</v>
      </c>
      <c r="AR34" s="271">
        <f t="shared" ca="1" si="9"/>
        <v>0.11849999999999999</v>
      </c>
      <c r="AS34" s="271">
        <f t="shared" ca="1" si="9"/>
        <v>0.11849999999999999</v>
      </c>
      <c r="AT34" s="271">
        <f t="shared" ca="1" si="9"/>
        <v>1.9E-2</v>
      </c>
      <c r="AU34" s="278">
        <f t="shared" ca="1" si="9"/>
        <v>0.1</v>
      </c>
    </row>
    <row r="35" spans="1:47" ht="13.15" thickBot="1" x14ac:dyDescent="0.4">
      <c r="B35" s="506">
        <f t="shared" si="30"/>
        <v>16</v>
      </c>
      <c r="C35" s="92">
        <f t="shared" ca="1" si="10"/>
        <v>7810.455002843064</v>
      </c>
      <c r="D35" s="92">
        <f t="shared" ca="1" si="2"/>
        <v>7809.2354043573141</v>
      </c>
      <c r="E35" s="92">
        <f t="shared" ca="1" si="11"/>
        <v>30007809.235404357</v>
      </c>
      <c r="F35" s="134">
        <f t="shared" ca="1" si="25"/>
        <v>0</v>
      </c>
      <c r="G35" s="407">
        <f t="shared" ca="1" si="4"/>
        <v>0</v>
      </c>
      <c r="H35" s="407">
        <f t="shared" ca="1" si="5"/>
        <v>0</v>
      </c>
      <c r="I35" s="276">
        <f t="shared" ca="1" si="26"/>
        <v>-2967.8956531454728</v>
      </c>
      <c r="J35" s="276">
        <f t="shared" ca="1" si="12"/>
        <v>0</v>
      </c>
      <c r="K35" s="136">
        <f t="shared" ca="1" si="28"/>
        <v>1562.0910005686128</v>
      </c>
      <c r="L35" s="72" t="s">
        <v>139</v>
      </c>
      <c r="M35" s="89">
        <f t="shared" ca="1" si="6"/>
        <v>30</v>
      </c>
      <c r="N35" s="89">
        <f t="shared" ca="1" si="6"/>
        <v>30.577041098687069</v>
      </c>
      <c r="O35" s="493">
        <v>1000000000000000</v>
      </c>
      <c r="P35" s="308">
        <v>45353</v>
      </c>
      <c r="Q35" s="73">
        <f t="shared" si="13"/>
        <v>361</v>
      </c>
      <c r="R35" s="107">
        <f t="shared" si="14"/>
        <v>1</v>
      </c>
      <c r="S35" s="105">
        <f t="shared" si="15"/>
        <v>1</v>
      </c>
      <c r="T35" s="341">
        <v>0</v>
      </c>
      <c r="U35" s="341">
        <v>0.11849999999999999</v>
      </c>
      <c r="V35" s="341">
        <v>0.11849999999999999</v>
      </c>
      <c r="W35" s="341">
        <v>0.11849999999999999</v>
      </c>
      <c r="X35" s="281">
        <f t="shared" si="31"/>
        <v>1.9E-2</v>
      </c>
      <c r="Y35" s="282">
        <f t="shared" si="27"/>
        <v>9.7000000000000003E-2</v>
      </c>
      <c r="AA35" s="391">
        <f t="shared" ca="1" si="16"/>
        <v>30000000</v>
      </c>
      <c r="AB35" s="400">
        <f t="shared" ca="1" si="8"/>
        <v>0</v>
      </c>
      <c r="AC35" s="258">
        <f t="shared" ca="1" si="8"/>
        <v>0</v>
      </c>
      <c r="AD35" s="258">
        <f t="shared" ca="1" si="8"/>
        <v>0</v>
      </c>
      <c r="AE35" s="402">
        <f t="shared" ca="1" si="8"/>
        <v>-3008.2191780821922</v>
      </c>
      <c r="AF35" s="402">
        <f t="shared" ca="1" si="8"/>
        <v>0</v>
      </c>
      <c r="AG35" s="404">
        <f t="shared" ca="1" si="17"/>
        <v>0</v>
      </c>
      <c r="AH35" s="415">
        <f t="shared" ca="1" si="18"/>
        <v>0</v>
      </c>
      <c r="AI35" s="415">
        <f t="shared" ca="1" si="19"/>
        <v>0</v>
      </c>
      <c r="AJ35" s="416">
        <f t="shared" ca="1" si="20"/>
        <v>0</v>
      </c>
      <c r="AK35" s="416">
        <f t="shared" ca="1" si="21"/>
        <v>0</v>
      </c>
      <c r="AL35" s="417">
        <f t="shared" ca="1" si="22"/>
        <v>7810.455002843064</v>
      </c>
      <c r="AM35" s="269">
        <f t="shared" ca="1" si="29"/>
        <v>7810.455002843064</v>
      </c>
      <c r="AN35" s="422">
        <f t="shared" ca="1" si="23"/>
        <v>1</v>
      </c>
      <c r="AO35" s="423">
        <f t="shared" ca="1" si="9"/>
        <v>1</v>
      </c>
      <c r="AP35" s="271">
        <f t="shared" ca="1" si="9"/>
        <v>0</v>
      </c>
      <c r="AQ35" s="271">
        <f t="shared" ca="1" si="9"/>
        <v>0.11849999999999999</v>
      </c>
      <c r="AR35" s="271">
        <f t="shared" ca="1" si="9"/>
        <v>0.11849999999999999</v>
      </c>
      <c r="AS35" s="271">
        <f t="shared" ca="1" si="9"/>
        <v>0.11849999999999999</v>
      </c>
      <c r="AT35" s="271">
        <f t="shared" ca="1" si="9"/>
        <v>1.9E-2</v>
      </c>
      <c r="AU35" s="278">
        <f t="shared" ca="1" si="9"/>
        <v>0.1</v>
      </c>
    </row>
    <row r="36" spans="1:47" ht="13.15" thickBot="1" x14ac:dyDescent="0.4">
      <c r="B36" s="506">
        <f t="shared" si="30"/>
        <v>17</v>
      </c>
      <c r="C36" s="92">
        <f t="shared" ca="1" si="10"/>
        <v>-500790.71543205611</v>
      </c>
      <c r="D36" s="92">
        <f t="shared" ca="1" si="2"/>
        <v>-502012.01429139823</v>
      </c>
      <c r="E36" s="92">
        <f t="shared" ca="1" si="11"/>
        <v>-30666937.797688276</v>
      </c>
      <c r="F36" s="134">
        <f t="shared" ca="1" si="25"/>
        <v>-551.08487222446888</v>
      </c>
      <c r="G36" s="407">
        <f t="shared" ca="1" si="4"/>
        <v>0</v>
      </c>
      <c r="H36" s="407">
        <f t="shared" ca="1" si="5"/>
        <v>0</v>
      </c>
      <c r="I36" s="276">
        <f t="shared" ca="1" si="26"/>
        <v>0</v>
      </c>
      <c r="J36" s="276">
        <f t="shared" ca="1" si="12"/>
        <v>3032.9361893012069</v>
      </c>
      <c r="K36" s="136">
        <f t="shared" ca="1" si="28"/>
        <v>-8150.92676386941</v>
      </c>
      <c r="L36" s="72" t="str">
        <f t="shared" ref="L36:N51" ca="1" si="32">INDIRECT("'"&amp; $AB$16 &amp;"'!"&amp; ADDRESS(ROW(L36),COLUMN(L36),4))</f>
        <v>F</v>
      </c>
      <c r="M36" s="89">
        <f t="shared" ca="1" si="32"/>
        <v>-548.69999999999993</v>
      </c>
      <c r="N36" s="89">
        <f t="shared" ca="1" si="32"/>
        <v>-606.57344449052584</v>
      </c>
      <c r="O36" s="493">
        <v>1000000000000000</v>
      </c>
      <c r="P36" s="308">
        <v>45353</v>
      </c>
      <c r="Q36" s="73">
        <f t="shared" si="13"/>
        <v>361</v>
      </c>
      <c r="R36" s="107">
        <f t="shared" ca="1" si="14"/>
        <v>17.97</v>
      </c>
      <c r="S36" s="105">
        <f t="shared" ca="1" si="15"/>
        <v>19.411174517048675</v>
      </c>
      <c r="T36" s="341">
        <v>0</v>
      </c>
      <c r="U36" s="341">
        <v>0.11849999999999999</v>
      </c>
      <c r="V36" s="341">
        <v>0.11849999999999999</v>
      </c>
      <c r="W36" s="341">
        <v>0.11849999999999999</v>
      </c>
      <c r="X36" s="281">
        <f t="shared" si="31"/>
        <v>1.9E-2</v>
      </c>
      <c r="Y36" s="282">
        <f t="shared" si="27"/>
        <v>9.7000000000000003E-2</v>
      </c>
      <c r="AA36" s="391">
        <f t="shared" ca="1" si="16"/>
        <v>-30164925.783396877</v>
      </c>
      <c r="AB36" s="400">
        <f t="shared" ca="1" si="8"/>
        <v>-548.70000000000005</v>
      </c>
      <c r="AC36" s="258">
        <f t="shared" ca="1" si="8"/>
        <v>0</v>
      </c>
      <c r="AD36" s="258">
        <f t="shared" ca="1" si="8"/>
        <v>0</v>
      </c>
      <c r="AE36" s="402">
        <f t="shared" ca="1" si="8"/>
        <v>-4.2089487762473193E-9</v>
      </c>
      <c r="AF36" s="402">
        <f t="shared" ca="1" si="8"/>
        <v>3024.6052944406283</v>
      </c>
      <c r="AG36" s="404">
        <f t="shared" ca="1" si="17"/>
        <v>-369297.92277949012</v>
      </c>
      <c r="AH36" s="415">
        <f t="shared" ca="1" si="18"/>
        <v>0</v>
      </c>
      <c r="AI36" s="415">
        <f t="shared" ca="1" si="19"/>
        <v>0</v>
      </c>
      <c r="AJ36" s="416">
        <f t="shared" ca="1" si="20"/>
        <v>0</v>
      </c>
      <c r="AK36" s="416">
        <f t="shared" ca="1" si="21"/>
        <v>-90738.158833218928</v>
      </c>
      <c r="AL36" s="417">
        <f t="shared" ca="1" si="22"/>
        <v>-40754.633819347051</v>
      </c>
      <c r="AM36" s="269">
        <f t="shared" ca="1" si="29"/>
        <v>-500790.71543205611</v>
      </c>
      <c r="AN36" s="422">
        <f t="shared" ca="1" si="23"/>
        <v>18.189999999999998</v>
      </c>
      <c r="AO36" s="423">
        <f t="shared" ca="1" si="23"/>
        <v>19.729084357940014</v>
      </c>
      <c r="AP36" s="271">
        <f t="shared" ca="1" si="23"/>
        <v>0</v>
      </c>
      <c r="AQ36" s="271">
        <f t="shared" ca="1" si="23"/>
        <v>0.11849999999999999</v>
      </c>
      <c r="AR36" s="271">
        <f t="shared" ca="1" si="23"/>
        <v>0.11849999999999999</v>
      </c>
      <c r="AS36" s="271">
        <f t="shared" ca="1" si="23"/>
        <v>0.11849999999999999</v>
      </c>
      <c r="AT36" s="271">
        <f t="shared" ca="1" si="23"/>
        <v>1.9E-2</v>
      </c>
      <c r="AU36" s="278">
        <f t="shared" ca="1" si="23"/>
        <v>0.1</v>
      </c>
    </row>
    <row r="37" spans="1:47" ht="13.15" thickBot="1" x14ac:dyDescent="0.4">
      <c r="B37" s="318">
        <f t="shared" si="30"/>
        <v>18</v>
      </c>
      <c r="C37" s="136">
        <f t="shared" ca="1" si="10"/>
        <v>527613.44186815317</v>
      </c>
      <c r="D37" s="92">
        <f t="shared" ca="1" si="2"/>
        <v>536711.89023111761</v>
      </c>
      <c r="E37" s="309">
        <f t="shared" ca="1" si="11"/>
        <v>3719871.1207997701</v>
      </c>
      <c r="F37" s="134">
        <f t="shared" ca="1" si="25"/>
        <v>650.03894582923363</v>
      </c>
      <c r="G37" s="407">
        <f t="shared" ca="1" si="4"/>
        <v>61964.225230163182</v>
      </c>
      <c r="H37" s="408">
        <f t="shared" ca="1" si="5"/>
        <v>244922.31925679644</v>
      </c>
      <c r="I37" s="311">
        <f t="shared" ca="1" si="26"/>
        <v>3210.5833181027501</v>
      </c>
      <c r="J37" s="311">
        <f t="shared" ca="1" si="12"/>
        <v>-3576.5987185990184</v>
      </c>
      <c r="K37" s="136">
        <f t="shared" ca="1" si="28"/>
        <v>3552.5032775417521</v>
      </c>
      <c r="L37" s="72" t="s">
        <v>1</v>
      </c>
      <c r="M37" s="445">
        <f t="shared" ca="1" si="32"/>
        <v>63</v>
      </c>
      <c r="N37" s="314">
        <f t="shared" ca="1" si="32"/>
        <v>1242.9323145502208</v>
      </c>
      <c r="O37" s="470">
        <v>19.729084357940014</v>
      </c>
      <c r="P37" s="308">
        <v>45353</v>
      </c>
      <c r="Q37" s="73">
        <f t="shared" si="13"/>
        <v>361</v>
      </c>
      <c r="R37" s="303">
        <f t="shared" si="14"/>
        <v>17.97</v>
      </c>
      <c r="S37" s="304">
        <f>IF(L37="D",1,R37*EXP(-($I$10-$I$11)*Q37/365))</f>
        <v>19.411174517048675</v>
      </c>
      <c r="T37" s="503">
        <f>AVERAGE($L$3:$M$3)</f>
        <v>0.129</v>
      </c>
      <c r="U37" s="341">
        <v>0.11849999999999999</v>
      </c>
      <c r="V37" s="342">
        <v>0.11849999999999999</v>
      </c>
      <c r="W37" s="342">
        <v>0.11849999999999999</v>
      </c>
      <c r="X37" s="305">
        <f>$I$10</f>
        <v>1.9E-2</v>
      </c>
      <c r="Y37" s="306">
        <f t="shared" si="27"/>
        <v>9.7000000000000003E-2</v>
      </c>
      <c r="AA37" s="391">
        <f t="shared" ca="1" si="16"/>
        <v>3183159.2305686525</v>
      </c>
      <c r="AB37" s="400">
        <f t="shared" ca="1" si="8"/>
        <v>591.12262557790643</v>
      </c>
      <c r="AC37" s="258">
        <f t="shared" ca="1" si="8"/>
        <v>63030.699743005869</v>
      </c>
      <c r="AD37" s="258">
        <f t="shared" ca="1" si="8"/>
        <v>246372.72515361028</v>
      </c>
      <c r="AE37" s="402">
        <f t="shared" ca="1" si="8"/>
        <v>2940.2376604732121</v>
      </c>
      <c r="AF37" s="402">
        <f t="shared" ca="1" si="8"/>
        <v>-3257.4943592343038</v>
      </c>
      <c r="AG37" s="404">
        <f t="shared" ca="1" si="17"/>
        <v>397850.11433183734</v>
      </c>
      <c r="AH37" s="415">
        <f t="shared" ca="1" si="18"/>
        <v>14275.98037157782</v>
      </c>
      <c r="AI37" s="415">
        <f t="shared" ca="1" si="19"/>
        <v>0</v>
      </c>
      <c r="AJ37" s="416">
        <f t="shared" ca="1" si="20"/>
        <v>0</v>
      </c>
      <c r="AK37" s="416">
        <f t="shared" ca="1" si="21"/>
        <v>97724.830777029201</v>
      </c>
      <c r="AL37" s="417">
        <f t="shared" ca="1" si="22"/>
        <v>17762.516387708762</v>
      </c>
      <c r="AM37" s="269">
        <f t="shared" ca="1" si="29"/>
        <v>527613.44186815317</v>
      </c>
      <c r="AN37" s="422">
        <f t="shared" ref="AN37:AU68" ca="1" si="33">INDIRECT("'"&amp; $AB$16 &amp;"'!"&amp; ADDRESS(ROW(R37),COLUMN(R37),4))</f>
        <v>18.189999999999998</v>
      </c>
      <c r="AO37" s="423">
        <f t="shared" ca="1" si="33"/>
        <v>19.729084357940014</v>
      </c>
      <c r="AP37" s="271">
        <f t="shared" ca="1" si="33"/>
        <v>0.129</v>
      </c>
      <c r="AQ37" s="271">
        <f t="shared" ca="1" si="33"/>
        <v>0.11849999999999999</v>
      </c>
      <c r="AR37" s="271">
        <f t="shared" ca="1" si="33"/>
        <v>0.11849999999999999</v>
      </c>
      <c r="AS37" s="271">
        <f t="shared" ca="1" si="33"/>
        <v>0.11849999999999999</v>
      </c>
      <c r="AT37" s="271">
        <f t="shared" ca="1" si="33"/>
        <v>1.9E-2</v>
      </c>
      <c r="AU37" s="278">
        <f t="shared" ca="1" si="33"/>
        <v>0.1</v>
      </c>
    </row>
    <row r="38" spans="1:47" ht="13.15" thickBot="1" x14ac:dyDescent="0.4">
      <c r="B38" s="144">
        <f t="shared" si="30"/>
        <v>19</v>
      </c>
      <c r="C38" s="472">
        <f t="shared" ca="1" si="10"/>
        <v>0</v>
      </c>
      <c r="D38" s="472">
        <f t="shared" ca="1" si="2"/>
        <v>10000000</v>
      </c>
      <c r="E38" s="92">
        <f t="shared" si="11"/>
        <v>10000000</v>
      </c>
      <c r="F38" s="473">
        <f t="shared" si="25"/>
        <v>0</v>
      </c>
      <c r="G38" s="474">
        <f t="shared" si="4"/>
        <v>0</v>
      </c>
      <c r="H38" s="407">
        <f t="shared" si="5"/>
        <v>0</v>
      </c>
      <c r="I38" s="276">
        <f t="shared" si="26"/>
        <v>-142.46575342465752</v>
      </c>
      <c r="J38" s="276">
        <f t="shared" si="12"/>
        <v>0</v>
      </c>
      <c r="K38" s="476">
        <f t="shared" si="28"/>
        <v>520.56149394905071</v>
      </c>
      <c r="L38" s="477" t="s">
        <v>139</v>
      </c>
      <c r="M38" s="478">
        <v>10</v>
      </c>
      <c r="N38" s="478">
        <f>M38*EXP(I10*Q38/365)</f>
        <v>10.027105161394429</v>
      </c>
      <c r="O38" s="493">
        <v>1000000000000000</v>
      </c>
      <c r="P38" s="480">
        <v>45044</v>
      </c>
      <c r="Q38" s="513">
        <f t="shared" si="13"/>
        <v>52</v>
      </c>
      <c r="R38" s="107">
        <f t="shared" si="14"/>
        <v>1</v>
      </c>
      <c r="S38" s="105">
        <f t="shared" si="15"/>
        <v>1</v>
      </c>
      <c r="T38" s="341">
        <v>0</v>
      </c>
      <c r="U38" s="502">
        <v>0.11849999999999999</v>
      </c>
      <c r="V38" s="341">
        <v>0.11849999999999999</v>
      </c>
      <c r="W38" s="341">
        <v>0.11849999999999999</v>
      </c>
      <c r="X38" s="281">
        <f>$I$10</f>
        <v>1.9E-2</v>
      </c>
      <c r="Y38" s="282">
        <f t="shared" si="27"/>
        <v>9.7000000000000003E-2</v>
      </c>
      <c r="AA38" s="391">
        <f t="shared" ca="1" si="16"/>
        <v>0</v>
      </c>
      <c r="AB38" s="400">
        <f t="shared" ca="1" si="8"/>
        <v>0</v>
      </c>
      <c r="AC38" s="258">
        <f t="shared" ca="1" si="8"/>
        <v>0</v>
      </c>
      <c r="AD38" s="258">
        <f t="shared" ca="1" si="8"/>
        <v>0</v>
      </c>
      <c r="AE38" s="402">
        <f t="shared" ca="1" si="8"/>
        <v>0</v>
      </c>
      <c r="AF38" s="402">
        <f t="shared" ca="1" si="8"/>
        <v>0</v>
      </c>
      <c r="AG38" s="404">
        <f t="shared" ca="1" si="17"/>
        <v>0</v>
      </c>
      <c r="AH38" s="415">
        <f t="shared" ca="1" si="18"/>
        <v>0</v>
      </c>
      <c r="AI38" s="415">
        <f t="shared" ca="1" si="19"/>
        <v>0</v>
      </c>
      <c r="AJ38" s="416">
        <f t="shared" ca="1" si="20"/>
        <v>0</v>
      </c>
      <c r="AK38" s="416">
        <f t="shared" ca="1" si="21"/>
        <v>0</v>
      </c>
      <c r="AL38" s="417">
        <f>0</f>
        <v>0</v>
      </c>
      <c r="AM38" s="269">
        <f t="shared" ca="1" si="29"/>
        <v>0</v>
      </c>
      <c r="AN38" s="422">
        <f t="shared" ca="1" si="33"/>
        <v>18.189999999999998</v>
      </c>
      <c r="AO38" s="423">
        <f t="shared" ca="1" si="33"/>
        <v>30526306.859062586</v>
      </c>
      <c r="AP38" s="271">
        <f t="shared" ca="1" si="33"/>
        <v>0</v>
      </c>
      <c r="AQ38" s="271">
        <f t="shared" ca="1" si="33"/>
        <v>0.11849999999999999</v>
      </c>
      <c r="AR38" s="271">
        <f t="shared" ca="1" si="33"/>
        <v>0.11849999999999999</v>
      </c>
      <c r="AS38" s="271">
        <f t="shared" ca="1" si="33"/>
        <v>0.11849999999999999</v>
      </c>
      <c r="AT38" s="271">
        <f t="shared" ca="1" si="33"/>
        <v>1.9E-2</v>
      </c>
      <c r="AU38" s="278">
        <f t="shared" ca="1" si="33"/>
        <v>0.1</v>
      </c>
    </row>
    <row r="39" spans="1:47" ht="13.15" thickBot="1" x14ac:dyDescent="0.4">
      <c r="B39" s="144">
        <f t="shared" si="30"/>
        <v>20</v>
      </c>
      <c r="C39" s="92">
        <f t="shared" ca="1" si="10"/>
        <v>0</v>
      </c>
      <c r="D39" s="92">
        <f t="shared" ca="1" si="2"/>
        <v>-10055648.302726587</v>
      </c>
      <c r="E39" s="92">
        <f t="shared" ca="1" si="11"/>
        <v>-10055648.302726587</v>
      </c>
      <c r="F39" s="310">
        <f t="shared" ca="1" si="25"/>
        <v>-180.7</v>
      </c>
      <c r="G39" s="408">
        <f t="shared" ca="1" si="4"/>
        <v>0</v>
      </c>
      <c r="H39" s="407">
        <f t="shared" ca="1" si="5"/>
        <v>0</v>
      </c>
      <c r="I39" s="311">
        <f t="shared" ca="1" si="26"/>
        <v>1.2713056950556678E-9</v>
      </c>
      <c r="J39" s="276">
        <f t="shared" ca="1" si="12"/>
        <v>143.25753069534665</v>
      </c>
      <c r="K39" s="136">
        <f t="shared" ca="1" si="28"/>
        <v>-2672.6780945480441</v>
      </c>
      <c r="L39" s="72" t="str">
        <f t="shared" ca="1" si="32"/>
        <v>F</v>
      </c>
      <c r="M39" s="89">
        <f>-M38*H6</f>
        <v>-180.7</v>
      </c>
      <c r="N39" s="89">
        <f>M39*EXP(I11*Q39/365)</f>
        <v>-183.21445934485425</v>
      </c>
      <c r="O39" s="514">
        <v>1000000000000000</v>
      </c>
      <c r="P39" s="308">
        <v>45044</v>
      </c>
      <c r="Q39" s="73">
        <f t="shared" si="13"/>
        <v>52</v>
      </c>
      <c r="R39" s="303">
        <f t="shared" ca="1" si="14"/>
        <v>17.97</v>
      </c>
      <c r="S39" s="304">
        <f t="shared" ca="1" si="15"/>
        <v>18.170802171504128</v>
      </c>
      <c r="T39" s="342">
        <v>0</v>
      </c>
      <c r="U39" s="342">
        <v>0.11849999999999999</v>
      </c>
      <c r="V39" s="342">
        <v>0.11849999999999999</v>
      </c>
      <c r="W39" s="342">
        <v>0.11849999999999999</v>
      </c>
      <c r="X39" s="305">
        <f t="shared" ref="X39:X102" si="34">$I$10</f>
        <v>1.9E-2</v>
      </c>
      <c r="Y39" s="282">
        <f t="shared" si="27"/>
        <v>9.7000000000000003E-2</v>
      </c>
      <c r="AA39" s="391">
        <f t="shared" ca="1" si="16"/>
        <v>0</v>
      </c>
      <c r="AB39" s="400">
        <f t="shared" ca="1" si="8"/>
        <v>0</v>
      </c>
      <c r="AC39" s="258">
        <f t="shared" ca="1" si="8"/>
        <v>0</v>
      </c>
      <c r="AD39" s="258">
        <f t="shared" ca="1" si="8"/>
        <v>0</v>
      </c>
      <c r="AE39" s="402">
        <f t="shared" ca="1" si="8"/>
        <v>0</v>
      </c>
      <c r="AF39" s="402">
        <f t="shared" ca="1" si="8"/>
        <v>0</v>
      </c>
      <c r="AG39" s="404">
        <f t="shared" ca="1" si="17"/>
        <v>0</v>
      </c>
      <c r="AH39" s="415">
        <f t="shared" ca="1" si="18"/>
        <v>0</v>
      </c>
      <c r="AI39" s="415">
        <f t="shared" ca="1" si="19"/>
        <v>0</v>
      </c>
      <c r="AJ39" s="416">
        <f t="shared" ca="1" si="20"/>
        <v>0</v>
      </c>
      <c r="AK39" s="416">
        <f t="shared" ca="1" si="21"/>
        <v>0</v>
      </c>
      <c r="AL39" s="417">
        <f>0</f>
        <v>0</v>
      </c>
      <c r="AM39" s="269">
        <f t="shared" ca="1" si="29"/>
        <v>0</v>
      </c>
      <c r="AN39" s="422">
        <f t="shared" ca="1" si="33"/>
        <v>18.189999999999998</v>
      </c>
      <c r="AO39" s="423">
        <f t="shared" ca="1" si="33"/>
        <v>30526306.859062586</v>
      </c>
      <c r="AP39" s="271">
        <f t="shared" ca="1" si="33"/>
        <v>0</v>
      </c>
      <c r="AQ39" s="271">
        <f t="shared" ca="1" si="33"/>
        <v>0.11849999999999999</v>
      </c>
      <c r="AR39" s="271">
        <f t="shared" ca="1" si="33"/>
        <v>0.11849999999999999</v>
      </c>
      <c r="AS39" s="271">
        <f t="shared" ca="1" si="33"/>
        <v>0.11849999999999999</v>
      </c>
      <c r="AT39" s="271">
        <f t="shared" ca="1" si="33"/>
        <v>1.9E-2</v>
      </c>
      <c r="AU39" s="278">
        <f t="shared" ca="1" si="33"/>
        <v>0.1</v>
      </c>
    </row>
    <row r="40" spans="1:47" ht="13.15" thickBot="1" x14ac:dyDescent="0.4">
      <c r="B40" s="509">
        <f t="shared" si="30"/>
        <v>21</v>
      </c>
      <c r="C40" s="494">
        <f t="shared" ca="1" si="10"/>
        <v>0</v>
      </c>
      <c r="D40" s="494">
        <f t="shared" ca="1" si="2"/>
        <v>0</v>
      </c>
      <c r="E40" s="510">
        <f t="shared" ca="1" si="11"/>
        <v>0</v>
      </c>
      <c r="F40" s="135">
        <f t="shared" ca="1" si="25"/>
        <v>0</v>
      </c>
      <c r="G40" s="409">
        <f t="shared" ca="1" si="4"/>
        <v>0</v>
      </c>
      <c r="H40" s="496">
        <f t="shared" ca="1" si="5"/>
        <v>0</v>
      </c>
      <c r="I40" s="275">
        <f t="shared" ca="1" si="26"/>
        <v>0</v>
      </c>
      <c r="J40" s="511">
        <f t="shared" ca="1" si="12"/>
        <v>0</v>
      </c>
      <c r="K40" s="497">
        <f t="shared" ca="1" si="28"/>
        <v>0</v>
      </c>
      <c r="L40" s="498" t="str">
        <f t="shared" ca="1" si="32"/>
        <v>F</v>
      </c>
      <c r="M40" s="499">
        <f t="shared" ca="1" si="32"/>
        <v>0</v>
      </c>
      <c r="N40" s="499">
        <f t="shared" ca="1" si="32"/>
        <v>0</v>
      </c>
      <c r="O40" s="432">
        <v>1000000000000000</v>
      </c>
      <c r="P40" s="500">
        <v>109575</v>
      </c>
      <c r="Q40" s="501">
        <f t="shared" si="13"/>
        <v>64583</v>
      </c>
      <c r="R40" s="107">
        <f t="shared" ca="1" si="14"/>
        <v>17.97</v>
      </c>
      <c r="S40" s="105">
        <f t="shared" ca="1" si="15"/>
        <v>17716417.870576583</v>
      </c>
      <c r="T40" s="341">
        <v>0</v>
      </c>
      <c r="U40" s="341">
        <v>0.11849999999999999</v>
      </c>
      <c r="V40" s="341">
        <v>0.11849999999999999</v>
      </c>
      <c r="W40" s="341">
        <v>0.11849999999999999</v>
      </c>
      <c r="X40" s="281">
        <f t="shared" si="34"/>
        <v>1.9E-2</v>
      </c>
      <c r="Y40" s="512">
        <f t="shared" si="27"/>
        <v>9.7000000000000003E-2</v>
      </c>
      <c r="AA40" s="391">
        <f t="shared" ca="1" si="16"/>
        <v>0</v>
      </c>
      <c r="AB40" s="400">
        <f t="shared" ca="1" si="8"/>
        <v>0</v>
      </c>
      <c r="AC40" s="258">
        <f t="shared" ca="1" si="8"/>
        <v>0</v>
      </c>
      <c r="AD40" s="258">
        <f t="shared" ca="1" si="8"/>
        <v>0</v>
      </c>
      <c r="AE40" s="402">
        <f t="shared" ca="1" si="8"/>
        <v>0</v>
      </c>
      <c r="AF40" s="402">
        <f t="shared" ca="1" si="8"/>
        <v>0</v>
      </c>
      <c r="AG40" s="404">
        <f t="shared" ca="1" si="17"/>
        <v>0</v>
      </c>
      <c r="AH40" s="415">
        <f t="shared" ca="1" si="18"/>
        <v>0</v>
      </c>
      <c r="AI40" s="415">
        <f t="shared" ca="1" si="19"/>
        <v>0</v>
      </c>
      <c r="AJ40" s="416">
        <f t="shared" ca="1" si="20"/>
        <v>0</v>
      </c>
      <c r="AK40" s="416">
        <f t="shared" ca="1" si="21"/>
        <v>0</v>
      </c>
      <c r="AL40" s="417">
        <f>0</f>
        <v>0</v>
      </c>
      <c r="AM40" s="269">
        <f t="shared" ca="1" si="29"/>
        <v>0</v>
      </c>
      <c r="AN40" s="422">
        <f t="shared" ca="1" si="33"/>
        <v>18.189999999999998</v>
      </c>
      <c r="AO40" s="423">
        <f t="shared" ca="1" si="33"/>
        <v>30526306.859062586</v>
      </c>
      <c r="AP40" s="271">
        <f t="shared" ca="1" si="33"/>
        <v>0</v>
      </c>
      <c r="AQ40" s="271">
        <f t="shared" ca="1" si="33"/>
        <v>0.11849999999999999</v>
      </c>
      <c r="AR40" s="271">
        <f t="shared" ca="1" si="33"/>
        <v>0.11849999999999999</v>
      </c>
      <c r="AS40" s="271">
        <f t="shared" ca="1" si="33"/>
        <v>0.11849999999999999</v>
      </c>
      <c r="AT40" s="271">
        <f t="shared" ca="1" si="33"/>
        <v>1.9E-2</v>
      </c>
      <c r="AU40" s="278">
        <f t="shared" ca="1" si="33"/>
        <v>0.1</v>
      </c>
    </row>
    <row r="41" spans="1:47" ht="13.15" thickBot="1" x14ac:dyDescent="0.4">
      <c r="B41" s="18">
        <f t="shared" si="30"/>
        <v>22</v>
      </c>
      <c r="C41" s="85">
        <f t="shared" ca="1" si="10"/>
        <v>0</v>
      </c>
      <c r="D41" s="85">
        <f t="shared" ca="1" si="2"/>
        <v>0</v>
      </c>
      <c r="E41" s="84">
        <f t="shared" ca="1" si="11"/>
        <v>0</v>
      </c>
      <c r="F41" s="135">
        <f t="shared" ca="1" si="25"/>
        <v>0</v>
      </c>
      <c r="G41" s="409">
        <f t="shared" ca="1" si="4"/>
        <v>0</v>
      </c>
      <c r="H41" s="409">
        <f t="shared" ca="1" si="5"/>
        <v>0</v>
      </c>
      <c r="I41" s="275">
        <f t="shared" ca="1" si="26"/>
        <v>0</v>
      </c>
      <c r="J41" s="275">
        <f t="shared" ca="1" si="12"/>
        <v>0</v>
      </c>
      <c r="K41" s="137">
        <f t="shared" ca="1" si="28"/>
        <v>0</v>
      </c>
      <c r="L41" s="15" t="str">
        <f t="shared" ca="1" si="32"/>
        <v>F</v>
      </c>
      <c r="M41" s="88">
        <f t="shared" ca="1" si="32"/>
        <v>0</v>
      </c>
      <c r="N41" s="88">
        <f t="shared" ca="1" si="32"/>
        <v>0</v>
      </c>
      <c r="O41" s="432">
        <v>1000000000000000</v>
      </c>
      <c r="P41" s="69">
        <v>109575</v>
      </c>
      <c r="Q41" s="3">
        <f t="shared" si="13"/>
        <v>64583</v>
      </c>
      <c r="R41" s="107">
        <f t="shared" ca="1" si="14"/>
        <v>17.97</v>
      </c>
      <c r="S41" s="105">
        <f t="shared" ca="1" si="15"/>
        <v>17716417.870576583</v>
      </c>
      <c r="T41" s="341">
        <v>0</v>
      </c>
      <c r="U41" s="341">
        <v>0.11849999999999999</v>
      </c>
      <c r="V41" s="341">
        <v>0.11849999999999999</v>
      </c>
      <c r="W41" s="341">
        <v>0.11849999999999999</v>
      </c>
      <c r="X41" s="281">
        <f t="shared" si="34"/>
        <v>1.9E-2</v>
      </c>
      <c r="Y41" s="282">
        <f t="shared" si="27"/>
        <v>9.7000000000000003E-2</v>
      </c>
      <c r="AA41" s="391">
        <f t="shared" ca="1" si="16"/>
        <v>0</v>
      </c>
      <c r="AB41" s="400">
        <f t="shared" ca="1" si="8"/>
        <v>0</v>
      </c>
      <c r="AC41" s="258">
        <f t="shared" ca="1" si="8"/>
        <v>0</v>
      </c>
      <c r="AD41" s="258">
        <f t="shared" ca="1" si="8"/>
        <v>0</v>
      </c>
      <c r="AE41" s="402">
        <f t="shared" ca="1" si="8"/>
        <v>0</v>
      </c>
      <c r="AF41" s="402">
        <f t="shared" ca="1" si="8"/>
        <v>0</v>
      </c>
      <c r="AG41" s="404">
        <f t="shared" ca="1" si="17"/>
        <v>0</v>
      </c>
      <c r="AH41" s="415">
        <f t="shared" ca="1" si="18"/>
        <v>0</v>
      </c>
      <c r="AI41" s="415">
        <f t="shared" ca="1" si="19"/>
        <v>0</v>
      </c>
      <c r="AJ41" s="416">
        <f t="shared" ca="1" si="20"/>
        <v>0</v>
      </c>
      <c r="AK41" s="416">
        <f t="shared" ca="1" si="21"/>
        <v>0</v>
      </c>
      <c r="AL41" s="417">
        <f>0</f>
        <v>0</v>
      </c>
      <c r="AM41" s="269">
        <f t="shared" ca="1" si="29"/>
        <v>0</v>
      </c>
      <c r="AN41" s="422">
        <f t="shared" ca="1" si="33"/>
        <v>18.189999999999998</v>
      </c>
      <c r="AO41" s="423">
        <f t="shared" ca="1" si="33"/>
        <v>30526306.859062586</v>
      </c>
      <c r="AP41" s="271">
        <f t="shared" ca="1" si="33"/>
        <v>0</v>
      </c>
      <c r="AQ41" s="271">
        <f t="shared" ca="1" si="33"/>
        <v>0.11849999999999999</v>
      </c>
      <c r="AR41" s="271">
        <f t="shared" ca="1" si="33"/>
        <v>0.11849999999999999</v>
      </c>
      <c r="AS41" s="271">
        <f t="shared" ca="1" si="33"/>
        <v>0.11849999999999999</v>
      </c>
      <c r="AT41" s="271">
        <f t="shared" ca="1" si="33"/>
        <v>1.9E-2</v>
      </c>
      <c r="AU41" s="278">
        <f t="shared" ca="1" si="33"/>
        <v>0.1</v>
      </c>
    </row>
    <row r="42" spans="1:47" ht="13.15" thickBot="1" x14ac:dyDescent="0.4">
      <c r="B42" s="18">
        <f t="shared" si="30"/>
        <v>23</v>
      </c>
      <c r="C42" s="85">
        <f t="shared" ca="1" si="10"/>
        <v>0</v>
      </c>
      <c r="D42" s="85">
        <f t="shared" ca="1" si="2"/>
        <v>0</v>
      </c>
      <c r="E42" s="84">
        <f t="shared" ca="1" si="11"/>
        <v>0</v>
      </c>
      <c r="F42" s="135">
        <f t="shared" ca="1" si="25"/>
        <v>0</v>
      </c>
      <c r="G42" s="409">
        <f ca="1">BSGamma(L42,1/S42,1/O42,Q42,X42,Y42,T42)*N42</f>
        <v>0</v>
      </c>
      <c r="H42" s="409">
        <f t="shared" ca="1" si="5"/>
        <v>0</v>
      </c>
      <c r="I42" s="275">
        <f t="shared" ca="1" si="26"/>
        <v>0</v>
      </c>
      <c r="J42" s="275">
        <f t="shared" ca="1" si="12"/>
        <v>0</v>
      </c>
      <c r="K42" s="137">
        <f t="shared" ca="1" si="28"/>
        <v>0</v>
      </c>
      <c r="L42" s="15" t="str">
        <f t="shared" ca="1" si="32"/>
        <v>F</v>
      </c>
      <c r="M42" s="88">
        <f t="shared" ca="1" si="32"/>
        <v>0</v>
      </c>
      <c r="N42" s="88">
        <f t="shared" ca="1" si="32"/>
        <v>0</v>
      </c>
      <c r="O42" s="432">
        <v>1000000000000000</v>
      </c>
      <c r="P42" s="69">
        <v>109575</v>
      </c>
      <c r="Q42" s="3">
        <f t="shared" si="13"/>
        <v>64583</v>
      </c>
      <c r="R42" s="107">
        <f t="shared" ca="1" si="14"/>
        <v>17.97</v>
      </c>
      <c r="S42" s="105">
        <f t="shared" ca="1" si="15"/>
        <v>17716417.870576583</v>
      </c>
      <c r="T42" s="341">
        <v>0</v>
      </c>
      <c r="U42" s="341">
        <v>0.11849999999999999</v>
      </c>
      <c r="V42" s="341">
        <v>0.11849999999999999</v>
      </c>
      <c r="W42" s="341">
        <v>0.11849999999999999</v>
      </c>
      <c r="X42" s="281">
        <f t="shared" si="34"/>
        <v>1.9E-2</v>
      </c>
      <c r="Y42" s="282">
        <f t="shared" si="27"/>
        <v>9.7000000000000003E-2</v>
      </c>
      <c r="AA42" s="391">
        <f t="shared" ca="1" si="16"/>
        <v>0</v>
      </c>
      <c r="AB42" s="400">
        <f t="shared" ca="1" si="8"/>
        <v>0</v>
      </c>
      <c r="AC42" s="258">
        <f t="shared" ca="1" si="8"/>
        <v>0</v>
      </c>
      <c r="AD42" s="258">
        <f t="shared" ca="1" si="8"/>
        <v>0</v>
      </c>
      <c r="AE42" s="402">
        <f t="shared" ca="1" si="8"/>
        <v>0</v>
      </c>
      <c r="AF42" s="402">
        <f t="shared" ca="1" si="8"/>
        <v>0</v>
      </c>
      <c r="AG42" s="404">
        <f t="shared" ca="1" si="17"/>
        <v>0</v>
      </c>
      <c r="AH42" s="415">
        <f t="shared" ca="1" si="18"/>
        <v>0</v>
      </c>
      <c r="AI42" s="415">
        <f t="shared" ca="1" si="19"/>
        <v>0</v>
      </c>
      <c r="AJ42" s="416">
        <f t="shared" ca="1" si="20"/>
        <v>0</v>
      </c>
      <c r="AK42" s="416">
        <f t="shared" ca="1" si="21"/>
        <v>0</v>
      </c>
      <c r="AL42" s="417">
        <f>0</f>
        <v>0</v>
      </c>
      <c r="AM42" s="269">
        <f t="shared" ca="1" si="29"/>
        <v>0</v>
      </c>
      <c r="AN42" s="422">
        <f t="shared" ca="1" si="33"/>
        <v>18.189999999999998</v>
      </c>
      <c r="AO42" s="423">
        <f t="shared" ca="1" si="33"/>
        <v>30526306.859062586</v>
      </c>
      <c r="AP42" s="271">
        <f t="shared" ca="1" si="33"/>
        <v>0</v>
      </c>
      <c r="AQ42" s="271">
        <f t="shared" ca="1" si="33"/>
        <v>0.11849999999999999</v>
      </c>
      <c r="AR42" s="271">
        <f t="shared" ca="1" si="33"/>
        <v>0.11849999999999999</v>
      </c>
      <c r="AS42" s="271">
        <f t="shared" ca="1" si="33"/>
        <v>0.11849999999999999</v>
      </c>
      <c r="AT42" s="271">
        <f t="shared" ca="1" si="33"/>
        <v>1.9E-2</v>
      </c>
      <c r="AU42" s="278">
        <f t="shared" ca="1" si="33"/>
        <v>0.1</v>
      </c>
    </row>
    <row r="43" spans="1:47" ht="13.15" thickBot="1" x14ac:dyDescent="0.4">
      <c r="B43" s="18">
        <f t="shared" si="30"/>
        <v>24</v>
      </c>
      <c r="C43" s="85">
        <f t="shared" ca="1" si="10"/>
        <v>0</v>
      </c>
      <c r="D43" s="85">
        <f t="shared" ca="1" si="2"/>
        <v>0</v>
      </c>
      <c r="E43" s="84">
        <f t="shared" ca="1" si="11"/>
        <v>0</v>
      </c>
      <c r="F43" s="135">
        <f t="shared" ca="1" si="25"/>
        <v>0</v>
      </c>
      <c r="G43" s="409">
        <f t="shared" ca="1" si="4"/>
        <v>0</v>
      </c>
      <c r="H43" s="409">
        <f t="shared" ca="1" si="5"/>
        <v>0</v>
      </c>
      <c r="I43" s="275">
        <f t="shared" ca="1" si="26"/>
        <v>0</v>
      </c>
      <c r="J43" s="275">
        <f t="shared" ca="1" si="12"/>
        <v>0</v>
      </c>
      <c r="K43" s="137">
        <f t="shared" ca="1" si="28"/>
        <v>0</v>
      </c>
      <c r="L43" s="15" t="str">
        <f t="shared" ca="1" si="32"/>
        <v>F</v>
      </c>
      <c r="M43" s="88">
        <f t="shared" ca="1" si="32"/>
        <v>0</v>
      </c>
      <c r="N43" s="88">
        <f t="shared" ca="1" si="32"/>
        <v>0</v>
      </c>
      <c r="O43" s="432">
        <v>1000000000000000</v>
      </c>
      <c r="P43" s="69">
        <v>109575</v>
      </c>
      <c r="Q43" s="3">
        <f t="shared" si="13"/>
        <v>64583</v>
      </c>
      <c r="R43" s="107">
        <f t="shared" ca="1" si="14"/>
        <v>17.97</v>
      </c>
      <c r="S43" s="105">
        <f t="shared" ca="1" si="15"/>
        <v>17716417.870576583</v>
      </c>
      <c r="T43" s="341">
        <v>0</v>
      </c>
      <c r="U43" s="341">
        <v>0.11849999999999999</v>
      </c>
      <c r="V43" s="341">
        <v>0.11849999999999999</v>
      </c>
      <c r="W43" s="341">
        <v>0.11849999999999999</v>
      </c>
      <c r="X43" s="281">
        <f t="shared" si="34"/>
        <v>1.9E-2</v>
      </c>
      <c r="Y43" s="282">
        <f t="shared" si="27"/>
        <v>9.7000000000000003E-2</v>
      </c>
      <c r="AA43" s="391">
        <f t="shared" ca="1" si="16"/>
        <v>0</v>
      </c>
      <c r="AB43" s="400">
        <f t="shared" ca="1" si="8"/>
        <v>0</v>
      </c>
      <c r="AC43" s="258">
        <f t="shared" ca="1" si="8"/>
        <v>0</v>
      </c>
      <c r="AD43" s="258">
        <f t="shared" ca="1" si="8"/>
        <v>0</v>
      </c>
      <c r="AE43" s="402">
        <f t="shared" ca="1" si="8"/>
        <v>0</v>
      </c>
      <c r="AF43" s="402">
        <f t="shared" ca="1" si="8"/>
        <v>0</v>
      </c>
      <c r="AG43" s="404">
        <f t="shared" ca="1" si="17"/>
        <v>0</v>
      </c>
      <c r="AH43" s="415">
        <f t="shared" ca="1" si="18"/>
        <v>0</v>
      </c>
      <c r="AI43" s="415">
        <f t="shared" ca="1" si="19"/>
        <v>0</v>
      </c>
      <c r="AJ43" s="416">
        <f t="shared" ca="1" si="20"/>
        <v>0</v>
      </c>
      <c r="AK43" s="416">
        <f t="shared" ca="1" si="21"/>
        <v>0</v>
      </c>
      <c r="AL43" s="417">
        <f>0</f>
        <v>0</v>
      </c>
      <c r="AM43" s="269">
        <f t="shared" ca="1" si="29"/>
        <v>0</v>
      </c>
      <c r="AN43" s="422">
        <f t="shared" ca="1" si="33"/>
        <v>18.189999999999998</v>
      </c>
      <c r="AO43" s="423">
        <f t="shared" ca="1" si="33"/>
        <v>30526306.859062586</v>
      </c>
      <c r="AP43" s="271">
        <f t="shared" ca="1" si="33"/>
        <v>0</v>
      </c>
      <c r="AQ43" s="271">
        <f t="shared" ca="1" si="33"/>
        <v>0.11849999999999999</v>
      </c>
      <c r="AR43" s="271">
        <f t="shared" ca="1" si="33"/>
        <v>0.11849999999999999</v>
      </c>
      <c r="AS43" s="271">
        <f t="shared" ca="1" si="33"/>
        <v>0.11849999999999999</v>
      </c>
      <c r="AT43" s="271">
        <f t="shared" ca="1" si="33"/>
        <v>1.9E-2</v>
      </c>
      <c r="AU43" s="278">
        <f t="shared" ca="1" si="33"/>
        <v>0.1</v>
      </c>
    </row>
    <row r="44" spans="1:47" ht="13.15" thickBot="1" x14ac:dyDescent="0.4">
      <c r="B44" s="18">
        <f t="shared" si="30"/>
        <v>25</v>
      </c>
      <c r="C44" s="85">
        <f t="shared" ca="1" si="10"/>
        <v>0</v>
      </c>
      <c r="D44" s="85">
        <f t="shared" ca="1" si="2"/>
        <v>0</v>
      </c>
      <c r="E44" s="84">
        <f t="shared" ca="1" si="11"/>
        <v>0</v>
      </c>
      <c r="F44" s="135">
        <f t="shared" ca="1" si="25"/>
        <v>0</v>
      </c>
      <c r="G44" s="409">
        <f t="shared" ca="1" si="4"/>
        <v>0</v>
      </c>
      <c r="H44" s="409">
        <f t="shared" ca="1" si="5"/>
        <v>0</v>
      </c>
      <c r="I44" s="275">
        <f t="shared" ca="1" si="26"/>
        <v>0</v>
      </c>
      <c r="J44" s="275">
        <f t="shared" ca="1" si="12"/>
        <v>0</v>
      </c>
      <c r="K44" s="137">
        <f t="shared" ca="1" si="28"/>
        <v>0</v>
      </c>
      <c r="L44" s="15" t="str">
        <f t="shared" ca="1" si="32"/>
        <v>F</v>
      </c>
      <c r="M44" s="88">
        <f t="shared" ca="1" si="32"/>
        <v>0</v>
      </c>
      <c r="N44" s="88">
        <f t="shared" ca="1" si="32"/>
        <v>0</v>
      </c>
      <c r="O44" s="432">
        <v>1000000000000000</v>
      </c>
      <c r="P44" s="69">
        <v>109575</v>
      </c>
      <c r="Q44" s="3">
        <f t="shared" si="13"/>
        <v>64583</v>
      </c>
      <c r="R44" s="107">
        <f t="shared" ca="1" si="14"/>
        <v>17.97</v>
      </c>
      <c r="S44" s="105">
        <f t="shared" ca="1" si="15"/>
        <v>17716417.870576583</v>
      </c>
      <c r="T44" s="341">
        <v>0</v>
      </c>
      <c r="U44" s="341">
        <v>0.11849999999999999</v>
      </c>
      <c r="V44" s="341">
        <v>0.11849999999999999</v>
      </c>
      <c r="W44" s="341">
        <v>0.11849999999999999</v>
      </c>
      <c r="X44" s="281">
        <f t="shared" si="34"/>
        <v>1.9E-2</v>
      </c>
      <c r="Y44" s="282">
        <f t="shared" si="27"/>
        <v>9.7000000000000003E-2</v>
      </c>
      <c r="AA44" s="391">
        <f t="shared" ca="1" si="16"/>
        <v>0</v>
      </c>
      <c r="AB44" s="400">
        <f t="shared" ca="1" si="8"/>
        <v>0</v>
      </c>
      <c r="AC44" s="258">
        <f t="shared" ca="1" si="8"/>
        <v>0</v>
      </c>
      <c r="AD44" s="258">
        <f t="shared" ca="1" si="8"/>
        <v>0</v>
      </c>
      <c r="AE44" s="402">
        <f t="shared" ca="1" si="8"/>
        <v>0</v>
      </c>
      <c r="AF44" s="402">
        <f t="shared" ca="1" si="8"/>
        <v>0</v>
      </c>
      <c r="AG44" s="404">
        <f t="shared" ca="1" si="17"/>
        <v>0</v>
      </c>
      <c r="AH44" s="415">
        <f t="shared" ca="1" si="18"/>
        <v>0</v>
      </c>
      <c r="AI44" s="415">
        <f t="shared" ca="1" si="19"/>
        <v>0</v>
      </c>
      <c r="AJ44" s="416">
        <f t="shared" ca="1" si="20"/>
        <v>0</v>
      </c>
      <c r="AK44" s="416">
        <f t="shared" ca="1" si="21"/>
        <v>0</v>
      </c>
      <c r="AL44" s="417">
        <f>0</f>
        <v>0</v>
      </c>
      <c r="AM44" s="269">
        <f t="shared" ca="1" si="29"/>
        <v>0</v>
      </c>
      <c r="AN44" s="422">
        <f t="shared" ca="1" si="33"/>
        <v>18.189999999999998</v>
      </c>
      <c r="AO44" s="423">
        <f t="shared" ca="1" si="33"/>
        <v>30526306.859062586</v>
      </c>
      <c r="AP44" s="271">
        <f t="shared" ca="1" si="33"/>
        <v>0</v>
      </c>
      <c r="AQ44" s="271">
        <f t="shared" ca="1" si="33"/>
        <v>0.11849999999999999</v>
      </c>
      <c r="AR44" s="271">
        <f t="shared" ca="1" si="33"/>
        <v>0.11849999999999999</v>
      </c>
      <c r="AS44" s="271">
        <f t="shared" ca="1" si="33"/>
        <v>0.11849999999999999</v>
      </c>
      <c r="AT44" s="271">
        <f t="shared" ca="1" si="33"/>
        <v>1.9E-2</v>
      </c>
      <c r="AU44" s="278">
        <f t="shared" ca="1" si="33"/>
        <v>0.1</v>
      </c>
    </row>
    <row r="45" spans="1:47" ht="13.15" thickBot="1" x14ac:dyDescent="0.4">
      <c r="B45" s="18">
        <f t="shared" si="30"/>
        <v>26</v>
      </c>
      <c r="C45" s="85">
        <f t="shared" ca="1" si="10"/>
        <v>0</v>
      </c>
      <c r="D45" s="85">
        <f t="shared" ca="1" si="2"/>
        <v>0</v>
      </c>
      <c r="E45" s="84">
        <f t="shared" ca="1" si="11"/>
        <v>0</v>
      </c>
      <c r="F45" s="135">
        <f t="shared" ca="1" si="25"/>
        <v>0</v>
      </c>
      <c r="G45" s="409">
        <f t="shared" ca="1" si="4"/>
        <v>0</v>
      </c>
      <c r="H45" s="409">
        <f t="shared" ca="1" si="5"/>
        <v>0</v>
      </c>
      <c r="I45" s="275">
        <f t="shared" ca="1" si="26"/>
        <v>0</v>
      </c>
      <c r="J45" s="275">
        <f t="shared" ca="1" si="12"/>
        <v>0</v>
      </c>
      <c r="K45" s="137">
        <f t="shared" ca="1" si="28"/>
        <v>0</v>
      </c>
      <c r="L45" s="15" t="str">
        <f t="shared" ca="1" si="32"/>
        <v>F</v>
      </c>
      <c r="M45" s="88">
        <f t="shared" ca="1" si="32"/>
        <v>0</v>
      </c>
      <c r="N45" s="88">
        <f t="shared" ca="1" si="32"/>
        <v>0</v>
      </c>
      <c r="O45" s="432">
        <v>1000000000000000</v>
      </c>
      <c r="P45" s="69">
        <v>109575</v>
      </c>
      <c r="Q45" s="3">
        <f t="shared" si="13"/>
        <v>64583</v>
      </c>
      <c r="R45" s="107">
        <f t="shared" ca="1" si="14"/>
        <v>17.97</v>
      </c>
      <c r="S45" s="105">
        <f t="shared" ca="1" si="15"/>
        <v>17716417.870576583</v>
      </c>
      <c r="T45" s="341">
        <v>0</v>
      </c>
      <c r="U45" s="341">
        <v>0.11849999999999999</v>
      </c>
      <c r="V45" s="341">
        <v>0.11849999999999999</v>
      </c>
      <c r="W45" s="341">
        <v>0.11849999999999999</v>
      </c>
      <c r="X45" s="281">
        <f t="shared" si="34"/>
        <v>1.9E-2</v>
      </c>
      <c r="Y45" s="282">
        <f t="shared" si="27"/>
        <v>9.7000000000000003E-2</v>
      </c>
      <c r="AA45" s="391">
        <f t="shared" ca="1" si="16"/>
        <v>0</v>
      </c>
      <c r="AB45" s="400">
        <f t="shared" ca="1" si="8"/>
        <v>0</v>
      </c>
      <c r="AC45" s="258">
        <f t="shared" ca="1" si="8"/>
        <v>0</v>
      </c>
      <c r="AD45" s="258">
        <f t="shared" ca="1" si="8"/>
        <v>0</v>
      </c>
      <c r="AE45" s="402">
        <f t="shared" ca="1" si="8"/>
        <v>0</v>
      </c>
      <c r="AF45" s="402">
        <f t="shared" ca="1" si="8"/>
        <v>0</v>
      </c>
      <c r="AG45" s="404">
        <f t="shared" ca="1" si="17"/>
        <v>0</v>
      </c>
      <c r="AH45" s="415">
        <f t="shared" ca="1" si="18"/>
        <v>0</v>
      </c>
      <c r="AI45" s="415">
        <f t="shared" ca="1" si="19"/>
        <v>0</v>
      </c>
      <c r="AJ45" s="416">
        <f t="shared" ca="1" si="20"/>
        <v>0</v>
      </c>
      <c r="AK45" s="416">
        <f t="shared" ca="1" si="21"/>
        <v>0</v>
      </c>
      <c r="AL45" s="417">
        <f>0</f>
        <v>0</v>
      </c>
      <c r="AM45" s="269">
        <f t="shared" ca="1" si="29"/>
        <v>0</v>
      </c>
      <c r="AN45" s="422">
        <f t="shared" ca="1" si="33"/>
        <v>18.189999999999998</v>
      </c>
      <c r="AO45" s="423">
        <f t="shared" ca="1" si="33"/>
        <v>30526306.859062586</v>
      </c>
      <c r="AP45" s="271">
        <f t="shared" ca="1" si="33"/>
        <v>0</v>
      </c>
      <c r="AQ45" s="271">
        <f t="shared" ca="1" si="33"/>
        <v>0.11849999999999999</v>
      </c>
      <c r="AR45" s="271">
        <f t="shared" ca="1" si="33"/>
        <v>0.11849999999999999</v>
      </c>
      <c r="AS45" s="271">
        <f t="shared" ca="1" si="33"/>
        <v>0.11849999999999999</v>
      </c>
      <c r="AT45" s="271">
        <f t="shared" ca="1" si="33"/>
        <v>1.9E-2</v>
      </c>
      <c r="AU45" s="278">
        <f t="shared" ca="1" si="33"/>
        <v>0.1</v>
      </c>
    </row>
    <row r="46" spans="1:47" ht="13.15" thickBot="1" x14ac:dyDescent="0.4">
      <c r="B46" s="18">
        <f t="shared" si="30"/>
        <v>27</v>
      </c>
      <c r="C46" s="85">
        <f t="shared" ca="1" si="10"/>
        <v>0</v>
      </c>
      <c r="D46" s="85">
        <f t="shared" ca="1" si="2"/>
        <v>0</v>
      </c>
      <c r="E46" s="84">
        <f t="shared" ca="1" si="11"/>
        <v>0</v>
      </c>
      <c r="F46" s="135">
        <f t="shared" ca="1" si="25"/>
        <v>0</v>
      </c>
      <c r="G46" s="409">
        <f t="shared" ca="1" si="4"/>
        <v>0</v>
      </c>
      <c r="H46" s="409">
        <f t="shared" ca="1" si="5"/>
        <v>0</v>
      </c>
      <c r="I46" s="275">
        <f t="shared" ca="1" si="26"/>
        <v>0</v>
      </c>
      <c r="J46" s="275">
        <f t="shared" ca="1" si="12"/>
        <v>0</v>
      </c>
      <c r="K46" s="137">
        <f t="shared" ca="1" si="28"/>
        <v>0</v>
      </c>
      <c r="L46" s="15" t="str">
        <f t="shared" ca="1" si="32"/>
        <v>F</v>
      </c>
      <c r="M46" s="88">
        <f t="shared" ca="1" si="32"/>
        <v>0</v>
      </c>
      <c r="N46" s="88">
        <f t="shared" ca="1" si="32"/>
        <v>0</v>
      </c>
      <c r="O46" s="432">
        <v>1000000000000000</v>
      </c>
      <c r="P46" s="69">
        <v>109575</v>
      </c>
      <c r="Q46" s="3">
        <f t="shared" si="13"/>
        <v>64583</v>
      </c>
      <c r="R46" s="107">
        <f t="shared" ca="1" si="14"/>
        <v>17.97</v>
      </c>
      <c r="S46" s="105">
        <f t="shared" ca="1" si="15"/>
        <v>17716417.870576583</v>
      </c>
      <c r="T46" s="341">
        <v>0</v>
      </c>
      <c r="U46" s="341">
        <v>0.11849999999999999</v>
      </c>
      <c r="V46" s="341">
        <v>0.11849999999999999</v>
      </c>
      <c r="W46" s="341">
        <v>0.11849999999999999</v>
      </c>
      <c r="X46" s="281">
        <f t="shared" si="34"/>
        <v>1.9E-2</v>
      </c>
      <c r="Y46" s="282">
        <f t="shared" si="27"/>
        <v>9.7000000000000003E-2</v>
      </c>
      <c r="AA46" s="391">
        <f t="shared" ca="1" si="16"/>
        <v>0</v>
      </c>
      <c r="AB46" s="400">
        <f t="shared" ca="1" si="8"/>
        <v>0</v>
      </c>
      <c r="AC46" s="258">
        <f t="shared" ca="1" si="8"/>
        <v>0</v>
      </c>
      <c r="AD46" s="258">
        <f t="shared" ca="1" si="8"/>
        <v>0</v>
      </c>
      <c r="AE46" s="402">
        <f t="shared" ca="1" si="8"/>
        <v>0</v>
      </c>
      <c r="AF46" s="402">
        <f t="shared" ca="1" si="8"/>
        <v>0</v>
      </c>
      <c r="AG46" s="404">
        <f t="shared" ca="1" si="17"/>
        <v>0</v>
      </c>
      <c r="AH46" s="415">
        <f t="shared" ca="1" si="18"/>
        <v>0</v>
      </c>
      <c r="AI46" s="415">
        <f t="shared" ca="1" si="19"/>
        <v>0</v>
      </c>
      <c r="AJ46" s="416">
        <f t="shared" ca="1" si="20"/>
        <v>0</v>
      </c>
      <c r="AK46" s="416">
        <f t="shared" ca="1" si="21"/>
        <v>0</v>
      </c>
      <c r="AL46" s="417">
        <f>0</f>
        <v>0</v>
      </c>
      <c r="AM46" s="269">
        <f t="shared" ca="1" si="29"/>
        <v>0</v>
      </c>
      <c r="AN46" s="422">
        <f t="shared" ca="1" si="33"/>
        <v>18.189999999999998</v>
      </c>
      <c r="AO46" s="423">
        <f t="shared" ca="1" si="33"/>
        <v>30526306.859062586</v>
      </c>
      <c r="AP46" s="271">
        <f t="shared" ca="1" si="33"/>
        <v>0</v>
      </c>
      <c r="AQ46" s="271">
        <f t="shared" ca="1" si="33"/>
        <v>0.11849999999999999</v>
      </c>
      <c r="AR46" s="271">
        <f t="shared" ca="1" si="33"/>
        <v>0.11849999999999999</v>
      </c>
      <c r="AS46" s="271">
        <f t="shared" ca="1" si="33"/>
        <v>0.11849999999999999</v>
      </c>
      <c r="AT46" s="271">
        <f t="shared" ca="1" si="33"/>
        <v>1.9E-2</v>
      </c>
      <c r="AU46" s="278">
        <f t="shared" ca="1" si="33"/>
        <v>0.1</v>
      </c>
    </row>
    <row r="47" spans="1:47" ht="13.15" thickBot="1" x14ac:dyDescent="0.4">
      <c r="B47" s="18">
        <f t="shared" si="30"/>
        <v>28</v>
      </c>
      <c r="C47" s="85">
        <f t="shared" ca="1" si="10"/>
        <v>0</v>
      </c>
      <c r="D47" s="85">
        <f t="shared" ca="1" si="2"/>
        <v>0</v>
      </c>
      <c r="E47" s="84">
        <f t="shared" ca="1" si="11"/>
        <v>0</v>
      </c>
      <c r="F47" s="135">
        <f t="shared" ca="1" si="25"/>
        <v>0</v>
      </c>
      <c r="G47" s="409">
        <f t="shared" ca="1" si="4"/>
        <v>0</v>
      </c>
      <c r="H47" s="409">
        <f t="shared" ca="1" si="5"/>
        <v>0</v>
      </c>
      <c r="I47" s="275">
        <f t="shared" ca="1" si="26"/>
        <v>0</v>
      </c>
      <c r="J47" s="275">
        <f t="shared" ca="1" si="12"/>
        <v>0</v>
      </c>
      <c r="K47" s="137">
        <f t="shared" ca="1" si="28"/>
        <v>0</v>
      </c>
      <c r="L47" s="15" t="str">
        <f t="shared" ca="1" si="32"/>
        <v>F</v>
      </c>
      <c r="M47" s="88">
        <f t="shared" ca="1" si="32"/>
        <v>0</v>
      </c>
      <c r="N47" s="88">
        <f t="shared" ca="1" si="32"/>
        <v>0</v>
      </c>
      <c r="O47" s="432">
        <v>1000000000000000</v>
      </c>
      <c r="P47" s="69">
        <v>109575</v>
      </c>
      <c r="Q47" s="3">
        <f t="shared" si="13"/>
        <v>64583</v>
      </c>
      <c r="R47" s="107">
        <f t="shared" ca="1" si="14"/>
        <v>17.97</v>
      </c>
      <c r="S47" s="105">
        <f t="shared" ca="1" si="15"/>
        <v>17716417.870576583</v>
      </c>
      <c r="T47" s="341">
        <v>0</v>
      </c>
      <c r="U47" s="341">
        <v>0.11849999999999999</v>
      </c>
      <c r="V47" s="341">
        <v>0.11849999999999999</v>
      </c>
      <c r="W47" s="341">
        <v>0.11849999999999999</v>
      </c>
      <c r="X47" s="281">
        <f t="shared" si="34"/>
        <v>1.9E-2</v>
      </c>
      <c r="Y47" s="282">
        <f t="shared" si="27"/>
        <v>9.7000000000000003E-2</v>
      </c>
      <c r="AA47" s="391">
        <f t="shared" ca="1" si="16"/>
        <v>0</v>
      </c>
      <c r="AB47" s="400">
        <f t="shared" ca="1" si="8"/>
        <v>0</v>
      </c>
      <c r="AC47" s="258">
        <f t="shared" ca="1" si="8"/>
        <v>0</v>
      </c>
      <c r="AD47" s="258">
        <f t="shared" ca="1" si="8"/>
        <v>0</v>
      </c>
      <c r="AE47" s="402">
        <f t="shared" ca="1" si="8"/>
        <v>0</v>
      </c>
      <c r="AF47" s="402">
        <f t="shared" ca="1" si="8"/>
        <v>0</v>
      </c>
      <c r="AG47" s="404">
        <f t="shared" ca="1" si="17"/>
        <v>0</v>
      </c>
      <c r="AH47" s="415">
        <f t="shared" ca="1" si="18"/>
        <v>0</v>
      </c>
      <c r="AI47" s="415">
        <f t="shared" ca="1" si="19"/>
        <v>0</v>
      </c>
      <c r="AJ47" s="416">
        <f t="shared" ca="1" si="20"/>
        <v>0</v>
      </c>
      <c r="AK47" s="416">
        <f t="shared" ca="1" si="21"/>
        <v>0</v>
      </c>
      <c r="AL47" s="417">
        <f>0</f>
        <v>0</v>
      </c>
      <c r="AM47" s="269">
        <f t="shared" ca="1" si="29"/>
        <v>0</v>
      </c>
      <c r="AN47" s="422">
        <f t="shared" ca="1" si="33"/>
        <v>18.189999999999998</v>
      </c>
      <c r="AO47" s="423">
        <f t="shared" ca="1" si="33"/>
        <v>30526306.859062586</v>
      </c>
      <c r="AP47" s="271">
        <f t="shared" ca="1" si="33"/>
        <v>0</v>
      </c>
      <c r="AQ47" s="271">
        <f t="shared" ca="1" si="33"/>
        <v>0.11849999999999999</v>
      </c>
      <c r="AR47" s="271">
        <f t="shared" ca="1" si="33"/>
        <v>0.11849999999999999</v>
      </c>
      <c r="AS47" s="271">
        <f t="shared" ca="1" si="33"/>
        <v>0.11849999999999999</v>
      </c>
      <c r="AT47" s="271">
        <f t="shared" ca="1" si="33"/>
        <v>1.9E-2</v>
      </c>
      <c r="AU47" s="278">
        <f t="shared" ca="1" si="33"/>
        <v>0.1</v>
      </c>
    </row>
    <row r="48" spans="1:47" ht="13.15" thickBot="1" x14ac:dyDescent="0.4">
      <c r="B48" s="18">
        <f t="shared" si="30"/>
        <v>29</v>
      </c>
      <c r="C48" s="85">
        <f t="shared" ca="1" si="10"/>
        <v>0</v>
      </c>
      <c r="D48" s="85">
        <f t="shared" ca="1" si="2"/>
        <v>0</v>
      </c>
      <c r="E48" s="84">
        <f t="shared" ca="1" si="11"/>
        <v>0</v>
      </c>
      <c r="F48" s="135">
        <f t="shared" ca="1" si="25"/>
        <v>0</v>
      </c>
      <c r="G48" s="409">
        <f t="shared" ca="1" si="4"/>
        <v>0</v>
      </c>
      <c r="H48" s="409">
        <f t="shared" ca="1" si="5"/>
        <v>0</v>
      </c>
      <c r="I48" s="275">
        <f t="shared" ca="1" si="26"/>
        <v>0</v>
      </c>
      <c r="J48" s="275">
        <f t="shared" ca="1" si="12"/>
        <v>0</v>
      </c>
      <c r="K48" s="137">
        <f t="shared" ca="1" si="28"/>
        <v>0</v>
      </c>
      <c r="L48" s="15" t="str">
        <f t="shared" ca="1" si="32"/>
        <v>F</v>
      </c>
      <c r="M48" s="88">
        <f t="shared" ca="1" si="32"/>
        <v>0</v>
      </c>
      <c r="N48" s="88">
        <f t="shared" ca="1" si="32"/>
        <v>0</v>
      </c>
      <c r="O48" s="432">
        <v>1000000000000000</v>
      </c>
      <c r="P48" s="69">
        <v>109575</v>
      </c>
      <c r="Q48" s="3">
        <f t="shared" si="13"/>
        <v>64583</v>
      </c>
      <c r="R48" s="107">
        <f t="shared" ca="1" si="14"/>
        <v>17.97</v>
      </c>
      <c r="S48" s="105">
        <f t="shared" ca="1" si="15"/>
        <v>17716417.870576583</v>
      </c>
      <c r="T48" s="341">
        <v>0</v>
      </c>
      <c r="U48" s="341">
        <v>0.11849999999999999</v>
      </c>
      <c r="V48" s="341">
        <v>0.11849999999999999</v>
      </c>
      <c r="W48" s="341">
        <v>0.11849999999999999</v>
      </c>
      <c r="X48" s="281">
        <f t="shared" si="34"/>
        <v>1.9E-2</v>
      </c>
      <c r="Y48" s="282">
        <f t="shared" si="27"/>
        <v>9.7000000000000003E-2</v>
      </c>
      <c r="AA48" s="391">
        <f t="shared" ca="1" si="16"/>
        <v>0</v>
      </c>
      <c r="AB48" s="400">
        <f t="shared" ca="1" si="8"/>
        <v>0</v>
      </c>
      <c r="AC48" s="258">
        <f t="shared" ca="1" si="8"/>
        <v>0</v>
      </c>
      <c r="AD48" s="258">
        <f t="shared" ca="1" si="8"/>
        <v>0</v>
      </c>
      <c r="AE48" s="402">
        <f t="shared" ca="1" si="8"/>
        <v>0</v>
      </c>
      <c r="AF48" s="402">
        <f t="shared" ca="1" si="8"/>
        <v>0</v>
      </c>
      <c r="AG48" s="404">
        <f t="shared" ca="1" si="17"/>
        <v>0</v>
      </c>
      <c r="AH48" s="415">
        <f t="shared" ca="1" si="18"/>
        <v>0</v>
      </c>
      <c r="AI48" s="415">
        <f t="shared" ca="1" si="19"/>
        <v>0</v>
      </c>
      <c r="AJ48" s="416">
        <f t="shared" ca="1" si="20"/>
        <v>0</v>
      </c>
      <c r="AK48" s="416">
        <f t="shared" ca="1" si="21"/>
        <v>0</v>
      </c>
      <c r="AL48" s="417">
        <f>0</f>
        <v>0</v>
      </c>
      <c r="AM48" s="269">
        <f t="shared" ca="1" si="29"/>
        <v>0</v>
      </c>
      <c r="AN48" s="422">
        <f t="shared" ca="1" si="33"/>
        <v>18.189999999999998</v>
      </c>
      <c r="AO48" s="423">
        <f t="shared" ca="1" si="33"/>
        <v>30526306.859062586</v>
      </c>
      <c r="AP48" s="271">
        <f t="shared" ca="1" si="33"/>
        <v>0</v>
      </c>
      <c r="AQ48" s="271">
        <f t="shared" ca="1" si="33"/>
        <v>0.11849999999999999</v>
      </c>
      <c r="AR48" s="271">
        <f t="shared" ca="1" si="33"/>
        <v>0.11849999999999999</v>
      </c>
      <c r="AS48" s="271">
        <f t="shared" ca="1" si="33"/>
        <v>0.11849999999999999</v>
      </c>
      <c r="AT48" s="271">
        <f t="shared" ca="1" si="33"/>
        <v>1.9E-2</v>
      </c>
      <c r="AU48" s="278">
        <f t="shared" ca="1" si="33"/>
        <v>0.1</v>
      </c>
    </row>
    <row r="49" spans="2:47" ht="13.15" thickBot="1" x14ac:dyDescent="0.4">
      <c r="B49" s="18">
        <f t="shared" si="30"/>
        <v>30</v>
      </c>
      <c r="C49" s="85">
        <f t="shared" ca="1" si="10"/>
        <v>0</v>
      </c>
      <c r="D49" s="85">
        <f t="shared" ca="1" si="2"/>
        <v>0</v>
      </c>
      <c r="E49" s="84">
        <f t="shared" ca="1" si="11"/>
        <v>0</v>
      </c>
      <c r="F49" s="135">
        <f t="shared" ca="1" si="25"/>
        <v>0</v>
      </c>
      <c r="G49" s="409">
        <f t="shared" ca="1" si="4"/>
        <v>0</v>
      </c>
      <c r="H49" s="409">
        <f t="shared" ca="1" si="5"/>
        <v>0</v>
      </c>
      <c r="I49" s="275">
        <f t="shared" ca="1" si="26"/>
        <v>0</v>
      </c>
      <c r="J49" s="275">
        <f t="shared" ca="1" si="12"/>
        <v>0</v>
      </c>
      <c r="K49" s="137">
        <f t="shared" ca="1" si="28"/>
        <v>0</v>
      </c>
      <c r="L49" s="15" t="str">
        <f t="shared" ca="1" si="32"/>
        <v>F</v>
      </c>
      <c r="M49" s="88">
        <f t="shared" ca="1" si="32"/>
        <v>0</v>
      </c>
      <c r="N49" s="88">
        <f t="shared" ca="1" si="32"/>
        <v>0</v>
      </c>
      <c r="O49" s="432">
        <v>1000000000000000</v>
      </c>
      <c r="P49" s="69">
        <v>109575</v>
      </c>
      <c r="Q49" s="3">
        <f t="shared" si="13"/>
        <v>64583</v>
      </c>
      <c r="R49" s="107">
        <f t="shared" ca="1" si="14"/>
        <v>17.97</v>
      </c>
      <c r="S49" s="105">
        <f t="shared" ca="1" si="15"/>
        <v>17716417.870576583</v>
      </c>
      <c r="T49" s="341">
        <v>0</v>
      </c>
      <c r="U49" s="341">
        <v>0.11849999999999999</v>
      </c>
      <c r="V49" s="341">
        <v>0.11849999999999999</v>
      </c>
      <c r="W49" s="341">
        <v>0.11849999999999999</v>
      </c>
      <c r="X49" s="281">
        <f t="shared" si="34"/>
        <v>1.9E-2</v>
      </c>
      <c r="Y49" s="282">
        <f t="shared" si="27"/>
        <v>9.7000000000000003E-2</v>
      </c>
      <c r="AA49" s="391">
        <f t="shared" ca="1" si="16"/>
        <v>0</v>
      </c>
      <c r="AB49" s="400">
        <f t="shared" ca="1" si="8"/>
        <v>0</v>
      </c>
      <c r="AC49" s="258">
        <f t="shared" ca="1" si="8"/>
        <v>0</v>
      </c>
      <c r="AD49" s="258">
        <f t="shared" ca="1" si="8"/>
        <v>0</v>
      </c>
      <c r="AE49" s="402">
        <f t="shared" ca="1" si="8"/>
        <v>0</v>
      </c>
      <c r="AF49" s="402">
        <f t="shared" ca="1" si="8"/>
        <v>0</v>
      </c>
      <c r="AG49" s="404">
        <f t="shared" ca="1" si="17"/>
        <v>0</v>
      </c>
      <c r="AH49" s="415">
        <f t="shared" ca="1" si="18"/>
        <v>0</v>
      </c>
      <c r="AI49" s="415">
        <f t="shared" ca="1" si="19"/>
        <v>0</v>
      </c>
      <c r="AJ49" s="416">
        <f t="shared" ca="1" si="20"/>
        <v>0</v>
      </c>
      <c r="AK49" s="416">
        <f t="shared" ca="1" si="21"/>
        <v>0</v>
      </c>
      <c r="AL49" s="417">
        <f>0</f>
        <v>0</v>
      </c>
      <c r="AM49" s="269">
        <f t="shared" ca="1" si="29"/>
        <v>0</v>
      </c>
      <c r="AN49" s="422">
        <f t="shared" ca="1" si="33"/>
        <v>18.189999999999998</v>
      </c>
      <c r="AO49" s="423">
        <f t="shared" ca="1" si="33"/>
        <v>30526306.859062586</v>
      </c>
      <c r="AP49" s="271">
        <f t="shared" ca="1" si="33"/>
        <v>0</v>
      </c>
      <c r="AQ49" s="271">
        <f t="shared" ca="1" si="33"/>
        <v>0.11849999999999999</v>
      </c>
      <c r="AR49" s="271">
        <f t="shared" ca="1" si="33"/>
        <v>0.11849999999999999</v>
      </c>
      <c r="AS49" s="271">
        <f t="shared" ca="1" si="33"/>
        <v>0.11849999999999999</v>
      </c>
      <c r="AT49" s="271">
        <f t="shared" ca="1" si="33"/>
        <v>1.9E-2</v>
      </c>
      <c r="AU49" s="278">
        <f t="shared" ca="1" si="33"/>
        <v>0.1</v>
      </c>
    </row>
    <row r="50" spans="2:47" ht="13.15" thickBot="1" x14ac:dyDescent="0.4">
      <c r="B50" s="18">
        <f t="shared" si="30"/>
        <v>31</v>
      </c>
      <c r="C50" s="85">
        <f t="shared" ca="1" si="10"/>
        <v>0</v>
      </c>
      <c r="D50" s="85">
        <f t="shared" ca="1" si="2"/>
        <v>0</v>
      </c>
      <c r="E50" s="84">
        <f t="shared" ca="1" si="11"/>
        <v>0</v>
      </c>
      <c r="F50" s="135">
        <f t="shared" ca="1" si="25"/>
        <v>0</v>
      </c>
      <c r="G50" s="409">
        <f t="shared" ca="1" si="4"/>
        <v>0</v>
      </c>
      <c r="H50" s="409">
        <f t="shared" ca="1" si="5"/>
        <v>0</v>
      </c>
      <c r="I50" s="275">
        <f t="shared" ca="1" si="26"/>
        <v>0</v>
      </c>
      <c r="J50" s="275">
        <f t="shared" ca="1" si="12"/>
        <v>0</v>
      </c>
      <c r="K50" s="137">
        <f t="shared" ca="1" si="28"/>
        <v>0</v>
      </c>
      <c r="L50" s="15" t="str">
        <f t="shared" ca="1" si="32"/>
        <v>F</v>
      </c>
      <c r="M50" s="88">
        <f t="shared" ca="1" si="32"/>
        <v>0</v>
      </c>
      <c r="N50" s="88">
        <f t="shared" ca="1" si="32"/>
        <v>0</v>
      </c>
      <c r="O50" s="432">
        <v>1000000000000000</v>
      </c>
      <c r="P50" s="69">
        <v>109575</v>
      </c>
      <c r="Q50" s="3">
        <f t="shared" si="13"/>
        <v>64583</v>
      </c>
      <c r="R50" s="107">
        <f t="shared" ca="1" si="14"/>
        <v>17.97</v>
      </c>
      <c r="S50" s="105">
        <f t="shared" ca="1" si="15"/>
        <v>17716417.870576583</v>
      </c>
      <c r="T50" s="341">
        <v>0</v>
      </c>
      <c r="U50" s="341">
        <v>0.11849999999999999</v>
      </c>
      <c r="V50" s="341">
        <v>0.11849999999999999</v>
      </c>
      <c r="W50" s="341">
        <v>0.11849999999999999</v>
      </c>
      <c r="X50" s="281">
        <f t="shared" si="34"/>
        <v>1.9E-2</v>
      </c>
      <c r="Y50" s="282">
        <f t="shared" si="27"/>
        <v>9.7000000000000003E-2</v>
      </c>
      <c r="AA50" s="391">
        <f t="shared" ca="1" si="16"/>
        <v>0</v>
      </c>
      <c r="AB50" s="400">
        <f t="shared" ca="1" si="8"/>
        <v>0</v>
      </c>
      <c r="AC50" s="258">
        <f t="shared" ca="1" si="8"/>
        <v>0</v>
      </c>
      <c r="AD50" s="258">
        <f t="shared" ca="1" si="8"/>
        <v>0</v>
      </c>
      <c r="AE50" s="402">
        <f t="shared" ca="1" si="8"/>
        <v>0</v>
      </c>
      <c r="AF50" s="402">
        <f t="shared" ca="1" si="8"/>
        <v>0</v>
      </c>
      <c r="AG50" s="404">
        <f t="shared" ca="1" si="17"/>
        <v>0</v>
      </c>
      <c r="AH50" s="415">
        <f t="shared" ca="1" si="18"/>
        <v>0</v>
      </c>
      <c r="AI50" s="415">
        <f t="shared" ca="1" si="19"/>
        <v>0</v>
      </c>
      <c r="AJ50" s="416">
        <f t="shared" ca="1" si="20"/>
        <v>0</v>
      </c>
      <c r="AK50" s="416">
        <f t="shared" ca="1" si="21"/>
        <v>0</v>
      </c>
      <c r="AL50" s="417">
        <f>0</f>
        <v>0</v>
      </c>
      <c r="AM50" s="269">
        <f t="shared" ca="1" si="29"/>
        <v>0</v>
      </c>
      <c r="AN50" s="422">
        <f t="shared" ca="1" si="33"/>
        <v>18.189999999999998</v>
      </c>
      <c r="AO50" s="423">
        <f t="shared" ca="1" si="33"/>
        <v>30526306.859062586</v>
      </c>
      <c r="AP50" s="271">
        <f t="shared" ca="1" si="33"/>
        <v>0</v>
      </c>
      <c r="AQ50" s="271">
        <f t="shared" ca="1" si="33"/>
        <v>0.11849999999999999</v>
      </c>
      <c r="AR50" s="271">
        <f t="shared" ca="1" si="33"/>
        <v>0.11849999999999999</v>
      </c>
      <c r="AS50" s="271">
        <f t="shared" ca="1" si="33"/>
        <v>0.11849999999999999</v>
      </c>
      <c r="AT50" s="271">
        <f t="shared" ca="1" si="33"/>
        <v>1.9E-2</v>
      </c>
      <c r="AU50" s="278">
        <f t="shared" ca="1" si="33"/>
        <v>0.1</v>
      </c>
    </row>
    <row r="51" spans="2:47" ht="13.15" thickBot="1" x14ac:dyDescent="0.4">
      <c r="B51" s="18">
        <f t="shared" si="30"/>
        <v>32</v>
      </c>
      <c r="C51" s="85">
        <f t="shared" ca="1" si="10"/>
        <v>0</v>
      </c>
      <c r="D51" s="85">
        <f t="shared" ca="1" si="2"/>
        <v>0</v>
      </c>
      <c r="E51" s="84">
        <f t="shared" ca="1" si="11"/>
        <v>0</v>
      </c>
      <c r="F51" s="135">
        <f t="shared" ca="1" si="25"/>
        <v>0</v>
      </c>
      <c r="G51" s="409">
        <f t="shared" ca="1" si="4"/>
        <v>0</v>
      </c>
      <c r="H51" s="409">
        <f t="shared" ca="1" si="5"/>
        <v>0</v>
      </c>
      <c r="I51" s="275">
        <f t="shared" ca="1" si="26"/>
        <v>0</v>
      </c>
      <c r="J51" s="275">
        <f t="shared" ca="1" si="12"/>
        <v>0</v>
      </c>
      <c r="K51" s="137">
        <f t="shared" ca="1" si="28"/>
        <v>0</v>
      </c>
      <c r="L51" s="15" t="str">
        <f t="shared" ca="1" si="32"/>
        <v>F</v>
      </c>
      <c r="M51" s="88">
        <f t="shared" ca="1" si="32"/>
        <v>0</v>
      </c>
      <c r="N51" s="88">
        <f t="shared" ca="1" si="32"/>
        <v>0</v>
      </c>
      <c r="O51" s="432">
        <v>1000000000000000</v>
      </c>
      <c r="P51" s="69">
        <v>109575</v>
      </c>
      <c r="Q51" s="3">
        <f t="shared" si="13"/>
        <v>64583</v>
      </c>
      <c r="R51" s="107">
        <f t="shared" ca="1" si="14"/>
        <v>17.97</v>
      </c>
      <c r="S51" s="105">
        <f t="shared" ca="1" si="15"/>
        <v>17716417.870576583</v>
      </c>
      <c r="T51" s="341">
        <v>0</v>
      </c>
      <c r="U51" s="341">
        <v>0.11849999999999999</v>
      </c>
      <c r="V51" s="341">
        <v>0.11849999999999999</v>
      </c>
      <c r="W51" s="341">
        <v>0.11849999999999999</v>
      </c>
      <c r="X51" s="281">
        <f t="shared" si="34"/>
        <v>1.9E-2</v>
      </c>
      <c r="Y51" s="282">
        <f t="shared" si="27"/>
        <v>9.7000000000000003E-2</v>
      </c>
      <c r="AA51" s="391">
        <f t="shared" ca="1" si="16"/>
        <v>0</v>
      </c>
      <c r="AB51" s="400">
        <f t="shared" ca="1" si="8"/>
        <v>0</v>
      </c>
      <c r="AC51" s="258">
        <f t="shared" ca="1" si="8"/>
        <v>0</v>
      </c>
      <c r="AD51" s="258">
        <f t="shared" ca="1" si="8"/>
        <v>0</v>
      </c>
      <c r="AE51" s="402">
        <f t="shared" ca="1" si="8"/>
        <v>0</v>
      </c>
      <c r="AF51" s="402">
        <f t="shared" ca="1" si="8"/>
        <v>0</v>
      </c>
      <c r="AG51" s="404">
        <f t="shared" ca="1" si="17"/>
        <v>0</v>
      </c>
      <c r="AH51" s="415">
        <f t="shared" ca="1" si="18"/>
        <v>0</v>
      </c>
      <c r="AI51" s="415">
        <f t="shared" ca="1" si="19"/>
        <v>0</v>
      </c>
      <c r="AJ51" s="416">
        <f t="shared" ca="1" si="20"/>
        <v>0</v>
      </c>
      <c r="AK51" s="416">
        <f t="shared" ca="1" si="21"/>
        <v>0</v>
      </c>
      <c r="AL51" s="417">
        <f>0</f>
        <v>0</v>
      </c>
      <c r="AM51" s="269">
        <f t="shared" ca="1" si="29"/>
        <v>0</v>
      </c>
      <c r="AN51" s="422">
        <f t="shared" ca="1" si="33"/>
        <v>18.189999999999998</v>
      </c>
      <c r="AO51" s="423">
        <f t="shared" ca="1" si="33"/>
        <v>30526306.859062586</v>
      </c>
      <c r="AP51" s="271">
        <f t="shared" ca="1" si="33"/>
        <v>0</v>
      </c>
      <c r="AQ51" s="271">
        <f t="shared" ca="1" si="33"/>
        <v>0.11849999999999999</v>
      </c>
      <c r="AR51" s="271">
        <f t="shared" ca="1" si="33"/>
        <v>0.11849999999999999</v>
      </c>
      <c r="AS51" s="271">
        <f t="shared" ca="1" si="33"/>
        <v>0.11849999999999999</v>
      </c>
      <c r="AT51" s="271">
        <f t="shared" ca="1" si="33"/>
        <v>1.9E-2</v>
      </c>
      <c r="AU51" s="278">
        <f t="shared" ca="1" si="33"/>
        <v>0.1</v>
      </c>
    </row>
    <row r="52" spans="2:47" ht="13.15" thickBot="1" x14ac:dyDescent="0.4">
      <c r="B52" s="18">
        <f t="shared" si="30"/>
        <v>33</v>
      </c>
      <c r="C52" s="85">
        <f t="shared" ca="1" si="10"/>
        <v>0</v>
      </c>
      <c r="D52" s="85">
        <f t="shared" ca="1" si="2"/>
        <v>0</v>
      </c>
      <c r="E52" s="84">
        <f t="shared" ca="1" si="11"/>
        <v>0</v>
      </c>
      <c r="F52" s="135">
        <f t="shared" ca="1" si="25"/>
        <v>0</v>
      </c>
      <c r="G52" s="409">
        <f t="shared" ca="1" si="4"/>
        <v>0</v>
      </c>
      <c r="H52" s="409">
        <f t="shared" ca="1" si="5"/>
        <v>0</v>
      </c>
      <c r="I52" s="275">
        <f t="shared" ca="1" si="26"/>
        <v>0</v>
      </c>
      <c r="J52" s="275">
        <f t="shared" ca="1" si="12"/>
        <v>0</v>
      </c>
      <c r="K52" s="137">
        <f t="shared" ca="1" si="28"/>
        <v>0</v>
      </c>
      <c r="L52" s="15" t="str">
        <f t="shared" ref="L52:N68" ca="1" si="35">INDIRECT("'"&amp; $AB$16 &amp;"'!"&amp; ADDRESS(ROW(L52),COLUMN(L52),4))</f>
        <v>F</v>
      </c>
      <c r="M52" s="88">
        <f t="shared" ca="1" si="35"/>
        <v>0</v>
      </c>
      <c r="N52" s="88">
        <f t="shared" ca="1" si="35"/>
        <v>0</v>
      </c>
      <c r="O52" s="432">
        <v>1000000000000000</v>
      </c>
      <c r="P52" s="69">
        <v>109575</v>
      </c>
      <c r="Q52" s="3">
        <f t="shared" si="13"/>
        <v>64583</v>
      </c>
      <c r="R52" s="107">
        <f t="shared" ca="1" si="14"/>
        <v>17.97</v>
      </c>
      <c r="S52" s="105">
        <f t="shared" ca="1" si="15"/>
        <v>17716417.870576583</v>
      </c>
      <c r="T52" s="341">
        <v>0</v>
      </c>
      <c r="U52" s="341">
        <v>0.11849999999999999</v>
      </c>
      <c r="V52" s="341">
        <v>0.11849999999999999</v>
      </c>
      <c r="W52" s="341">
        <v>0.11849999999999999</v>
      </c>
      <c r="X52" s="281">
        <f t="shared" si="34"/>
        <v>1.9E-2</v>
      </c>
      <c r="Y52" s="282">
        <f t="shared" si="27"/>
        <v>9.7000000000000003E-2</v>
      </c>
      <c r="AA52" s="391">
        <f t="shared" ca="1" si="16"/>
        <v>0</v>
      </c>
      <c r="AB52" s="400">
        <f t="shared" ca="1" si="8"/>
        <v>0</v>
      </c>
      <c r="AC52" s="258">
        <f t="shared" ca="1" si="8"/>
        <v>0</v>
      </c>
      <c r="AD52" s="258">
        <f t="shared" ca="1" si="8"/>
        <v>0</v>
      </c>
      <c r="AE52" s="402">
        <f t="shared" ca="1" si="8"/>
        <v>0</v>
      </c>
      <c r="AF52" s="402">
        <f t="shared" ca="1" si="8"/>
        <v>0</v>
      </c>
      <c r="AG52" s="404">
        <f t="shared" ca="1" si="17"/>
        <v>0</v>
      </c>
      <c r="AH52" s="415">
        <f t="shared" ca="1" si="18"/>
        <v>0</v>
      </c>
      <c r="AI52" s="415">
        <f t="shared" ca="1" si="19"/>
        <v>0</v>
      </c>
      <c r="AJ52" s="416">
        <f t="shared" ca="1" si="20"/>
        <v>0</v>
      </c>
      <c r="AK52" s="416">
        <f t="shared" ca="1" si="21"/>
        <v>0</v>
      </c>
      <c r="AL52" s="417">
        <f>0</f>
        <v>0</v>
      </c>
      <c r="AM52" s="269">
        <f t="shared" ca="1" si="29"/>
        <v>0</v>
      </c>
      <c r="AN52" s="422">
        <f t="shared" ca="1" si="33"/>
        <v>18.189999999999998</v>
      </c>
      <c r="AO52" s="423">
        <f t="shared" ca="1" si="33"/>
        <v>30526306.859062586</v>
      </c>
      <c r="AP52" s="271">
        <f t="shared" ca="1" si="33"/>
        <v>0</v>
      </c>
      <c r="AQ52" s="271">
        <f t="shared" ca="1" si="33"/>
        <v>0.11849999999999999</v>
      </c>
      <c r="AR52" s="271">
        <f t="shared" ca="1" si="33"/>
        <v>0.11849999999999999</v>
      </c>
      <c r="AS52" s="271">
        <f t="shared" ca="1" si="33"/>
        <v>0.11849999999999999</v>
      </c>
      <c r="AT52" s="271">
        <f t="shared" ca="1" si="33"/>
        <v>1.9E-2</v>
      </c>
      <c r="AU52" s="278">
        <f t="shared" ca="1" si="33"/>
        <v>0.1</v>
      </c>
    </row>
    <row r="53" spans="2:47" ht="13.15" thickBot="1" x14ac:dyDescent="0.4">
      <c r="B53" s="18">
        <f t="shared" si="30"/>
        <v>34</v>
      </c>
      <c r="C53" s="85">
        <f t="shared" ca="1" si="10"/>
        <v>0</v>
      </c>
      <c r="D53" s="85">
        <f t="shared" ca="1" si="2"/>
        <v>0</v>
      </c>
      <c r="E53" s="84">
        <f t="shared" ca="1" si="11"/>
        <v>0</v>
      </c>
      <c r="F53" s="135">
        <f t="shared" ca="1" si="25"/>
        <v>0</v>
      </c>
      <c r="G53" s="409">
        <f t="shared" ca="1" si="4"/>
        <v>0</v>
      </c>
      <c r="H53" s="409">
        <f t="shared" ca="1" si="5"/>
        <v>0</v>
      </c>
      <c r="I53" s="275">
        <f t="shared" ca="1" si="26"/>
        <v>0</v>
      </c>
      <c r="J53" s="275">
        <f t="shared" ca="1" si="12"/>
        <v>0</v>
      </c>
      <c r="K53" s="137">
        <f t="shared" ca="1" si="28"/>
        <v>0</v>
      </c>
      <c r="L53" s="15" t="str">
        <f t="shared" ca="1" si="35"/>
        <v>F</v>
      </c>
      <c r="M53" s="88">
        <f t="shared" ca="1" si="35"/>
        <v>0</v>
      </c>
      <c r="N53" s="88">
        <f t="shared" ca="1" si="35"/>
        <v>0</v>
      </c>
      <c r="O53" s="432">
        <v>1000000000000000</v>
      </c>
      <c r="P53" s="69">
        <v>109575</v>
      </c>
      <c r="Q53" s="3">
        <f t="shared" si="13"/>
        <v>64583</v>
      </c>
      <c r="R53" s="107">
        <f t="shared" ca="1" si="14"/>
        <v>17.97</v>
      </c>
      <c r="S53" s="105">
        <f t="shared" ca="1" si="15"/>
        <v>17716417.870576583</v>
      </c>
      <c r="T53" s="341">
        <v>0</v>
      </c>
      <c r="U53" s="341">
        <v>0.11849999999999999</v>
      </c>
      <c r="V53" s="341">
        <v>0.11849999999999999</v>
      </c>
      <c r="W53" s="341">
        <v>0.11849999999999999</v>
      </c>
      <c r="X53" s="281">
        <f t="shared" si="34"/>
        <v>1.9E-2</v>
      </c>
      <c r="Y53" s="282">
        <f t="shared" si="27"/>
        <v>9.7000000000000003E-2</v>
      </c>
      <c r="AA53" s="391">
        <f t="shared" ca="1" si="16"/>
        <v>0</v>
      </c>
      <c r="AB53" s="400">
        <f t="shared" ca="1" si="8"/>
        <v>0</v>
      </c>
      <c r="AC53" s="258">
        <f t="shared" ca="1" si="8"/>
        <v>0</v>
      </c>
      <c r="AD53" s="258">
        <f t="shared" ca="1" si="8"/>
        <v>0</v>
      </c>
      <c r="AE53" s="402">
        <f t="shared" ca="1" si="8"/>
        <v>0</v>
      </c>
      <c r="AF53" s="402">
        <f t="shared" ca="1" si="8"/>
        <v>0</v>
      </c>
      <c r="AG53" s="404">
        <f t="shared" ca="1" si="17"/>
        <v>0</v>
      </c>
      <c r="AH53" s="415">
        <f t="shared" ca="1" si="18"/>
        <v>0</v>
      </c>
      <c r="AI53" s="415">
        <f t="shared" ca="1" si="19"/>
        <v>0</v>
      </c>
      <c r="AJ53" s="416">
        <f t="shared" ca="1" si="20"/>
        <v>0</v>
      </c>
      <c r="AK53" s="416">
        <f t="shared" ca="1" si="21"/>
        <v>0</v>
      </c>
      <c r="AL53" s="417">
        <f>0</f>
        <v>0</v>
      </c>
      <c r="AM53" s="269">
        <f t="shared" ca="1" si="29"/>
        <v>0</v>
      </c>
      <c r="AN53" s="422">
        <f t="shared" ca="1" si="33"/>
        <v>18.189999999999998</v>
      </c>
      <c r="AO53" s="423">
        <f t="shared" ca="1" si="33"/>
        <v>30526306.859062586</v>
      </c>
      <c r="AP53" s="271">
        <f t="shared" ca="1" si="33"/>
        <v>0</v>
      </c>
      <c r="AQ53" s="271">
        <f t="shared" ca="1" si="33"/>
        <v>0.11849999999999999</v>
      </c>
      <c r="AR53" s="271">
        <f t="shared" ca="1" si="33"/>
        <v>0.11849999999999999</v>
      </c>
      <c r="AS53" s="271">
        <f t="shared" ca="1" si="33"/>
        <v>0.11849999999999999</v>
      </c>
      <c r="AT53" s="271">
        <f t="shared" ca="1" si="33"/>
        <v>1.9E-2</v>
      </c>
      <c r="AU53" s="278">
        <f t="shared" ca="1" si="33"/>
        <v>0.1</v>
      </c>
    </row>
    <row r="54" spans="2:47" ht="13.15" thickBot="1" x14ac:dyDescent="0.4">
      <c r="B54" s="18">
        <f t="shared" si="30"/>
        <v>35</v>
      </c>
      <c r="C54" s="85">
        <f t="shared" ca="1" si="10"/>
        <v>0</v>
      </c>
      <c r="D54" s="85">
        <f t="shared" ca="1" si="2"/>
        <v>0</v>
      </c>
      <c r="E54" s="84">
        <f t="shared" ca="1" si="11"/>
        <v>0</v>
      </c>
      <c r="F54" s="135">
        <f t="shared" ca="1" si="25"/>
        <v>0</v>
      </c>
      <c r="G54" s="409">
        <f t="shared" ca="1" si="4"/>
        <v>0</v>
      </c>
      <c r="H54" s="409">
        <f t="shared" ca="1" si="5"/>
        <v>0</v>
      </c>
      <c r="I54" s="275">
        <f t="shared" ca="1" si="26"/>
        <v>0</v>
      </c>
      <c r="J54" s="275">
        <f t="shared" ca="1" si="12"/>
        <v>0</v>
      </c>
      <c r="K54" s="137">
        <f t="shared" ca="1" si="28"/>
        <v>0</v>
      </c>
      <c r="L54" s="15" t="str">
        <f t="shared" ca="1" si="35"/>
        <v>F</v>
      </c>
      <c r="M54" s="88">
        <f t="shared" ca="1" si="35"/>
        <v>0</v>
      </c>
      <c r="N54" s="88">
        <f t="shared" ca="1" si="35"/>
        <v>0</v>
      </c>
      <c r="O54" s="432">
        <v>1000000000000000</v>
      </c>
      <c r="P54" s="69">
        <v>109575</v>
      </c>
      <c r="Q54" s="3">
        <f t="shared" si="13"/>
        <v>64583</v>
      </c>
      <c r="R54" s="107">
        <f t="shared" ca="1" si="14"/>
        <v>17.97</v>
      </c>
      <c r="S54" s="105">
        <f t="shared" ca="1" si="15"/>
        <v>17716417.870576583</v>
      </c>
      <c r="T54" s="341">
        <v>0</v>
      </c>
      <c r="U54" s="341">
        <v>0.11849999999999999</v>
      </c>
      <c r="V54" s="341">
        <v>0.11849999999999999</v>
      </c>
      <c r="W54" s="341">
        <v>0.11849999999999999</v>
      </c>
      <c r="X54" s="281">
        <f t="shared" si="34"/>
        <v>1.9E-2</v>
      </c>
      <c r="Y54" s="282">
        <f t="shared" si="27"/>
        <v>9.7000000000000003E-2</v>
      </c>
      <c r="AA54" s="391">
        <f t="shared" ca="1" si="16"/>
        <v>0</v>
      </c>
      <c r="AB54" s="400">
        <f t="shared" ca="1" si="8"/>
        <v>0</v>
      </c>
      <c r="AC54" s="258">
        <f t="shared" ca="1" si="8"/>
        <v>0</v>
      </c>
      <c r="AD54" s="258">
        <f t="shared" ca="1" si="8"/>
        <v>0</v>
      </c>
      <c r="AE54" s="402">
        <f t="shared" ca="1" si="8"/>
        <v>0</v>
      </c>
      <c r="AF54" s="402">
        <f t="shared" ca="1" si="8"/>
        <v>0</v>
      </c>
      <c r="AG54" s="404">
        <f t="shared" ca="1" si="17"/>
        <v>0</v>
      </c>
      <c r="AH54" s="415">
        <f t="shared" ca="1" si="18"/>
        <v>0</v>
      </c>
      <c r="AI54" s="415">
        <f t="shared" ca="1" si="19"/>
        <v>0</v>
      </c>
      <c r="AJ54" s="416">
        <f t="shared" ca="1" si="20"/>
        <v>0</v>
      </c>
      <c r="AK54" s="416">
        <f t="shared" ca="1" si="21"/>
        <v>0</v>
      </c>
      <c r="AL54" s="417">
        <f>0</f>
        <v>0</v>
      </c>
      <c r="AM54" s="269">
        <f t="shared" ca="1" si="29"/>
        <v>0</v>
      </c>
      <c r="AN54" s="422">
        <f t="shared" ca="1" si="33"/>
        <v>18.189999999999998</v>
      </c>
      <c r="AO54" s="423">
        <f t="shared" ca="1" si="33"/>
        <v>30526306.859062586</v>
      </c>
      <c r="AP54" s="271">
        <f t="shared" ca="1" si="33"/>
        <v>0</v>
      </c>
      <c r="AQ54" s="271">
        <f t="shared" ca="1" si="33"/>
        <v>0.11849999999999999</v>
      </c>
      <c r="AR54" s="271">
        <f t="shared" ca="1" si="33"/>
        <v>0.11849999999999999</v>
      </c>
      <c r="AS54" s="271">
        <f t="shared" ca="1" si="33"/>
        <v>0.11849999999999999</v>
      </c>
      <c r="AT54" s="271">
        <f t="shared" ca="1" si="33"/>
        <v>1.9E-2</v>
      </c>
      <c r="AU54" s="278">
        <f t="shared" ca="1" si="33"/>
        <v>0.1</v>
      </c>
    </row>
    <row r="55" spans="2:47" ht="13.15" thickBot="1" x14ac:dyDescent="0.4">
      <c r="B55" s="18">
        <f t="shared" si="30"/>
        <v>36</v>
      </c>
      <c r="C55" s="85">
        <f t="shared" ca="1" si="10"/>
        <v>0</v>
      </c>
      <c r="D55" s="85">
        <f t="shared" ca="1" si="2"/>
        <v>0</v>
      </c>
      <c r="E55" s="84">
        <f t="shared" ca="1" si="11"/>
        <v>0</v>
      </c>
      <c r="F55" s="135">
        <f t="shared" ca="1" si="25"/>
        <v>0</v>
      </c>
      <c r="G55" s="409">
        <f t="shared" ca="1" si="4"/>
        <v>0</v>
      </c>
      <c r="H55" s="409">
        <f t="shared" ca="1" si="5"/>
        <v>0</v>
      </c>
      <c r="I55" s="275">
        <f t="shared" ca="1" si="26"/>
        <v>0</v>
      </c>
      <c r="J55" s="275">
        <f t="shared" ca="1" si="12"/>
        <v>0</v>
      </c>
      <c r="K55" s="137">
        <f t="shared" ca="1" si="28"/>
        <v>0</v>
      </c>
      <c r="L55" s="15" t="str">
        <f t="shared" ca="1" si="35"/>
        <v>F</v>
      </c>
      <c r="M55" s="88">
        <f t="shared" ca="1" si="35"/>
        <v>0</v>
      </c>
      <c r="N55" s="88">
        <f t="shared" ca="1" si="35"/>
        <v>0</v>
      </c>
      <c r="O55" s="432">
        <v>1000000000000000</v>
      </c>
      <c r="P55" s="69">
        <v>109575</v>
      </c>
      <c r="Q55" s="3">
        <f t="shared" si="13"/>
        <v>64583</v>
      </c>
      <c r="R55" s="107">
        <f t="shared" ca="1" si="14"/>
        <v>17.97</v>
      </c>
      <c r="S55" s="105">
        <f t="shared" ca="1" si="15"/>
        <v>17716417.870576583</v>
      </c>
      <c r="T55" s="341">
        <v>0</v>
      </c>
      <c r="U55" s="341">
        <v>0.11849999999999999</v>
      </c>
      <c r="V55" s="341">
        <v>0.11849999999999999</v>
      </c>
      <c r="W55" s="341">
        <v>0.11849999999999999</v>
      </c>
      <c r="X55" s="281">
        <f t="shared" si="34"/>
        <v>1.9E-2</v>
      </c>
      <c r="Y55" s="282">
        <f t="shared" si="27"/>
        <v>9.7000000000000003E-2</v>
      </c>
      <c r="AA55" s="391">
        <f t="shared" ca="1" si="16"/>
        <v>0</v>
      </c>
      <c r="AB55" s="400">
        <f t="shared" ca="1" si="8"/>
        <v>0</v>
      </c>
      <c r="AC55" s="258">
        <f t="shared" ca="1" si="8"/>
        <v>0</v>
      </c>
      <c r="AD55" s="258">
        <f t="shared" ca="1" si="8"/>
        <v>0</v>
      </c>
      <c r="AE55" s="402">
        <f t="shared" ca="1" si="8"/>
        <v>0</v>
      </c>
      <c r="AF55" s="402">
        <f t="shared" ca="1" si="8"/>
        <v>0</v>
      </c>
      <c r="AG55" s="404">
        <f t="shared" ca="1" si="17"/>
        <v>0</v>
      </c>
      <c r="AH55" s="415">
        <f t="shared" ca="1" si="18"/>
        <v>0</v>
      </c>
      <c r="AI55" s="415">
        <f t="shared" ca="1" si="19"/>
        <v>0</v>
      </c>
      <c r="AJ55" s="416">
        <f t="shared" ca="1" si="20"/>
        <v>0</v>
      </c>
      <c r="AK55" s="416">
        <f t="shared" ca="1" si="21"/>
        <v>0</v>
      </c>
      <c r="AL55" s="417">
        <f>0</f>
        <v>0</v>
      </c>
      <c r="AM55" s="269">
        <f t="shared" ca="1" si="29"/>
        <v>0</v>
      </c>
      <c r="AN55" s="422">
        <f t="shared" ca="1" si="33"/>
        <v>18.189999999999998</v>
      </c>
      <c r="AO55" s="423">
        <f t="shared" ca="1" si="33"/>
        <v>30526306.859062586</v>
      </c>
      <c r="AP55" s="271">
        <f t="shared" ca="1" si="33"/>
        <v>0</v>
      </c>
      <c r="AQ55" s="271">
        <f t="shared" ca="1" si="33"/>
        <v>0.11849999999999999</v>
      </c>
      <c r="AR55" s="271">
        <f t="shared" ca="1" si="33"/>
        <v>0.11849999999999999</v>
      </c>
      <c r="AS55" s="271">
        <f t="shared" ca="1" si="33"/>
        <v>0.11849999999999999</v>
      </c>
      <c r="AT55" s="271">
        <f t="shared" ca="1" si="33"/>
        <v>1.9E-2</v>
      </c>
      <c r="AU55" s="278">
        <f t="shared" ca="1" si="33"/>
        <v>0.1</v>
      </c>
    </row>
    <row r="56" spans="2:47" ht="13.15" thickBot="1" x14ac:dyDescent="0.4">
      <c r="B56" s="18">
        <f t="shared" si="30"/>
        <v>37</v>
      </c>
      <c r="C56" s="85">
        <f t="shared" ca="1" si="10"/>
        <v>0</v>
      </c>
      <c r="D56" s="85">
        <f t="shared" ca="1" si="2"/>
        <v>0</v>
      </c>
      <c r="E56" s="84">
        <f t="shared" ca="1" si="11"/>
        <v>0</v>
      </c>
      <c r="F56" s="135">
        <f t="shared" ca="1" si="25"/>
        <v>0</v>
      </c>
      <c r="G56" s="409">
        <f t="shared" ca="1" si="4"/>
        <v>0</v>
      </c>
      <c r="H56" s="409">
        <f t="shared" ca="1" si="5"/>
        <v>0</v>
      </c>
      <c r="I56" s="275">
        <f t="shared" ca="1" si="26"/>
        <v>0</v>
      </c>
      <c r="J56" s="275">
        <f t="shared" ca="1" si="12"/>
        <v>0</v>
      </c>
      <c r="K56" s="137">
        <f t="shared" ca="1" si="28"/>
        <v>0</v>
      </c>
      <c r="L56" s="15" t="str">
        <f t="shared" ca="1" si="35"/>
        <v>F</v>
      </c>
      <c r="M56" s="88">
        <f t="shared" ca="1" si="35"/>
        <v>0</v>
      </c>
      <c r="N56" s="88">
        <f t="shared" ca="1" si="35"/>
        <v>0</v>
      </c>
      <c r="O56" s="432">
        <v>1000000000000000</v>
      </c>
      <c r="P56" s="69">
        <v>109575</v>
      </c>
      <c r="Q56" s="3">
        <f t="shared" si="13"/>
        <v>64583</v>
      </c>
      <c r="R56" s="107">
        <f t="shared" ca="1" si="14"/>
        <v>17.97</v>
      </c>
      <c r="S56" s="105">
        <f t="shared" ca="1" si="15"/>
        <v>17716417.870576583</v>
      </c>
      <c r="T56" s="341">
        <v>0</v>
      </c>
      <c r="U56" s="341">
        <v>0.11849999999999999</v>
      </c>
      <c r="V56" s="341">
        <v>0.11849999999999999</v>
      </c>
      <c r="W56" s="341">
        <v>0.11849999999999999</v>
      </c>
      <c r="X56" s="281">
        <f t="shared" si="34"/>
        <v>1.9E-2</v>
      </c>
      <c r="Y56" s="282">
        <f t="shared" si="27"/>
        <v>9.7000000000000003E-2</v>
      </c>
      <c r="AA56" s="391">
        <f t="shared" ca="1" si="16"/>
        <v>0</v>
      </c>
      <c r="AB56" s="400">
        <f t="shared" ca="1" si="8"/>
        <v>0</v>
      </c>
      <c r="AC56" s="258">
        <f t="shared" ca="1" si="8"/>
        <v>0</v>
      </c>
      <c r="AD56" s="258">
        <f t="shared" ca="1" si="8"/>
        <v>0</v>
      </c>
      <c r="AE56" s="402">
        <f t="shared" ca="1" si="8"/>
        <v>0</v>
      </c>
      <c r="AF56" s="402">
        <f t="shared" ca="1" si="8"/>
        <v>0</v>
      </c>
      <c r="AG56" s="404">
        <f t="shared" ca="1" si="17"/>
        <v>0</v>
      </c>
      <c r="AH56" s="415">
        <f t="shared" ca="1" si="18"/>
        <v>0</v>
      </c>
      <c r="AI56" s="415">
        <f t="shared" ca="1" si="19"/>
        <v>0</v>
      </c>
      <c r="AJ56" s="416">
        <f t="shared" ca="1" si="20"/>
        <v>0</v>
      </c>
      <c r="AK56" s="416">
        <f t="shared" ca="1" si="21"/>
        <v>0</v>
      </c>
      <c r="AL56" s="417">
        <f>0</f>
        <v>0</v>
      </c>
      <c r="AM56" s="269">
        <f t="shared" ca="1" si="29"/>
        <v>0</v>
      </c>
      <c r="AN56" s="422">
        <f t="shared" ca="1" si="33"/>
        <v>18.189999999999998</v>
      </c>
      <c r="AO56" s="423">
        <f t="shared" ca="1" si="33"/>
        <v>30526306.859062586</v>
      </c>
      <c r="AP56" s="271">
        <f t="shared" ca="1" si="33"/>
        <v>0</v>
      </c>
      <c r="AQ56" s="271">
        <f t="shared" ca="1" si="33"/>
        <v>0.11849999999999999</v>
      </c>
      <c r="AR56" s="271">
        <f t="shared" ca="1" si="33"/>
        <v>0.11849999999999999</v>
      </c>
      <c r="AS56" s="271">
        <f t="shared" ca="1" si="33"/>
        <v>0.11849999999999999</v>
      </c>
      <c r="AT56" s="271">
        <f t="shared" ca="1" si="33"/>
        <v>1.9E-2</v>
      </c>
      <c r="AU56" s="278">
        <f t="shared" ca="1" si="33"/>
        <v>0.1</v>
      </c>
    </row>
    <row r="57" spans="2:47" ht="13.15" thickBot="1" x14ac:dyDescent="0.4">
      <c r="B57" s="18">
        <f t="shared" si="30"/>
        <v>38</v>
      </c>
      <c r="C57" s="85">
        <f t="shared" ca="1" si="10"/>
        <v>0</v>
      </c>
      <c r="D57" s="85">
        <f t="shared" ca="1" si="2"/>
        <v>0</v>
      </c>
      <c r="E57" s="84">
        <f t="shared" ca="1" si="11"/>
        <v>0</v>
      </c>
      <c r="F57" s="135">
        <f t="shared" ca="1" si="25"/>
        <v>0</v>
      </c>
      <c r="G57" s="409">
        <f t="shared" ca="1" si="4"/>
        <v>0</v>
      </c>
      <c r="H57" s="409">
        <f t="shared" ca="1" si="5"/>
        <v>0</v>
      </c>
      <c r="I57" s="275">
        <f t="shared" ca="1" si="26"/>
        <v>0</v>
      </c>
      <c r="J57" s="275">
        <f t="shared" ca="1" si="12"/>
        <v>0</v>
      </c>
      <c r="K57" s="137">
        <f t="shared" ca="1" si="28"/>
        <v>0</v>
      </c>
      <c r="L57" s="15" t="str">
        <f t="shared" ca="1" si="35"/>
        <v>F</v>
      </c>
      <c r="M57" s="88">
        <f t="shared" ca="1" si="35"/>
        <v>0</v>
      </c>
      <c r="N57" s="88">
        <f t="shared" ca="1" si="35"/>
        <v>0</v>
      </c>
      <c r="O57" s="432">
        <v>1000000000000000</v>
      </c>
      <c r="P57" s="69">
        <v>109575</v>
      </c>
      <c r="Q57" s="3">
        <f t="shared" si="13"/>
        <v>64583</v>
      </c>
      <c r="R57" s="107">
        <f t="shared" ca="1" si="14"/>
        <v>17.97</v>
      </c>
      <c r="S57" s="105">
        <f t="shared" ca="1" si="15"/>
        <v>17716417.870576583</v>
      </c>
      <c r="T57" s="341">
        <v>0</v>
      </c>
      <c r="U57" s="341">
        <v>0.11849999999999999</v>
      </c>
      <c r="V57" s="341">
        <v>0.11849999999999999</v>
      </c>
      <c r="W57" s="341">
        <v>0.11849999999999999</v>
      </c>
      <c r="X57" s="281">
        <f t="shared" si="34"/>
        <v>1.9E-2</v>
      </c>
      <c r="Y57" s="282">
        <f t="shared" si="27"/>
        <v>9.7000000000000003E-2</v>
      </c>
      <c r="AA57" s="391">
        <f t="shared" ca="1" si="16"/>
        <v>0</v>
      </c>
      <c r="AB57" s="400">
        <f t="shared" ca="1" si="8"/>
        <v>0</v>
      </c>
      <c r="AC57" s="258">
        <f t="shared" ca="1" si="8"/>
        <v>0</v>
      </c>
      <c r="AD57" s="258">
        <f t="shared" ca="1" si="8"/>
        <v>0</v>
      </c>
      <c r="AE57" s="402">
        <f t="shared" ca="1" si="8"/>
        <v>0</v>
      </c>
      <c r="AF57" s="402">
        <f t="shared" ca="1" si="8"/>
        <v>0</v>
      </c>
      <c r="AG57" s="404">
        <f t="shared" ca="1" si="17"/>
        <v>0</v>
      </c>
      <c r="AH57" s="415">
        <f t="shared" ca="1" si="18"/>
        <v>0</v>
      </c>
      <c r="AI57" s="415">
        <f t="shared" ca="1" si="19"/>
        <v>0</v>
      </c>
      <c r="AJ57" s="416">
        <f t="shared" ca="1" si="20"/>
        <v>0</v>
      </c>
      <c r="AK57" s="416">
        <f t="shared" ca="1" si="21"/>
        <v>0</v>
      </c>
      <c r="AL57" s="417">
        <f>0</f>
        <v>0</v>
      </c>
      <c r="AM57" s="269">
        <f t="shared" ca="1" si="29"/>
        <v>0</v>
      </c>
      <c r="AN57" s="422">
        <f t="shared" ca="1" si="33"/>
        <v>18.189999999999998</v>
      </c>
      <c r="AO57" s="423">
        <f t="shared" ca="1" si="33"/>
        <v>30526306.859062586</v>
      </c>
      <c r="AP57" s="271">
        <f t="shared" ca="1" si="33"/>
        <v>0</v>
      </c>
      <c r="AQ57" s="271">
        <f t="shared" ca="1" si="33"/>
        <v>0.11849999999999999</v>
      </c>
      <c r="AR57" s="271">
        <f t="shared" ca="1" si="33"/>
        <v>0.11849999999999999</v>
      </c>
      <c r="AS57" s="271">
        <f t="shared" ca="1" si="33"/>
        <v>0.11849999999999999</v>
      </c>
      <c r="AT57" s="271">
        <f t="shared" ca="1" si="33"/>
        <v>1.9E-2</v>
      </c>
      <c r="AU57" s="278">
        <f t="shared" ca="1" si="33"/>
        <v>0.1</v>
      </c>
    </row>
    <row r="58" spans="2:47" ht="13.15" thickBot="1" x14ac:dyDescent="0.4">
      <c r="B58" s="18">
        <f t="shared" si="30"/>
        <v>39</v>
      </c>
      <c r="C58" s="85">
        <f t="shared" ca="1" si="10"/>
        <v>0</v>
      </c>
      <c r="D58" s="85">
        <f t="shared" ca="1" si="2"/>
        <v>0</v>
      </c>
      <c r="E58" s="84">
        <f t="shared" ca="1" si="11"/>
        <v>0</v>
      </c>
      <c r="F58" s="135">
        <f t="shared" ca="1" si="25"/>
        <v>0</v>
      </c>
      <c r="G58" s="409">
        <f t="shared" ca="1" si="4"/>
        <v>0</v>
      </c>
      <c r="H58" s="409">
        <f t="shared" ca="1" si="5"/>
        <v>0</v>
      </c>
      <c r="I58" s="275">
        <f t="shared" ca="1" si="26"/>
        <v>0</v>
      </c>
      <c r="J58" s="275">
        <f t="shared" ca="1" si="12"/>
        <v>0</v>
      </c>
      <c r="K58" s="137">
        <f t="shared" ca="1" si="28"/>
        <v>0</v>
      </c>
      <c r="L58" s="15" t="str">
        <f t="shared" ca="1" si="35"/>
        <v>F</v>
      </c>
      <c r="M58" s="88">
        <f t="shared" ca="1" si="35"/>
        <v>0</v>
      </c>
      <c r="N58" s="88">
        <f t="shared" ca="1" si="35"/>
        <v>0</v>
      </c>
      <c r="O58" s="432">
        <v>1000000000000000</v>
      </c>
      <c r="P58" s="69">
        <v>109575</v>
      </c>
      <c r="Q58" s="3">
        <f t="shared" si="13"/>
        <v>64583</v>
      </c>
      <c r="R58" s="107">
        <f t="shared" ca="1" si="14"/>
        <v>17.97</v>
      </c>
      <c r="S58" s="105">
        <f t="shared" ca="1" si="15"/>
        <v>17716417.870576583</v>
      </c>
      <c r="T58" s="341">
        <v>0</v>
      </c>
      <c r="U58" s="341">
        <v>0.11849999999999999</v>
      </c>
      <c r="V58" s="341">
        <v>0.11849999999999999</v>
      </c>
      <c r="W58" s="341">
        <v>0.11849999999999999</v>
      </c>
      <c r="X58" s="281">
        <f t="shared" si="34"/>
        <v>1.9E-2</v>
      </c>
      <c r="Y58" s="282">
        <f t="shared" si="27"/>
        <v>9.7000000000000003E-2</v>
      </c>
      <c r="AA58" s="391">
        <f t="shared" ca="1" si="16"/>
        <v>0</v>
      </c>
      <c r="AB58" s="400">
        <f t="shared" ca="1" si="8"/>
        <v>0</v>
      </c>
      <c r="AC58" s="258">
        <f t="shared" ca="1" si="8"/>
        <v>0</v>
      </c>
      <c r="AD58" s="258">
        <f t="shared" ca="1" si="8"/>
        <v>0</v>
      </c>
      <c r="AE58" s="402">
        <f t="shared" ca="1" si="8"/>
        <v>0</v>
      </c>
      <c r="AF58" s="402">
        <f t="shared" ca="1" si="8"/>
        <v>0</v>
      </c>
      <c r="AG58" s="404">
        <f t="shared" ca="1" si="17"/>
        <v>0</v>
      </c>
      <c r="AH58" s="415">
        <f t="shared" ca="1" si="18"/>
        <v>0</v>
      </c>
      <c r="AI58" s="415">
        <f t="shared" ca="1" si="19"/>
        <v>0</v>
      </c>
      <c r="AJ58" s="416">
        <f t="shared" ca="1" si="20"/>
        <v>0</v>
      </c>
      <c r="AK58" s="416">
        <f t="shared" ca="1" si="21"/>
        <v>0</v>
      </c>
      <c r="AL58" s="417">
        <f>0</f>
        <v>0</v>
      </c>
      <c r="AM58" s="269">
        <f t="shared" ca="1" si="29"/>
        <v>0</v>
      </c>
      <c r="AN58" s="422">
        <f t="shared" ca="1" si="33"/>
        <v>18.189999999999998</v>
      </c>
      <c r="AO58" s="423">
        <f t="shared" ca="1" si="33"/>
        <v>30526306.859062586</v>
      </c>
      <c r="AP58" s="271">
        <f t="shared" ca="1" si="33"/>
        <v>0</v>
      </c>
      <c r="AQ58" s="271">
        <f t="shared" ca="1" si="33"/>
        <v>0.11849999999999999</v>
      </c>
      <c r="AR58" s="271">
        <f t="shared" ca="1" si="33"/>
        <v>0.11849999999999999</v>
      </c>
      <c r="AS58" s="271">
        <f t="shared" ca="1" si="33"/>
        <v>0.11849999999999999</v>
      </c>
      <c r="AT58" s="271">
        <f t="shared" ca="1" si="33"/>
        <v>1.9E-2</v>
      </c>
      <c r="AU58" s="278">
        <f t="shared" ca="1" si="33"/>
        <v>0.1</v>
      </c>
    </row>
    <row r="59" spans="2:47" ht="13.15" thickBot="1" x14ac:dyDescent="0.4">
      <c r="B59" s="18">
        <f t="shared" si="30"/>
        <v>40</v>
      </c>
      <c r="C59" s="85">
        <f t="shared" ca="1" si="10"/>
        <v>0</v>
      </c>
      <c r="D59" s="85">
        <f t="shared" ca="1" si="2"/>
        <v>0</v>
      </c>
      <c r="E59" s="84">
        <f t="shared" ca="1" si="11"/>
        <v>0</v>
      </c>
      <c r="F59" s="135">
        <f t="shared" ca="1" si="25"/>
        <v>0</v>
      </c>
      <c r="G59" s="409">
        <f t="shared" ca="1" si="4"/>
        <v>0</v>
      </c>
      <c r="H59" s="409">
        <f t="shared" ca="1" si="5"/>
        <v>0</v>
      </c>
      <c r="I59" s="275">
        <f t="shared" ca="1" si="26"/>
        <v>0</v>
      </c>
      <c r="J59" s="275">
        <f t="shared" ca="1" si="12"/>
        <v>0</v>
      </c>
      <c r="K59" s="137">
        <f t="shared" ca="1" si="28"/>
        <v>0</v>
      </c>
      <c r="L59" s="15" t="str">
        <f t="shared" ca="1" si="35"/>
        <v>F</v>
      </c>
      <c r="M59" s="88">
        <f t="shared" ca="1" si="35"/>
        <v>0</v>
      </c>
      <c r="N59" s="88">
        <f t="shared" ca="1" si="35"/>
        <v>0</v>
      </c>
      <c r="O59" s="432">
        <v>1000000000000000</v>
      </c>
      <c r="P59" s="69">
        <v>109575</v>
      </c>
      <c r="Q59" s="3">
        <f t="shared" si="13"/>
        <v>64583</v>
      </c>
      <c r="R59" s="107">
        <f t="shared" ca="1" si="14"/>
        <v>17.97</v>
      </c>
      <c r="S59" s="105">
        <f t="shared" ca="1" si="15"/>
        <v>17716417.870576583</v>
      </c>
      <c r="T59" s="341">
        <v>0</v>
      </c>
      <c r="U59" s="341">
        <v>0.11849999999999999</v>
      </c>
      <c r="V59" s="341">
        <v>0.11849999999999999</v>
      </c>
      <c r="W59" s="341">
        <v>0.11849999999999999</v>
      </c>
      <c r="X59" s="281">
        <f t="shared" si="34"/>
        <v>1.9E-2</v>
      </c>
      <c r="Y59" s="282">
        <f t="shared" si="27"/>
        <v>9.7000000000000003E-2</v>
      </c>
      <c r="AA59" s="391">
        <f t="shared" ca="1" si="16"/>
        <v>0</v>
      </c>
      <c r="AB59" s="400">
        <f t="shared" ca="1" si="8"/>
        <v>0</v>
      </c>
      <c r="AC59" s="258">
        <f t="shared" ca="1" si="8"/>
        <v>0</v>
      </c>
      <c r="AD59" s="258">
        <f t="shared" ca="1" si="8"/>
        <v>0</v>
      </c>
      <c r="AE59" s="402">
        <f t="shared" ca="1" si="8"/>
        <v>0</v>
      </c>
      <c r="AF59" s="402">
        <f t="shared" ca="1" si="8"/>
        <v>0</v>
      </c>
      <c r="AG59" s="404">
        <f t="shared" ca="1" si="17"/>
        <v>0</v>
      </c>
      <c r="AH59" s="415">
        <f t="shared" ca="1" si="18"/>
        <v>0</v>
      </c>
      <c r="AI59" s="415">
        <f t="shared" ca="1" si="19"/>
        <v>0</v>
      </c>
      <c r="AJ59" s="416">
        <f t="shared" ca="1" si="20"/>
        <v>0</v>
      </c>
      <c r="AK59" s="416">
        <f t="shared" ca="1" si="21"/>
        <v>0</v>
      </c>
      <c r="AL59" s="417">
        <f>0</f>
        <v>0</v>
      </c>
      <c r="AM59" s="269">
        <f t="shared" ca="1" si="29"/>
        <v>0</v>
      </c>
      <c r="AN59" s="422">
        <f t="shared" ca="1" si="33"/>
        <v>18.189999999999998</v>
      </c>
      <c r="AO59" s="423">
        <f t="shared" ca="1" si="33"/>
        <v>30526306.859062586</v>
      </c>
      <c r="AP59" s="271">
        <f t="shared" ca="1" si="33"/>
        <v>0</v>
      </c>
      <c r="AQ59" s="271">
        <f t="shared" ca="1" si="33"/>
        <v>0.11849999999999999</v>
      </c>
      <c r="AR59" s="271">
        <f t="shared" ca="1" si="33"/>
        <v>0.11849999999999999</v>
      </c>
      <c r="AS59" s="271">
        <f t="shared" ca="1" si="33"/>
        <v>0.11849999999999999</v>
      </c>
      <c r="AT59" s="271">
        <f t="shared" ca="1" si="33"/>
        <v>1.9E-2</v>
      </c>
      <c r="AU59" s="278">
        <f t="shared" ca="1" si="33"/>
        <v>0.1</v>
      </c>
    </row>
    <row r="60" spans="2:47" ht="13.15" thickBot="1" x14ac:dyDescent="0.4">
      <c r="B60" s="18">
        <f t="shared" si="30"/>
        <v>41</v>
      </c>
      <c r="C60" s="85">
        <f t="shared" ca="1" si="10"/>
        <v>0</v>
      </c>
      <c r="D60" s="85">
        <f t="shared" ca="1" si="2"/>
        <v>0</v>
      </c>
      <c r="E60" s="84">
        <f t="shared" ca="1" si="11"/>
        <v>0</v>
      </c>
      <c r="F60" s="135">
        <f t="shared" ca="1" si="25"/>
        <v>0</v>
      </c>
      <c r="G60" s="409">
        <f t="shared" ca="1" si="4"/>
        <v>0</v>
      </c>
      <c r="H60" s="409">
        <f t="shared" ca="1" si="5"/>
        <v>0</v>
      </c>
      <c r="I60" s="275">
        <f t="shared" ca="1" si="26"/>
        <v>0</v>
      </c>
      <c r="J60" s="275">
        <f t="shared" ca="1" si="12"/>
        <v>0</v>
      </c>
      <c r="K60" s="137">
        <f t="shared" ca="1" si="28"/>
        <v>0</v>
      </c>
      <c r="L60" s="15" t="str">
        <f t="shared" ca="1" si="35"/>
        <v>F</v>
      </c>
      <c r="M60" s="88">
        <f t="shared" ca="1" si="35"/>
        <v>0</v>
      </c>
      <c r="N60" s="88">
        <f t="shared" ca="1" si="35"/>
        <v>0</v>
      </c>
      <c r="O60" s="432">
        <v>1000000000000000</v>
      </c>
      <c r="P60" s="69">
        <v>109575</v>
      </c>
      <c r="Q60" s="3">
        <f t="shared" si="13"/>
        <v>64583</v>
      </c>
      <c r="R60" s="107">
        <f t="shared" ca="1" si="14"/>
        <v>17.97</v>
      </c>
      <c r="S60" s="105">
        <f t="shared" ca="1" si="15"/>
        <v>17716417.870576583</v>
      </c>
      <c r="T60" s="341">
        <v>0</v>
      </c>
      <c r="U60" s="341">
        <v>0.11849999999999999</v>
      </c>
      <c r="V60" s="341">
        <v>0.11849999999999999</v>
      </c>
      <c r="W60" s="341">
        <v>0.11849999999999999</v>
      </c>
      <c r="X60" s="281">
        <f t="shared" si="34"/>
        <v>1.9E-2</v>
      </c>
      <c r="Y60" s="282">
        <f t="shared" si="27"/>
        <v>9.7000000000000003E-2</v>
      </c>
      <c r="AA60" s="391">
        <f t="shared" ca="1" si="16"/>
        <v>0</v>
      </c>
      <c r="AB60" s="400">
        <f t="shared" ca="1" si="8"/>
        <v>0</v>
      </c>
      <c r="AC60" s="258">
        <f t="shared" ca="1" si="8"/>
        <v>0</v>
      </c>
      <c r="AD60" s="258">
        <f t="shared" ca="1" si="8"/>
        <v>0</v>
      </c>
      <c r="AE60" s="402">
        <f t="shared" ca="1" si="8"/>
        <v>0</v>
      </c>
      <c r="AF60" s="402">
        <f t="shared" ca="1" si="8"/>
        <v>0</v>
      </c>
      <c r="AG60" s="404">
        <f t="shared" ca="1" si="17"/>
        <v>0</v>
      </c>
      <c r="AH60" s="415">
        <f t="shared" ca="1" si="18"/>
        <v>0</v>
      </c>
      <c r="AI60" s="415">
        <f t="shared" ca="1" si="19"/>
        <v>0</v>
      </c>
      <c r="AJ60" s="416">
        <f t="shared" ca="1" si="20"/>
        <v>0</v>
      </c>
      <c r="AK60" s="416">
        <f t="shared" ca="1" si="21"/>
        <v>0</v>
      </c>
      <c r="AL60" s="417">
        <f>0</f>
        <v>0</v>
      </c>
      <c r="AM60" s="269">
        <f t="shared" ca="1" si="29"/>
        <v>0</v>
      </c>
      <c r="AN60" s="422">
        <f t="shared" ca="1" si="33"/>
        <v>18.189999999999998</v>
      </c>
      <c r="AO60" s="423">
        <f t="shared" ca="1" si="33"/>
        <v>30526306.859062586</v>
      </c>
      <c r="AP60" s="271">
        <f t="shared" ca="1" si="33"/>
        <v>0</v>
      </c>
      <c r="AQ60" s="271">
        <f t="shared" ca="1" si="33"/>
        <v>0.11849999999999999</v>
      </c>
      <c r="AR60" s="271">
        <f t="shared" ca="1" si="33"/>
        <v>0.11849999999999999</v>
      </c>
      <c r="AS60" s="271">
        <f t="shared" ca="1" si="33"/>
        <v>0.11849999999999999</v>
      </c>
      <c r="AT60" s="271">
        <f t="shared" ca="1" si="33"/>
        <v>1.9E-2</v>
      </c>
      <c r="AU60" s="278">
        <f t="shared" ca="1" si="33"/>
        <v>0.1</v>
      </c>
    </row>
    <row r="61" spans="2:47" ht="13.15" thickBot="1" x14ac:dyDescent="0.4">
      <c r="B61" s="18">
        <f t="shared" si="30"/>
        <v>42</v>
      </c>
      <c r="C61" s="85">
        <f t="shared" ca="1" si="10"/>
        <v>0</v>
      </c>
      <c r="D61" s="85">
        <f t="shared" ca="1" si="2"/>
        <v>0</v>
      </c>
      <c r="E61" s="84">
        <f t="shared" ca="1" si="11"/>
        <v>0</v>
      </c>
      <c r="F61" s="135">
        <f t="shared" ca="1" si="25"/>
        <v>0</v>
      </c>
      <c r="G61" s="409">
        <f t="shared" ca="1" si="4"/>
        <v>0</v>
      </c>
      <c r="H61" s="409">
        <f t="shared" ca="1" si="5"/>
        <v>0</v>
      </c>
      <c r="I61" s="275">
        <f t="shared" ca="1" si="26"/>
        <v>0</v>
      </c>
      <c r="J61" s="275">
        <f t="shared" ca="1" si="12"/>
        <v>0</v>
      </c>
      <c r="K61" s="137">
        <f t="shared" ca="1" si="28"/>
        <v>0</v>
      </c>
      <c r="L61" s="15" t="str">
        <f t="shared" ca="1" si="35"/>
        <v>F</v>
      </c>
      <c r="M61" s="88">
        <f t="shared" ca="1" si="35"/>
        <v>0</v>
      </c>
      <c r="N61" s="88">
        <f t="shared" ca="1" si="35"/>
        <v>0</v>
      </c>
      <c r="O61" s="432">
        <v>1000000000000000</v>
      </c>
      <c r="P61" s="69">
        <v>109575</v>
      </c>
      <c r="Q61" s="3">
        <f t="shared" si="13"/>
        <v>64583</v>
      </c>
      <c r="R61" s="107">
        <f t="shared" ca="1" si="14"/>
        <v>17.97</v>
      </c>
      <c r="S61" s="105">
        <f t="shared" ca="1" si="15"/>
        <v>17716417.870576583</v>
      </c>
      <c r="T61" s="341">
        <v>0</v>
      </c>
      <c r="U61" s="341">
        <v>0.11849999999999999</v>
      </c>
      <c r="V61" s="341">
        <v>0.11849999999999999</v>
      </c>
      <c r="W61" s="341">
        <v>0.11849999999999999</v>
      </c>
      <c r="X61" s="281">
        <f t="shared" si="34"/>
        <v>1.9E-2</v>
      </c>
      <c r="Y61" s="282">
        <f t="shared" si="27"/>
        <v>9.7000000000000003E-2</v>
      </c>
      <c r="AA61" s="391">
        <f t="shared" ca="1" si="16"/>
        <v>0</v>
      </c>
      <c r="AB61" s="400">
        <f t="shared" ca="1" si="8"/>
        <v>0</v>
      </c>
      <c r="AC61" s="258">
        <f t="shared" ca="1" si="8"/>
        <v>0</v>
      </c>
      <c r="AD61" s="258">
        <f t="shared" ca="1" si="8"/>
        <v>0</v>
      </c>
      <c r="AE61" s="402">
        <f t="shared" ca="1" si="8"/>
        <v>0</v>
      </c>
      <c r="AF61" s="402">
        <f t="shared" ca="1" si="8"/>
        <v>0</v>
      </c>
      <c r="AG61" s="404">
        <f t="shared" ca="1" si="17"/>
        <v>0</v>
      </c>
      <c r="AH61" s="415">
        <f t="shared" ca="1" si="18"/>
        <v>0</v>
      </c>
      <c r="AI61" s="415">
        <f t="shared" ca="1" si="19"/>
        <v>0</v>
      </c>
      <c r="AJ61" s="416">
        <f t="shared" ca="1" si="20"/>
        <v>0</v>
      </c>
      <c r="AK61" s="416">
        <f t="shared" ca="1" si="21"/>
        <v>0</v>
      </c>
      <c r="AL61" s="417">
        <f>0</f>
        <v>0</v>
      </c>
      <c r="AM61" s="269">
        <f t="shared" ca="1" si="29"/>
        <v>0</v>
      </c>
      <c r="AN61" s="422">
        <f t="shared" ca="1" si="33"/>
        <v>18.189999999999998</v>
      </c>
      <c r="AO61" s="423">
        <f t="shared" ca="1" si="33"/>
        <v>30526306.859062586</v>
      </c>
      <c r="AP61" s="271">
        <f t="shared" ca="1" si="33"/>
        <v>0</v>
      </c>
      <c r="AQ61" s="271">
        <f t="shared" ca="1" si="33"/>
        <v>0.11849999999999999</v>
      </c>
      <c r="AR61" s="271">
        <f t="shared" ca="1" si="33"/>
        <v>0.11849999999999999</v>
      </c>
      <c r="AS61" s="271">
        <f t="shared" ca="1" si="33"/>
        <v>0.11849999999999999</v>
      </c>
      <c r="AT61" s="271">
        <f t="shared" ca="1" si="33"/>
        <v>1.9E-2</v>
      </c>
      <c r="AU61" s="278">
        <f t="shared" ca="1" si="33"/>
        <v>0.1</v>
      </c>
    </row>
    <row r="62" spans="2:47" ht="13.15" thickBot="1" x14ac:dyDescent="0.4">
      <c r="B62" s="18">
        <f t="shared" si="30"/>
        <v>43</v>
      </c>
      <c r="C62" s="85">
        <f t="shared" ca="1" si="10"/>
        <v>0</v>
      </c>
      <c r="D62" s="85">
        <f t="shared" ca="1" si="2"/>
        <v>0</v>
      </c>
      <c r="E62" s="84">
        <f t="shared" ca="1" si="11"/>
        <v>0</v>
      </c>
      <c r="F62" s="135">
        <f t="shared" ca="1" si="25"/>
        <v>0</v>
      </c>
      <c r="G62" s="409">
        <f t="shared" ca="1" si="4"/>
        <v>0</v>
      </c>
      <c r="H62" s="409">
        <f t="shared" ca="1" si="5"/>
        <v>0</v>
      </c>
      <c r="I62" s="275">
        <f t="shared" ca="1" si="26"/>
        <v>0</v>
      </c>
      <c r="J62" s="275">
        <f t="shared" ca="1" si="12"/>
        <v>0</v>
      </c>
      <c r="K62" s="137">
        <f t="shared" ca="1" si="28"/>
        <v>0</v>
      </c>
      <c r="L62" s="15" t="str">
        <f t="shared" ca="1" si="35"/>
        <v>F</v>
      </c>
      <c r="M62" s="88">
        <f t="shared" ca="1" si="35"/>
        <v>0</v>
      </c>
      <c r="N62" s="88">
        <f t="shared" ca="1" si="35"/>
        <v>0</v>
      </c>
      <c r="O62" s="432">
        <v>1000000000000000</v>
      </c>
      <c r="P62" s="69">
        <v>109575</v>
      </c>
      <c r="Q62" s="3">
        <f t="shared" si="13"/>
        <v>64583</v>
      </c>
      <c r="R62" s="107">
        <f t="shared" ca="1" si="14"/>
        <v>17.97</v>
      </c>
      <c r="S62" s="105">
        <f t="shared" ca="1" si="15"/>
        <v>17716417.870576583</v>
      </c>
      <c r="T62" s="341">
        <v>0</v>
      </c>
      <c r="U62" s="341">
        <v>0.11849999999999999</v>
      </c>
      <c r="V62" s="341">
        <v>0.11849999999999999</v>
      </c>
      <c r="W62" s="341">
        <v>0.11849999999999999</v>
      </c>
      <c r="X62" s="281">
        <f t="shared" si="34"/>
        <v>1.9E-2</v>
      </c>
      <c r="Y62" s="282">
        <f t="shared" si="27"/>
        <v>9.7000000000000003E-2</v>
      </c>
      <c r="AA62" s="391">
        <f t="shared" ca="1" si="16"/>
        <v>0</v>
      </c>
      <c r="AB62" s="400">
        <f t="shared" ca="1" si="8"/>
        <v>0</v>
      </c>
      <c r="AC62" s="258">
        <f t="shared" ca="1" si="8"/>
        <v>0</v>
      </c>
      <c r="AD62" s="258">
        <f t="shared" ca="1" si="8"/>
        <v>0</v>
      </c>
      <c r="AE62" s="402">
        <f t="shared" ca="1" si="8"/>
        <v>0</v>
      </c>
      <c r="AF62" s="402">
        <f t="shared" ca="1" si="8"/>
        <v>0</v>
      </c>
      <c r="AG62" s="404">
        <f t="shared" ca="1" si="17"/>
        <v>0</v>
      </c>
      <c r="AH62" s="415">
        <f t="shared" ca="1" si="18"/>
        <v>0</v>
      </c>
      <c r="AI62" s="415">
        <f t="shared" ca="1" si="19"/>
        <v>0</v>
      </c>
      <c r="AJ62" s="416">
        <f t="shared" ca="1" si="20"/>
        <v>0</v>
      </c>
      <c r="AK62" s="416">
        <f t="shared" ca="1" si="21"/>
        <v>0</v>
      </c>
      <c r="AL62" s="417">
        <f>0</f>
        <v>0</v>
      </c>
      <c r="AM62" s="269">
        <f t="shared" ca="1" si="29"/>
        <v>0</v>
      </c>
      <c r="AN62" s="422">
        <f t="shared" ca="1" si="33"/>
        <v>18.189999999999998</v>
      </c>
      <c r="AO62" s="423">
        <f t="shared" ca="1" si="33"/>
        <v>30526306.859062586</v>
      </c>
      <c r="AP62" s="271">
        <f t="shared" ca="1" si="33"/>
        <v>0</v>
      </c>
      <c r="AQ62" s="271">
        <f t="shared" ca="1" si="33"/>
        <v>0.11849999999999999</v>
      </c>
      <c r="AR62" s="271">
        <f t="shared" ca="1" si="33"/>
        <v>0.11849999999999999</v>
      </c>
      <c r="AS62" s="271">
        <f t="shared" ca="1" si="33"/>
        <v>0.11849999999999999</v>
      </c>
      <c r="AT62" s="271">
        <f t="shared" ca="1" si="33"/>
        <v>1.9E-2</v>
      </c>
      <c r="AU62" s="278">
        <f t="shared" ca="1" si="33"/>
        <v>0.1</v>
      </c>
    </row>
    <row r="63" spans="2:47" ht="13.15" thickBot="1" x14ac:dyDescent="0.4">
      <c r="B63" s="18">
        <f t="shared" si="30"/>
        <v>44</v>
      </c>
      <c r="C63" s="85">
        <f t="shared" ca="1" si="10"/>
        <v>0</v>
      </c>
      <c r="D63" s="85">
        <f t="shared" ca="1" si="2"/>
        <v>0</v>
      </c>
      <c r="E63" s="84">
        <f t="shared" ca="1" si="11"/>
        <v>0</v>
      </c>
      <c r="F63" s="135">
        <f t="shared" ca="1" si="25"/>
        <v>0</v>
      </c>
      <c r="G63" s="409">
        <f t="shared" ca="1" si="4"/>
        <v>0</v>
      </c>
      <c r="H63" s="409">
        <f t="shared" ca="1" si="5"/>
        <v>0</v>
      </c>
      <c r="I63" s="275">
        <f t="shared" ca="1" si="26"/>
        <v>0</v>
      </c>
      <c r="J63" s="275">
        <f t="shared" ca="1" si="12"/>
        <v>0</v>
      </c>
      <c r="K63" s="137">
        <f t="shared" ca="1" si="28"/>
        <v>0</v>
      </c>
      <c r="L63" s="15" t="str">
        <f t="shared" ca="1" si="35"/>
        <v>F</v>
      </c>
      <c r="M63" s="88">
        <f t="shared" ca="1" si="35"/>
        <v>0</v>
      </c>
      <c r="N63" s="88">
        <f t="shared" ca="1" si="35"/>
        <v>0</v>
      </c>
      <c r="O63" s="432">
        <v>1000000000000000</v>
      </c>
      <c r="P63" s="69">
        <v>109575</v>
      </c>
      <c r="Q63" s="3">
        <f t="shared" si="13"/>
        <v>64583</v>
      </c>
      <c r="R63" s="107">
        <f t="shared" ca="1" si="14"/>
        <v>17.97</v>
      </c>
      <c r="S63" s="105">
        <f t="shared" ca="1" si="15"/>
        <v>17716417.870576583</v>
      </c>
      <c r="T63" s="341">
        <v>0</v>
      </c>
      <c r="U63" s="341">
        <v>0.11849999999999999</v>
      </c>
      <c r="V63" s="341">
        <v>0.11849999999999999</v>
      </c>
      <c r="W63" s="341">
        <v>0.11849999999999999</v>
      </c>
      <c r="X63" s="281">
        <f t="shared" si="34"/>
        <v>1.9E-2</v>
      </c>
      <c r="Y63" s="282">
        <f t="shared" si="27"/>
        <v>9.7000000000000003E-2</v>
      </c>
      <c r="AA63" s="391">
        <f t="shared" ca="1" si="16"/>
        <v>0</v>
      </c>
      <c r="AB63" s="400">
        <f t="shared" ca="1" si="8"/>
        <v>0</v>
      </c>
      <c r="AC63" s="258">
        <f t="shared" ca="1" si="8"/>
        <v>0</v>
      </c>
      <c r="AD63" s="258">
        <f t="shared" ca="1" si="8"/>
        <v>0</v>
      </c>
      <c r="AE63" s="402">
        <f t="shared" ca="1" si="8"/>
        <v>0</v>
      </c>
      <c r="AF63" s="402">
        <f t="shared" ca="1" si="8"/>
        <v>0</v>
      </c>
      <c r="AG63" s="404">
        <f t="shared" ca="1" si="17"/>
        <v>0</v>
      </c>
      <c r="AH63" s="415">
        <f t="shared" ca="1" si="18"/>
        <v>0</v>
      </c>
      <c r="AI63" s="415">
        <f t="shared" ca="1" si="19"/>
        <v>0</v>
      </c>
      <c r="AJ63" s="416">
        <f t="shared" ca="1" si="20"/>
        <v>0</v>
      </c>
      <c r="AK63" s="416">
        <f t="shared" ca="1" si="21"/>
        <v>0</v>
      </c>
      <c r="AL63" s="417">
        <f>0</f>
        <v>0</v>
      </c>
      <c r="AM63" s="269">
        <f t="shared" ca="1" si="29"/>
        <v>0</v>
      </c>
      <c r="AN63" s="422">
        <f t="shared" ca="1" si="33"/>
        <v>18.189999999999998</v>
      </c>
      <c r="AO63" s="423">
        <f t="shared" ca="1" si="33"/>
        <v>30526306.859062586</v>
      </c>
      <c r="AP63" s="271">
        <f t="shared" ca="1" si="33"/>
        <v>0</v>
      </c>
      <c r="AQ63" s="271">
        <f t="shared" ca="1" si="33"/>
        <v>0.11849999999999999</v>
      </c>
      <c r="AR63" s="271">
        <f t="shared" ca="1" si="33"/>
        <v>0.11849999999999999</v>
      </c>
      <c r="AS63" s="271">
        <f t="shared" ca="1" si="33"/>
        <v>0.11849999999999999</v>
      </c>
      <c r="AT63" s="271">
        <f t="shared" ca="1" si="33"/>
        <v>1.9E-2</v>
      </c>
      <c r="AU63" s="278">
        <f t="shared" ca="1" si="33"/>
        <v>0.1</v>
      </c>
    </row>
    <row r="64" spans="2:47" ht="13.15" thickBot="1" x14ac:dyDescent="0.4">
      <c r="B64" s="18">
        <f t="shared" si="30"/>
        <v>45</v>
      </c>
      <c r="C64" s="85">
        <f t="shared" ca="1" si="10"/>
        <v>0</v>
      </c>
      <c r="D64" s="85">
        <f t="shared" ca="1" si="2"/>
        <v>0</v>
      </c>
      <c r="E64" s="84">
        <f t="shared" ca="1" si="11"/>
        <v>0</v>
      </c>
      <c r="F64" s="135">
        <f t="shared" ca="1" si="25"/>
        <v>0</v>
      </c>
      <c r="G64" s="409">
        <f t="shared" ca="1" si="4"/>
        <v>0</v>
      </c>
      <c r="H64" s="409">
        <f t="shared" ca="1" si="5"/>
        <v>0</v>
      </c>
      <c r="I64" s="275">
        <f t="shared" ca="1" si="26"/>
        <v>0</v>
      </c>
      <c r="J64" s="275">
        <f t="shared" ca="1" si="12"/>
        <v>0</v>
      </c>
      <c r="K64" s="137">
        <f t="shared" ca="1" si="28"/>
        <v>0</v>
      </c>
      <c r="L64" s="15" t="str">
        <f t="shared" ca="1" si="35"/>
        <v>F</v>
      </c>
      <c r="M64" s="88">
        <f t="shared" ca="1" si="35"/>
        <v>0</v>
      </c>
      <c r="N64" s="88">
        <f t="shared" ca="1" si="35"/>
        <v>0</v>
      </c>
      <c r="O64" s="432">
        <v>1000000000000000</v>
      </c>
      <c r="P64" s="69">
        <v>109575</v>
      </c>
      <c r="Q64" s="3">
        <f t="shared" si="13"/>
        <v>64583</v>
      </c>
      <c r="R64" s="107">
        <f t="shared" ca="1" si="14"/>
        <v>17.97</v>
      </c>
      <c r="S64" s="105">
        <f t="shared" ca="1" si="15"/>
        <v>17716417.870576583</v>
      </c>
      <c r="T64" s="341">
        <v>0</v>
      </c>
      <c r="U64" s="341">
        <v>0.11849999999999999</v>
      </c>
      <c r="V64" s="341">
        <v>0.11849999999999999</v>
      </c>
      <c r="W64" s="341">
        <v>0.11849999999999999</v>
      </c>
      <c r="X64" s="281">
        <f t="shared" si="34"/>
        <v>1.9E-2</v>
      </c>
      <c r="Y64" s="282">
        <f t="shared" si="27"/>
        <v>9.7000000000000003E-2</v>
      </c>
      <c r="AA64" s="391">
        <f t="shared" ca="1" si="16"/>
        <v>0</v>
      </c>
      <c r="AB64" s="400">
        <f t="shared" ca="1" si="8"/>
        <v>0</v>
      </c>
      <c r="AC64" s="258">
        <f t="shared" ca="1" si="8"/>
        <v>0</v>
      </c>
      <c r="AD64" s="258">
        <f t="shared" ca="1" si="8"/>
        <v>0</v>
      </c>
      <c r="AE64" s="402">
        <f t="shared" ca="1" si="8"/>
        <v>0</v>
      </c>
      <c r="AF64" s="402">
        <f t="shared" ca="1" si="8"/>
        <v>0</v>
      </c>
      <c r="AG64" s="404">
        <f t="shared" ca="1" si="17"/>
        <v>0</v>
      </c>
      <c r="AH64" s="415">
        <f t="shared" ca="1" si="18"/>
        <v>0</v>
      </c>
      <c r="AI64" s="415">
        <f t="shared" ca="1" si="19"/>
        <v>0</v>
      </c>
      <c r="AJ64" s="416">
        <f t="shared" ca="1" si="20"/>
        <v>0</v>
      </c>
      <c r="AK64" s="416">
        <f t="shared" ca="1" si="21"/>
        <v>0</v>
      </c>
      <c r="AL64" s="417">
        <f>0</f>
        <v>0</v>
      </c>
      <c r="AM64" s="269">
        <f t="shared" ca="1" si="29"/>
        <v>0</v>
      </c>
      <c r="AN64" s="422">
        <f t="shared" ca="1" si="33"/>
        <v>18.189999999999998</v>
      </c>
      <c r="AO64" s="423">
        <f t="shared" ca="1" si="33"/>
        <v>30526306.859062586</v>
      </c>
      <c r="AP64" s="271">
        <f t="shared" ca="1" si="33"/>
        <v>0</v>
      </c>
      <c r="AQ64" s="271">
        <f t="shared" ca="1" si="33"/>
        <v>0.11849999999999999</v>
      </c>
      <c r="AR64" s="271">
        <f t="shared" ca="1" si="33"/>
        <v>0.11849999999999999</v>
      </c>
      <c r="AS64" s="271">
        <f t="shared" ca="1" si="33"/>
        <v>0.11849999999999999</v>
      </c>
      <c r="AT64" s="271">
        <f t="shared" ca="1" si="33"/>
        <v>1.9E-2</v>
      </c>
      <c r="AU64" s="278">
        <f t="shared" ca="1" si="33"/>
        <v>0.1</v>
      </c>
    </row>
    <row r="65" spans="2:47" ht="13.15" thickBot="1" x14ac:dyDescent="0.4">
      <c r="B65" s="18">
        <f t="shared" si="30"/>
        <v>46</v>
      </c>
      <c r="C65" s="85">
        <f t="shared" ca="1" si="10"/>
        <v>0</v>
      </c>
      <c r="D65" s="85">
        <f t="shared" ca="1" si="2"/>
        <v>0</v>
      </c>
      <c r="E65" s="84">
        <f t="shared" ca="1" si="11"/>
        <v>0</v>
      </c>
      <c r="F65" s="135">
        <f t="shared" ca="1" si="25"/>
        <v>0</v>
      </c>
      <c r="G65" s="409">
        <f t="shared" ca="1" si="4"/>
        <v>0</v>
      </c>
      <c r="H65" s="409">
        <f t="shared" ca="1" si="5"/>
        <v>0</v>
      </c>
      <c r="I65" s="275">
        <f t="shared" ca="1" si="26"/>
        <v>0</v>
      </c>
      <c r="J65" s="275">
        <f t="shared" ca="1" si="12"/>
        <v>0</v>
      </c>
      <c r="K65" s="137">
        <f t="shared" ca="1" si="28"/>
        <v>0</v>
      </c>
      <c r="L65" s="15" t="str">
        <f t="shared" ca="1" si="35"/>
        <v>F</v>
      </c>
      <c r="M65" s="88">
        <f t="shared" ca="1" si="35"/>
        <v>0</v>
      </c>
      <c r="N65" s="88">
        <f t="shared" ca="1" si="35"/>
        <v>0</v>
      </c>
      <c r="O65" s="432">
        <v>1000000000000000</v>
      </c>
      <c r="P65" s="69">
        <v>109575</v>
      </c>
      <c r="Q65" s="3">
        <f t="shared" si="13"/>
        <v>64583</v>
      </c>
      <c r="R65" s="107">
        <f t="shared" ca="1" si="14"/>
        <v>17.97</v>
      </c>
      <c r="S65" s="105">
        <f t="shared" ca="1" si="15"/>
        <v>17716417.870576583</v>
      </c>
      <c r="T65" s="341">
        <v>0</v>
      </c>
      <c r="U65" s="341">
        <v>0.11849999999999999</v>
      </c>
      <c r="V65" s="341">
        <v>0.11849999999999999</v>
      </c>
      <c r="W65" s="341">
        <v>0.11849999999999999</v>
      </c>
      <c r="X65" s="281">
        <f t="shared" si="34"/>
        <v>1.9E-2</v>
      </c>
      <c r="Y65" s="282">
        <f t="shared" si="27"/>
        <v>9.7000000000000003E-2</v>
      </c>
      <c r="AA65" s="391">
        <f t="shared" ca="1" si="16"/>
        <v>0</v>
      </c>
      <c r="AB65" s="400">
        <f t="shared" ca="1" si="8"/>
        <v>0</v>
      </c>
      <c r="AC65" s="258">
        <f t="shared" ca="1" si="8"/>
        <v>0</v>
      </c>
      <c r="AD65" s="258">
        <f t="shared" ca="1" si="8"/>
        <v>0</v>
      </c>
      <c r="AE65" s="402">
        <f t="shared" ca="1" si="8"/>
        <v>0</v>
      </c>
      <c r="AF65" s="402">
        <f t="shared" ca="1" si="8"/>
        <v>0</v>
      </c>
      <c r="AG65" s="404">
        <f t="shared" ca="1" si="17"/>
        <v>0</v>
      </c>
      <c r="AH65" s="415">
        <f t="shared" ca="1" si="18"/>
        <v>0</v>
      </c>
      <c r="AI65" s="415">
        <f t="shared" ca="1" si="19"/>
        <v>0</v>
      </c>
      <c r="AJ65" s="416">
        <f t="shared" ca="1" si="20"/>
        <v>0</v>
      </c>
      <c r="AK65" s="416">
        <f t="shared" ca="1" si="21"/>
        <v>0</v>
      </c>
      <c r="AL65" s="417">
        <f>0</f>
        <v>0</v>
      </c>
      <c r="AM65" s="269">
        <f t="shared" ca="1" si="29"/>
        <v>0</v>
      </c>
      <c r="AN65" s="422">
        <f t="shared" ca="1" si="33"/>
        <v>18.189999999999998</v>
      </c>
      <c r="AO65" s="423">
        <f t="shared" ca="1" si="33"/>
        <v>30526306.859062586</v>
      </c>
      <c r="AP65" s="271">
        <f t="shared" ca="1" si="33"/>
        <v>0</v>
      </c>
      <c r="AQ65" s="271">
        <f t="shared" ca="1" si="33"/>
        <v>0.11849999999999999</v>
      </c>
      <c r="AR65" s="271">
        <f t="shared" ca="1" si="33"/>
        <v>0.11849999999999999</v>
      </c>
      <c r="AS65" s="271">
        <f t="shared" ca="1" si="33"/>
        <v>0.11849999999999999</v>
      </c>
      <c r="AT65" s="271">
        <f t="shared" ca="1" si="33"/>
        <v>1.9E-2</v>
      </c>
      <c r="AU65" s="278">
        <f t="shared" ca="1" si="33"/>
        <v>0.1</v>
      </c>
    </row>
    <row r="66" spans="2:47" ht="13.15" thickBot="1" x14ac:dyDescent="0.4">
      <c r="B66" s="18">
        <f t="shared" si="30"/>
        <v>47</v>
      </c>
      <c r="C66" s="85">
        <f t="shared" ca="1" si="10"/>
        <v>0</v>
      </c>
      <c r="D66" s="85">
        <f t="shared" ca="1" si="2"/>
        <v>0</v>
      </c>
      <c r="E66" s="84">
        <f t="shared" ca="1" si="11"/>
        <v>0</v>
      </c>
      <c r="F66" s="135">
        <f t="shared" ca="1" si="25"/>
        <v>0</v>
      </c>
      <c r="G66" s="409">
        <f t="shared" ca="1" si="4"/>
        <v>0</v>
      </c>
      <c r="H66" s="409">
        <f t="shared" ca="1" si="5"/>
        <v>0</v>
      </c>
      <c r="I66" s="275">
        <f t="shared" ca="1" si="26"/>
        <v>0</v>
      </c>
      <c r="J66" s="275">
        <f t="shared" ca="1" si="12"/>
        <v>0</v>
      </c>
      <c r="K66" s="137">
        <f t="shared" ca="1" si="28"/>
        <v>0</v>
      </c>
      <c r="L66" s="15" t="str">
        <f t="shared" ca="1" si="35"/>
        <v>F</v>
      </c>
      <c r="M66" s="88">
        <f t="shared" ca="1" si="35"/>
        <v>0</v>
      </c>
      <c r="N66" s="88">
        <f t="shared" ca="1" si="35"/>
        <v>0</v>
      </c>
      <c r="O66" s="432">
        <v>1000000000000000</v>
      </c>
      <c r="P66" s="69">
        <v>109575</v>
      </c>
      <c r="Q66" s="3">
        <f t="shared" si="13"/>
        <v>64583</v>
      </c>
      <c r="R66" s="107">
        <f t="shared" ca="1" si="14"/>
        <v>17.97</v>
      </c>
      <c r="S66" s="105">
        <f t="shared" ca="1" si="15"/>
        <v>17716417.870576583</v>
      </c>
      <c r="T66" s="341">
        <v>0</v>
      </c>
      <c r="U66" s="341">
        <v>0.11849999999999999</v>
      </c>
      <c r="V66" s="341">
        <v>0.11849999999999999</v>
      </c>
      <c r="W66" s="341">
        <v>0.11849999999999999</v>
      </c>
      <c r="X66" s="281">
        <f t="shared" si="34"/>
        <v>1.9E-2</v>
      </c>
      <c r="Y66" s="282">
        <f t="shared" si="27"/>
        <v>9.7000000000000003E-2</v>
      </c>
      <c r="AA66" s="391">
        <f t="shared" ca="1" si="16"/>
        <v>0</v>
      </c>
      <c r="AB66" s="400">
        <f t="shared" ca="1" si="8"/>
        <v>0</v>
      </c>
      <c r="AC66" s="258">
        <f t="shared" ca="1" si="8"/>
        <v>0</v>
      </c>
      <c r="AD66" s="258">
        <f t="shared" ca="1" si="8"/>
        <v>0</v>
      </c>
      <c r="AE66" s="402">
        <f t="shared" ca="1" si="8"/>
        <v>0</v>
      </c>
      <c r="AF66" s="402">
        <f t="shared" ca="1" si="8"/>
        <v>0</v>
      </c>
      <c r="AG66" s="404">
        <f t="shared" ca="1" si="17"/>
        <v>0</v>
      </c>
      <c r="AH66" s="415">
        <f t="shared" ca="1" si="18"/>
        <v>0</v>
      </c>
      <c r="AI66" s="415">
        <f t="shared" ca="1" si="19"/>
        <v>0</v>
      </c>
      <c r="AJ66" s="416">
        <f t="shared" ca="1" si="20"/>
        <v>0</v>
      </c>
      <c r="AK66" s="416">
        <f t="shared" ca="1" si="21"/>
        <v>0</v>
      </c>
      <c r="AL66" s="417">
        <f>0</f>
        <v>0</v>
      </c>
      <c r="AM66" s="269">
        <f t="shared" ca="1" si="29"/>
        <v>0</v>
      </c>
      <c r="AN66" s="422">
        <f t="shared" ca="1" si="33"/>
        <v>18.189999999999998</v>
      </c>
      <c r="AO66" s="423">
        <f t="shared" ca="1" si="33"/>
        <v>30526306.859062586</v>
      </c>
      <c r="AP66" s="271">
        <f t="shared" ca="1" si="33"/>
        <v>0</v>
      </c>
      <c r="AQ66" s="271">
        <f t="shared" ca="1" si="33"/>
        <v>0.11849999999999999</v>
      </c>
      <c r="AR66" s="271">
        <f t="shared" ca="1" si="33"/>
        <v>0.11849999999999999</v>
      </c>
      <c r="AS66" s="271">
        <f t="shared" ca="1" si="33"/>
        <v>0.11849999999999999</v>
      </c>
      <c r="AT66" s="271">
        <f t="shared" ca="1" si="33"/>
        <v>1.9E-2</v>
      </c>
      <c r="AU66" s="278">
        <f t="shared" ca="1" si="33"/>
        <v>0.1</v>
      </c>
    </row>
    <row r="67" spans="2:47" ht="13.15" thickBot="1" x14ac:dyDescent="0.4">
      <c r="B67" s="18">
        <f t="shared" si="30"/>
        <v>48</v>
      </c>
      <c r="C67" s="85">
        <f t="shared" ca="1" si="10"/>
        <v>0</v>
      </c>
      <c r="D67" s="85">
        <f t="shared" ca="1" si="2"/>
        <v>0</v>
      </c>
      <c r="E67" s="84">
        <f t="shared" ca="1" si="11"/>
        <v>0</v>
      </c>
      <c r="F67" s="135">
        <f t="shared" ca="1" si="25"/>
        <v>0</v>
      </c>
      <c r="G67" s="409">
        <f t="shared" ca="1" si="4"/>
        <v>0</v>
      </c>
      <c r="H67" s="409">
        <f t="shared" ca="1" si="5"/>
        <v>0</v>
      </c>
      <c r="I67" s="275">
        <f t="shared" ca="1" si="26"/>
        <v>0</v>
      </c>
      <c r="J67" s="275">
        <f t="shared" ca="1" si="12"/>
        <v>0</v>
      </c>
      <c r="K67" s="137">
        <f t="shared" ca="1" si="28"/>
        <v>0</v>
      </c>
      <c r="L67" s="15" t="str">
        <f t="shared" ca="1" si="35"/>
        <v>F</v>
      </c>
      <c r="M67" s="88">
        <f t="shared" ca="1" si="35"/>
        <v>0</v>
      </c>
      <c r="N67" s="88">
        <f t="shared" ca="1" si="35"/>
        <v>0</v>
      </c>
      <c r="O67" s="432">
        <v>1000000000000000</v>
      </c>
      <c r="P67" s="69">
        <v>109575</v>
      </c>
      <c r="Q67" s="3">
        <f t="shared" si="13"/>
        <v>64583</v>
      </c>
      <c r="R67" s="107">
        <f t="shared" ca="1" si="14"/>
        <v>17.97</v>
      </c>
      <c r="S67" s="105">
        <f t="shared" ca="1" si="15"/>
        <v>17716417.870576583</v>
      </c>
      <c r="T67" s="341">
        <v>0</v>
      </c>
      <c r="U67" s="341">
        <v>0.11849999999999999</v>
      </c>
      <c r="V67" s="341">
        <v>0.11849999999999999</v>
      </c>
      <c r="W67" s="341">
        <v>0.11849999999999999</v>
      </c>
      <c r="X67" s="281">
        <f t="shared" si="34"/>
        <v>1.9E-2</v>
      </c>
      <c r="Y67" s="282">
        <f t="shared" si="27"/>
        <v>9.7000000000000003E-2</v>
      </c>
      <c r="AA67" s="391">
        <f t="shared" ca="1" si="16"/>
        <v>0</v>
      </c>
      <c r="AB67" s="400">
        <f t="shared" ca="1" si="8"/>
        <v>0</v>
      </c>
      <c r="AC67" s="258">
        <f t="shared" ca="1" si="8"/>
        <v>0</v>
      </c>
      <c r="AD67" s="258">
        <f t="shared" ca="1" si="8"/>
        <v>0</v>
      </c>
      <c r="AE67" s="402">
        <f t="shared" ca="1" si="8"/>
        <v>0</v>
      </c>
      <c r="AF67" s="402">
        <f t="shared" ca="1" si="8"/>
        <v>0</v>
      </c>
      <c r="AG67" s="404">
        <f t="shared" ca="1" si="17"/>
        <v>0</v>
      </c>
      <c r="AH67" s="415">
        <f t="shared" ca="1" si="18"/>
        <v>0</v>
      </c>
      <c r="AI67" s="415">
        <f t="shared" ca="1" si="19"/>
        <v>0</v>
      </c>
      <c r="AJ67" s="416">
        <f t="shared" ca="1" si="20"/>
        <v>0</v>
      </c>
      <c r="AK67" s="416">
        <f t="shared" ca="1" si="21"/>
        <v>0</v>
      </c>
      <c r="AL67" s="417">
        <f>0</f>
        <v>0</v>
      </c>
      <c r="AM67" s="269">
        <f t="shared" ca="1" si="29"/>
        <v>0</v>
      </c>
      <c r="AN67" s="422">
        <f t="shared" ca="1" si="33"/>
        <v>18.189999999999998</v>
      </c>
      <c r="AO67" s="423">
        <f t="shared" ca="1" si="33"/>
        <v>30526306.859062586</v>
      </c>
      <c r="AP67" s="271">
        <f t="shared" ca="1" si="33"/>
        <v>0</v>
      </c>
      <c r="AQ67" s="271">
        <f t="shared" ca="1" si="33"/>
        <v>0.11849999999999999</v>
      </c>
      <c r="AR67" s="271">
        <f t="shared" ca="1" si="33"/>
        <v>0.11849999999999999</v>
      </c>
      <c r="AS67" s="271">
        <f t="shared" ca="1" si="33"/>
        <v>0.11849999999999999</v>
      </c>
      <c r="AT67" s="271">
        <f t="shared" ca="1" si="33"/>
        <v>1.9E-2</v>
      </c>
      <c r="AU67" s="278">
        <f t="shared" ca="1" si="33"/>
        <v>0.1</v>
      </c>
    </row>
    <row r="68" spans="2:47" ht="13.15" thickBot="1" x14ac:dyDescent="0.4">
      <c r="B68" s="18">
        <f t="shared" si="30"/>
        <v>49</v>
      </c>
      <c r="C68" s="85">
        <f t="shared" ca="1" si="10"/>
        <v>0</v>
      </c>
      <c r="D68" s="85">
        <f t="shared" ca="1" si="2"/>
        <v>0</v>
      </c>
      <c r="E68" s="84">
        <f t="shared" ca="1" si="11"/>
        <v>0</v>
      </c>
      <c r="F68" s="135">
        <f t="shared" ca="1" si="25"/>
        <v>0</v>
      </c>
      <c r="G68" s="409">
        <f t="shared" ca="1" si="4"/>
        <v>0</v>
      </c>
      <c r="H68" s="409">
        <f t="shared" ca="1" si="5"/>
        <v>0</v>
      </c>
      <c r="I68" s="275">
        <f t="shared" ca="1" si="26"/>
        <v>0</v>
      </c>
      <c r="J68" s="275">
        <f t="shared" ca="1" si="12"/>
        <v>0</v>
      </c>
      <c r="K68" s="137">
        <f t="shared" ca="1" si="28"/>
        <v>0</v>
      </c>
      <c r="L68" s="15" t="str">
        <f t="shared" ca="1" si="35"/>
        <v>F</v>
      </c>
      <c r="M68" s="88">
        <f t="shared" ca="1" si="35"/>
        <v>0</v>
      </c>
      <c r="N68" s="88">
        <f t="shared" ca="1" si="35"/>
        <v>0</v>
      </c>
      <c r="O68" s="432">
        <v>1000000000000000</v>
      </c>
      <c r="P68" s="69">
        <v>109575</v>
      </c>
      <c r="Q68" s="3">
        <f t="shared" si="13"/>
        <v>64583</v>
      </c>
      <c r="R68" s="107">
        <f t="shared" ca="1" si="14"/>
        <v>17.97</v>
      </c>
      <c r="S68" s="105">
        <f t="shared" ca="1" si="15"/>
        <v>17716417.870576583</v>
      </c>
      <c r="T68" s="341">
        <v>0</v>
      </c>
      <c r="U68" s="341">
        <v>0.11849999999999999</v>
      </c>
      <c r="V68" s="341">
        <v>0.11849999999999999</v>
      </c>
      <c r="W68" s="341">
        <v>0.11849999999999999</v>
      </c>
      <c r="X68" s="281">
        <f t="shared" si="34"/>
        <v>1.9E-2</v>
      </c>
      <c r="Y68" s="282">
        <f t="shared" si="27"/>
        <v>9.7000000000000003E-2</v>
      </c>
      <c r="AA68" s="391">
        <f t="shared" ca="1" si="16"/>
        <v>0</v>
      </c>
      <c r="AB68" s="400">
        <f t="shared" ca="1" si="8"/>
        <v>0</v>
      </c>
      <c r="AC68" s="258">
        <f t="shared" ca="1" si="8"/>
        <v>0</v>
      </c>
      <c r="AD68" s="258">
        <f t="shared" ca="1" si="8"/>
        <v>0</v>
      </c>
      <c r="AE68" s="402">
        <f t="shared" ca="1" si="8"/>
        <v>0</v>
      </c>
      <c r="AF68" s="402">
        <f t="shared" ca="1" si="8"/>
        <v>0</v>
      </c>
      <c r="AG68" s="404">
        <f t="shared" ca="1" si="17"/>
        <v>0</v>
      </c>
      <c r="AH68" s="415">
        <f t="shared" ca="1" si="18"/>
        <v>0</v>
      </c>
      <c r="AI68" s="415">
        <f t="shared" ca="1" si="19"/>
        <v>0</v>
      </c>
      <c r="AJ68" s="416">
        <f t="shared" ca="1" si="20"/>
        <v>0</v>
      </c>
      <c r="AK68" s="416">
        <f t="shared" ca="1" si="21"/>
        <v>0</v>
      </c>
      <c r="AL68" s="417">
        <f>0</f>
        <v>0</v>
      </c>
      <c r="AM68" s="269">
        <f t="shared" ca="1" si="29"/>
        <v>0</v>
      </c>
      <c r="AN68" s="422">
        <f t="shared" ca="1" si="33"/>
        <v>18.189999999999998</v>
      </c>
      <c r="AO68" s="423">
        <f t="shared" ca="1" si="33"/>
        <v>30526306.859062586</v>
      </c>
      <c r="AP68" s="271">
        <f t="shared" ca="1" si="33"/>
        <v>0</v>
      </c>
      <c r="AQ68" s="271">
        <f t="shared" ca="1" si="33"/>
        <v>0.11849999999999999</v>
      </c>
      <c r="AR68" s="271">
        <f t="shared" ca="1" si="33"/>
        <v>0.11849999999999999</v>
      </c>
      <c r="AS68" s="271">
        <f t="shared" ca="1" si="33"/>
        <v>0.11849999999999999</v>
      </c>
      <c r="AT68" s="271">
        <f t="shared" ca="1" si="33"/>
        <v>1.9E-2</v>
      </c>
      <c r="AU68" s="278">
        <f t="shared" ref="AU68:AU110" ca="1" si="36">INDIRECT("'"&amp; $AB$16 &amp;"'!"&amp; ADDRESS(ROW(Y68),COLUMN(Y68),4))</f>
        <v>0.1</v>
      </c>
    </row>
    <row r="69" spans="2:47" ht="13.15" thickBot="1" x14ac:dyDescent="0.4">
      <c r="B69" s="18">
        <f t="shared" si="30"/>
        <v>50</v>
      </c>
      <c r="C69" s="85">
        <f t="shared" ca="1" si="10"/>
        <v>0</v>
      </c>
      <c r="D69" s="85">
        <f t="shared" ca="1" si="2"/>
        <v>0</v>
      </c>
      <c r="E69" s="84">
        <f t="shared" ca="1" si="11"/>
        <v>0</v>
      </c>
      <c r="F69" s="135">
        <f t="shared" ca="1" si="25"/>
        <v>0</v>
      </c>
      <c r="G69" s="409">
        <f t="shared" ca="1" si="4"/>
        <v>0</v>
      </c>
      <c r="H69" s="409">
        <f t="shared" ca="1" si="5"/>
        <v>0</v>
      </c>
      <c r="I69" s="275">
        <f t="shared" ca="1" si="26"/>
        <v>0</v>
      </c>
      <c r="J69" s="275">
        <f t="shared" ca="1" si="12"/>
        <v>0</v>
      </c>
      <c r="K69" s="137">
        <f t="shared" ca="1" si="28"/>
        <v>0</v>
      </c>
      <c r="L69" s="15" t="str">
        <f t="shared" ref="L69:N110" ca="1" si="37">INDIRECT("'"&amp; $AB$16 &amp;"'!"&amp; ADDRESS(ROW(L69),COLUMN(L69),4))</f>
        <v>F</v>
      </c>
      <c r="M69" s="88">
        <f t="shared" ca="1" si="37"/>
        <v>0</v>
      </c>
      <c r="N69" s="88">
        <f t="shared" ca="1" si="37"/>
        <v>0</v>
      </c>
      <c r="O69" s="432">
        <v>1000000000000000</v>
      </c>
      <c r="P69" s="69">
        <v>109575</v>
      </c>
      <c r="Q69" s="3">
        <f t="shared" si="13"/>
        <v>64583</v>
      </c>
      <c r="R69" s="107">
        <f t="shared" ca="1" si="14"/>
        <v>17.97</v>
      </c>
      <c r="S69" s="105">
        <f t="shared" ca="1" si="15"/>
        <v>17716417.870576583</v>
      </c>
      <c r="T69" s="341">
        <v>0</v>
      </c>
      <c r="U69" s="341">
        <v>0.11849999999999999</v>
      </c>
      <c r="V69" s="341">
        <v>0.11849999999999999</v>
      </c>
      <c r="W69" s="341">
        <v>0.11849999999999999</v>
      </c>
      <c r="X69" s="281">
        <f t="shared" si="34"/>
        <v>1.9E-2</v>
      </c>
      <c r="Y69" s="282">
        <f t="shared" si="27"/>
        <v>9.7000000000000003E-2</v>
      </c>
      <c r="AA69" s="391">
        <f t="shared" ca="1" si="16"/>
        <v>0</v>
      </c>
      <c r="AB69" s="400">
        <f t="shared" ca="1" si="8"/>
        <v>0</v>
      </c>
      <c r="AC69" s="258">
        <f t="shared" ca="1" si="8"/>
        <v>0</v>
      </c>
      <c r="AD69" s="258">
        <f t="shared" ca="1" si="8"/>
        <v>0</v>
      </c>
      <c r="AE69" s="402">
        <f t="shared" ca="1" si="8"/>
        <v>0</v>
      </c>
      <c r="AF69" s="402">
        <f t="shared" ca="1" si="8"/>
        <v>0</v>
      </c>
      <c r="AG69" s="404">
        <f t="shared" ca="1" si="17"/>
        <v>0</v>
      </c>
      <c r="AH69" s="415">
        <f t="shared" ca="1" si="18"/>
        <v>0</v>
      </c>
      <c r="AI69" s="415">
        <f t="shared" ca="1" si="19"/>
        <v>0</v>
      </c>
      <c r="AJ69" s="416">
        <f t="shared" ca="1" si="20"/>
        <v>0</v>
      </c>
      <c r="AK69" s="416">
        <f t="shared" ca="1" si="21"/>
        <v>0</v>
      </c>
      <c r="AL69" s="417">
        <f>0</f>
        <v>0</v>
      </c>
      <c r="AM69" s="269">
        <f t="shared" ca="1" si="29"/>
        <v>0</v>
      </c>
      <c r="AN69" s="422">
        <f t="shared" ref="AN69:AT105" ca="1" si="38">INDIRECT("'"&amp; $AB$16 &amp;"'!"&amp; ADDRESS(ROW(R69),COLUMN(R69),4))</f>
        <v>18.189999999999998</v>
      </c>
      <c r="AO69" s="423">
        <f t="shared" ca="1" si="38"/>
        <v>30526306.859062586</v>
      </c>
      <c r="AP69" s="271">
        <f t="shared" ca="1" si="38"/>
        <v>0</v>
      </c>
      <c r="AQ69" s="271">
        <f t="shared" ca="1" si="38"/>
        <v>0.11849999999999999</v>
      </c>
      <c r="AR69" s="271">
        <f t="shared" ca="1" si="38"/>
        <v>0.11849999999999999</v>
      </c>
      <c r="AS69" s="271">
        <f t="shared" ca="1" si="38"/>
        <v>0.11849999999999999</v>
      </c>
      <c r="AT69" s="271">
        <f t="shared" ca="1" si="38"/>
        <v>1.9E-2</v>
      </c>
      <c r="AU69" s="278">
        <f t="shared" ca="1" si="36"/>
        <v>0.1</v>
      </c>
    </row>
    <row r="70" spans="2:47" ht="13.15" thickBot="1" x14ac:dyDescent="0.4">
      <c r="B70" s="18">
        <f t="shared" si="30"/>
        <v>51</v>
      </c>
      <c r="C70" s="85">
        <f t="shared" ca="1" si="10"/>
        <v>0</v>
      </c>
      <c r="D70" s="85">
        <f t="shared" ca="1" si="2"/>
        <v>0</v>
      </c>
      <c r="E70" s="84">
        <f t="shared" ca="1" si="11"/>
        <v>0</v>
      </c>
      <c r="F70" s="135">
        <f t="shared" ca="1" si="25"/>
        <v>0</v>
      </c>
      <c r="G70" s="409">
        <f t="shared" ca="1" si="4"/>
        <v>0</v>
      </c>
      <c r="H70" s="409">
        <f t="shared" ca="1" si="5"/>
        <v>0</v>
      </c>
      <c r="I70" s="275">
        <f t="shared" ca="1" si="26"/>
        <v>0</v>
      </c>
      <c r="J70" s="275">
        <f t="shared" ca="1" si="12"/>
        <v>0</v>
      </c>
      <c r="K70" s="137">
        <f t="shared" ca="1" si="28"/>
        <v>0</v>
      </c>
      <c r="L70" s="15" t="str">
        <f t="shared" ca="1" si="37"/>
        <v>F</v>
      </c>
      <c r="M70" s="88">
        <f t="shared" ca="1" si="37"/>
        <v>0</v>
      </c>
      <c r="N70" s="88">
        <f t="shared" ca="1" si="37"/>
        <v>0</v>
      </c>
      <c r="O70" s="432">
        <v>1000000000000000</v>
      </c>
      <c r="P70" s="69">
        <v>109575</v>
      </c>
      <c r="Q70" s="3">
        <f t="shared" si="13"/>
        <v>64583</v>
      </c>
      <c r="R70" s="107">
        <f t="shared" ca="1" si="14"/>
        <v>17.97</v>
      </c>
      <c r="S70" s="105">
        <f t="shared" ca="1" si="15"/>
        <v>17716417.870576583</v>
      </c>
      <c r="T70" s="341">
        <v>0</v>
      </c>
      <c r="U70" s="341">
        <v>0.11849999999999999</v>
      </c>
      <c r="V70" s="341">
        <v>0.11849999999999999</v>
      </c>
      <c r="W70" s="341">
        <v>0.11849999999999999</v>
      </c>
      <c r="X70" s="281">
        <f t="shared" si="34"/>
        <v>1.9E-2</v>
      </c>
      <c r="Y70" s="282">
        <f t="shared" si="27"/>
        <v>9.7000000000000003E-2</v>
      </c>
      <c r="AA70" s="391">
        <f t="shared" ca="1" si="16"/>
        <v>0</v>
      </c>
      <c r="AB70" s="400">
        <f t="shared" ca="1" si="8"/>
        <v>0</v>
      </c>
      <c r="AC70" s="258">
        <f t="shared" ca="1" si="8"/>
        <v>0</v>
      </c>
      <c r="AD70" s="258">
        <f t="shared" ca="1" si="8"/>
        <v>0</v>
      </c>
      <c r="AE70" s="402">
        <f t="shared" ca="1" si="8"/>
        <v>0</v>
      </c>
      <c r="AF70" s="402">
        <f t="shared" ca="1" si="8"/>
        <v>0</v>
      </c>
      <c r="AG70" s="404">
        <f t="shared" ca="1" si="17"/>
        <v>0</v>
      </c>
      <c r="AH70" s="415">
        <f t="shared" ca="1" si="18"/>
        <v>0</v>
      </c>
      <c r="AI70" s="415">
        <f t="shared" ca="1" si="19"/>
        <v>0</v>
      </c>
      <c r="AJ70" s="416">
        <f t="shared" ca="1" si="20"/>
        <v>0</v>
      </c>
      <c r="AK70" s="416">
        <f t="shared" ca="1" si="21"/>
        <v>0</v>
      </c>
      <c r="AL70" s="417">
        <f>0</f>
        <v>0</v>
      </c>
      <c r="AM70" s="269">
        <f t="shared" ca="1" si="29"/>
        <v>0</v>
      </c>
      <c r="AN70" s="422">
        <f t="shared" ca="1" si="38"/>
        <v>18.189999999999998</v>
      </c>
      <c r="AO70" s="423">
        <f t="shared" ca="1" si="38"/>
        <v>30526306.859062586</v>
      </c>
      <c r="AP70" s="271">
        <f t="shared" ca="1" si="38"/>
        <v>0</v>
      </c>
      <c r="AQ70" s="271">
        <f t="shared" ca="1" si="38"/>
        <v>0.11849999999999999</v>
      </c>
      <c r="AR70" s="271">
        <f t="shared" ca="1" si="38"/>
        <v>0.11849999999999999</v>
      </c>
      <c r="AS70" s="271">
        <f t="shared" ca="1" si="38"/>
        <v>0.11849999999999999</v>
      </c>
      <c r="AT70" s="271">
        <f t="shared" ca="1" si="38"/>
        <v>1.9E-2</v>
      </c>
      <c r="AU70" s="278">
        <f t="shared" ca="1" si="36"/>
        <v>0.1</v>
      </c>
    </row>
    <row r="71" spans="2:47" ht="13.15" thickBot="1" x14ac:dyDescent="0.4">
      <c r="B71" s="18">
        <f t="shared" si="30"/>
        <v>52</v>
      </c>
      <c r="C71" s="85">
        <f t="shared" ca="1" si="10"/>
        <v>0</v>
      </c>
      <c r="D71" s="85">
        <f t="shared" ca="1" si="2"/>
        <v>0</v>
      </c>
      <c r="E71" s="84">
        <f t="shared" ca="1" si="11"/>
        <v>0</v>
      </c>
      <c r="F71" s="135">
        <f t="shared" ca="1" si="25"/>
        <v>0</v>
      </c>
      <c r="G71" s="409">
        <f t="shared" ca="1" si="4"/>
        <v>0</v>
      </c>
      <c r="H71" s="409">
        <f t="shared" ca="1" si="5"/>
        <v>0</v>
      </c>
      <c r="I71" s="275">
        <f t="shared" ca="1" si="26"/>
        <v>0</v>
      </c>
      <c r="J71" s="275">
        <f t="shared" ca="1" si="12"/>
        <v>0</v>
      </c>
      <c r="K71" s="137">
        <f t="shared" ca="1" si="28"/>
        <v>0</v>
      </c>
      <c r="L71" s="15" t="str">
        <f t="shared" ca="1" si="37"/>
        <v>F</v>
      </c>
      <c r="M71" s="88">
        <f t="shared" ca="1" si="37"/>
        <v>0</v>
      </c>
      <c r="N71" s="88">
        <f t="shared" ca="1" si="37"/>
        <v>0</v>
      </c>
      <c r="O71" s="432">
        <v>1000000000000000</v>
      </c>
      <c r="P71" s="69">
        <v>109575</v>
      </c>
      <c r="Q71" s="3">
        <f t="shared" si="13"/>
        <v>64583</v>
      </c>
      <c r="R71" s="107">
        <f t="shared" ca="1" si="14"/>
        <v>17.97</v>
      </c>
      <c r="S71" s="105">
        <f t="shared" ca="1" si="15"/>
        <v>17716417.870576583</v>
      </c>
      <c r="T71" s="341">
        <v>0</v>
      </c>
      <c r="U71" s="341">
        <v>0.11849999999999999</v>
      </c>
      <c r="V71" s="341">
        <v>0.11849999999999999</v>
      </c>
      <c r="W71" s="341">
        <v>0.11849999999999999</v>
      </c>
      <c r="X71" s="281">
        <f t="shared" si="34"/>
        <v>1.9E-2</v>
      </c>
      <c r="Y71" s="282">
        <f t="shared" si="27"/>
        <v>9.7000000000000003E-2</v>
      </c>
      <c r="AA71" s="391">
        <f t="shared" ca="1" si="16"/>
        <v>0</v>
      </c>
      <c r="AB71" s="400">
        <f t="shared" ca="1" si="16"/>
        <v>0</v>
      </c>
      <c r="AC71" s="258">
        <f t="shared" ca="1" si="16"/>
        <v>0</v>
      </c>
      <c r="AD71" s="258">
        <f t="shared" ca="1" si="16"/>
        <v>0</v>
      </c>
      <c r="AE71" s="402">
        <f t="shared" ca="1" si="16"/>
        <v>0</v>
      </c>
      <c r="AF71" s="402">
        <f t="shared" ca="1" si="16"/>
        <v>0</v>
      </c>
      <c r="AG71" s="404">
        <f t="shared" ca="1" si="17"/>
        <v>0</v>
      </c>
      <c r="AH71" s="415">
        <f t="shared" ca="1" si="18"/>
        <v>0</v>
      </c>
      <c r="AI71" s="415">
        <f t="shared" ca="1" si="19"/>
        <v>0</v>
      </c>
      <c r="AJ71" s="416">
        <f t="shared" ca="1" si="20"/>
        <v>0</v>
      </c>
      <c r="AK71" s="416">
        <f t="shared" ca="1" si="21"/>
        <v>0</v>
      </c>
      <c r="AL71" s="417">
        <f>0</f>
        <v>0</v>
      </c>
      <c r="AM71" s="269">
        <f t="shared" ca="1" si="29"/>
        <v>0</v>
      </c>
      <c r="AN71" s="422">
        <f t="shared" ca="1" si="38"/>
        <v>18.189999999999998</v>
      </c>
      <c r="AO71" s="423">
        <f t="shared" ca="1" si="38"/>
        <v>30526306.859062586</v>
      </c>
      <c r="AP71" s="271">
        <f t="shared" ca="1" si="38"/>
        <v>0</v>
      </c>
      <c r="AQ71" s="271">
        <f t="shared" ca="1" si="38"/>
        <v>0.11849999999999999</v>
      </c>
      <c r="AR71" s="271">
        <f t="shared" ca="1" si="38"/>
        <v>0.11849999999999999</v>
      </c>
      <c r="AS71" s="271">
        <f t="shared" ca="1" si="38"/>
        <v>0.11849999999999999</v>
      </c>
      <c r="AT71" s="271">
        <f t="shared" ca="1" si="38"/>
        <v>1.9E-2</v>
      </c>
      <c r="AU71" s="278">
        <f t="shared" ca="1" si="36"/>
        <v>0.1</v>
      </c>
    </row>
    <row r="72" spans="2:47" ht="13.15" thickBot="1" x14ac:dyDescent="0.4">
      <c r="B72" s="18">
        <f t="shared" si="30"/>
        <v>53</v>
      </c>
      <c r="C72" s="85">
        <f t="shared" ca="1" si="10"/>
        <v>0</v>
      </c>
      <c r="D72" s="85">
        <f t="shared" ca="1" si="2"/>
        <v>0</v>
      </c>
      <c r="E72" s="84">
        <f t="shared" ca="1" si="11"/>
        <v>0</v>
      </c>
      <c r="F72" s="135">
        <f t="shared" ca="1" si="25"/>
        <v>0</v>
      </c>
      <c r="G72" s="409">
        <f t="shared" ca="1" si="4"/>
        <v>0</v>
      </c>
      <c r="H72" s="409">
        <f t="shared" ca="1" si="5"/>
        <v>0</v>
      </c>
      <c r="I72" s="275">
        <f t="shared" ca="1" si="26"/>
        <v>0</v>
      </c>
      <c r="J72" s="275">
        <f t="shared" ca="1" si="12"/>
        <v>0</v>
      </c>
      <c r="K72" s="137">
        <f t="shared" ca="1" si="28"/>
        <v>0</v>
      </c>
      <c r="L72" s="15" t="str">
        <f t="shared" ca="1" si="37"/>
        <v>F</v>
      </c>
      <c r="M72" s="88">
        <f t="shared" ca="1" si="37"/>
        <v>0</v>
      </c>
      <c r="N72" s="88">
        <f t="shared" ca="1" si="37"/>
        <v>0</v>
      </c>
      <c r="O72" s="432">
        <v>1000000000000000</v>
      </c>
      <c r="P72" s="69">
        <v>109575</v>
      </c>
      <c r="Q72" s="3">
        <f t="shared" si="13"/>
        <v>64583</v>
      </c>
      <c r="R72" s="107">
        <f t="shared" ca="1" si="14"/>
        <v>17.97</v>
      </c>
      <c r="S72" s="105">
        <f t="shared" ca="1" si="15"/>
        <v>17716417.870576583</v>
      </c>
      <c r="T72" s="341">
        <v>0</v>
      </c>
      <c r="U72" s="341">
        <v>0.11849999999999999</v>
      </c>
      <c r="V72" s="341">
        <v>0.11849999999999999</v>
      </c>
      <c r="W72" s="341">
        <v>0.11849999999999999</v>
      </c>
      <c r="X72" s="281">
        <f t="shared" si="34"/>
        <v>1.9E-2</v>
      </c>
      <c r="Y72" s="282">
        <f t="shared" si="27"/>
        <v>9.7000000000000003E-2</v>
      </c>
      <c r="AA72" s="391">
        <f t="shared" ca="1" si="16"/>
        <v>0</v>
      </c>
      <c r="AB72" s="400">
        <f t="shared" ca="1" si="16"/>
        <v>0</v>
      </c>
      <c r="AC72" s="258">
        <f t="shared" ca="1" si="16"/>
        <v>0</v>
      </c>
      <c r="AD72" s="258">
        <f t="shared" ca="1" si="16"/>
        <v>0</v>
      </c>
      <c r="AE72" s="402">
        <f t="shared" ca="1" si="16"/>
        <v>0</v>
      </c>
      <c r="AF72" s="402">
        <f t="shared" ca="1" si="16"/>
        <v>0</v>
      </c>
      <c r="AG72" s="404">
        <f t="shared" ca="1" si="17"/>
        <v>0</v>
      </c>
      <c r="AH72" s="415">
        <f t="shared" ca="1" si="18"/>
        <v>0</v>
      </c>
      <c r="AI72" s="415">
        <f t="shared" ca="1" si="19"/>
        <v>0</v>
      </c>
      <c r="AJ72" s="416">
        <f t="shared" ca="1" si="20"/>
        <v>0</v>
      </c>
      <c r="AK72" s="416">
        <f t="shared" ca="1" si="21"/>
        <v>0</v>
      </c>
      <c r="AL72" s="417">
        <f>0</f>
        <v>0</v>
      </c>
      <c r="AM72" s="269">
        <f t="shared" ca="1" si="29"/>
        <v>0</v>
      </c>
      <c r="AN72" s="422">
        <f t="shared" ca="1" si="38"/>
        <v>18.189999999999998</v>
      </c>
      <c r="AO72" s="423">
        <f t="shared" ca="1" si="38"/>
        <v>30526306.859062586</v>
      </c>
      <c r="AP72" s="271">
        <f t="shared" ca="1" si="38"/>
        <v>0</v>
      </c>
      <c r="AQ72" s="271">
        <f t="shared" ca="1" si="38"/>
        <v>0.11849999999999999</v>
      </c>
      <c r="AR72" s="271">
        <f t="shared" ca="1" si="38"/>
        <v>0.11849999999999999</v>
      </c>
      <c r="AS72" s="271">
        <f t="shared" ca="1" si="38"/>
        <v>0.11849999999999999</v>
      </c>
      <c r="AT72" s="271">
        <f t="shared" ca="1" si="38"/>
        <v>1.9E-2</v>
      </c>
      <c r="AU72" s="278">
        <f t="shared" ca="1" si="36"/>
        <v>0.1</v>
      </c>
    </row>
    <row r="73" spans="2:47" ht="13.15" thickBot="1" x14ac:dyDescent="0.4">
      <c r="B73" s="18">
        <f t="shared" si="30"/>
        <v>54</v>
      </c>
      <c r="C73" s="85">
        <f t="shared" ca="1" si="10"/>
        <v>0</v>
      </c>
      <c r="D73" s="85">
        <f t="shared" ca="1" si="2"/>
        <v>0</v>
      </c>
      <c r="E73" s="84">
        <f t="shared" ca="1" si="11"/>
        <v>0</v>
      </c>
      <c r="F73" s="135">
        <f t="shared" ca="1" si="25"/>
        <v>0</v>
      </c>
      <c r="G73" s="409">
        <f t="shared" ca="1" si="4"/>
        <v>0</v>
      </c>
      <c r="H73" s="409">
        <f t="shared" ca="1" si="5"/>
        <v>0</v>
      </c>
      <c r="I73" s="275">
        <f t="shared" ca="1" si="26"/>
        <v>0</v>
      </c>
      <c r="J73" s="275">
        <f t="shared" ca="1" si="12"/>
        <v>0</v>
      </c>
      <c r="K73" s="137">
        <f t="shared" ca="1" si="28"/>
        <v>0</v>
      </c>
      <c r="L73" s="15" t="str">
        <f t="shared" ca="1" si="37"/>
        <v>F</v>
      </c>
      <c r="M73" s="88">
        <f t="shared" ca="1" si="37"/>
        <v>0</v>
      </c>
      <c r="N73" s="88">
        <f t="shared" ca="1" si="37"/>
        <v>0</v>
      </c>
      <c r="O73" s="432">
        <v>1000000000000000</v>
      </c>
      <c r="P73" s="69">
        <v>109575</v>
      </c>
      <c r="Q73" s="3">
        <f t="shared" si="13"/>
        <v>64583</v>
      </c>
      <c r="R73" s="107">
        <f t="shared" ca="1" si="14"/>
        <v>17.97</v>
      </c>
      <c r="S73" s="105">
        <f t="shared" ca="1" si="15"/>
        <v>17716417.870576583</v>
      </c>
      <c r="T73" s="341">
        <v>0</v>
      </c>
      <c r="U73" s="341">
        <v>0.11849999999999999</v>
      </c>
      <c r="V73" s="341">
        <v>0.11849999999999999</v>
      </c>
      <c r="W73" s="341">
        <v>0.11849999999999999</v>
      </c>
      <c r="X73" s="281">
        <f t="shared" si="34"/>
        <v>1.9E-2</v>
      </c>
      <c r="Y73" s="282">
        <f t="shared" si="27"/>
        <v>9.7000000000000003E-2</v>
      </c>
      <c r="AA73" s="391">
        <f t="shared" ca="1" si="16"/>
        <v>0</v>
      </c>
      <c r="AB73" s="400">
        <f t="shared" ca="1" si="16"/>
        <v>0</v>
      </c>
      <c r="AC73" s="258">
        <f t="shared" ca="1" si="16"/>
        <v>0</v>
      </c>
      <c r="AD73" s="258">
        <f t="shared" ca="1" si="16"/>
        <v>0</v>
      </c>
      <c r="AE73" s="402">
        <f t="shared" ca="1" si="16"/>
        <v>0</v>
      </c>
      <c r="AF73" s="402">
        <f t="shared" ca="1" si="16"/>
        <v>0</v>
      </c>
      <c r="AG73" s="404">
        <f t="shared" ca="1" si="17"/>
        <v>0</v>
      </c>
      <c r="AH73" s="415">
        <f t="shared" ca="1" si="18"/>
        <v>0</v>
      </c>
      <c r="AI73" s="415">
        <f t="shared" ca="1" si="19"/>
        <v>0</v>
      </c>
      <c r="AJ73" s="416">
        <f t="shared" ca="1" si="20"/>
        <v>0</v>
      </c>
      <c r="AK73" s="416">
        <f t="shared" ca="1" si="21"/>
        <v>0</v>
      </c>
      <c r="AL73" s="417">
        <f>0</f>
        <v>0</v>
      </c>
      <c r="AM73" s="269">
        <f t="shared" ca="1" si="29"/>
        <v>0</v>
      </c>
      <c r="AN73" s="422">
        <f t="shared" ca="1" si="38"/>
        <v>18.189999999999998</v>
      </c>
      <c r="AO73" s="423">
        <f t="shared" ca="1" si="38"/>
        <v>30526306.859062586</v>
      </c>
      <c r="AP73" s="271">
        <f t="shared" ca="1" si="38"/>
        <v>0</v>
      </c>
      <c r="AQ73" s="271">
        <f t="shared" ca="1" si="38"/>
        <v>0.11849999999999999</v>
      </c>
      <c r="AR73" s="271">
        <f t="shared" ca="1" si="38"/>
        <v>0.11849999999999999</v>
      </c>
      <c r="AS73" s="271">
        <f t="shared" ca="1" si="38"/>
        <v>0.11849999999999999</v>
      </c>
      <c r="AT73" s="271">
        <f t="shared" ca="1" si="38"/>
        <v>1.9E-2</v>
      </c>
      <c r="AU73" s="278">
        <f t="shared" ca="1" si="36"/>
        <v>0.1</v>
      </c>
    </row>
    <row r="74" spans="2:47" ht="13.15" thickBot="1" x14ac:dyDescent="0.4">
      <c r="B74" s="18">
        <f t="shared" si="30"/>
        <v>55</v>
      </c>
      <c r="C74" s="85">
        <f t="shared" ca="1" si="10"/>
        <v>0</v>
      </c>
      <c r="D74" s="85">
        <f t="shared" ca="1" si="2"/>
        <v>0</v>
      </c>
      <c r="E74" s="84">
        <f t="shared" ca="1" si="11"/>
        <v>0</v>
      </c>
      <c r="F74" s="135">
        <f t="shared" ca="1" si="25"/>
        <v>0</v>
      </c>
      <c r="G74" s="409">
        <f t="shared" ca="1" si="4"/>
        <v>0</v>
      </c>
      <c r="H74" s="409">
        <f t="shared" ca="1" si="5"/>
        <v>0</v>
      </c>
      <c r="I74" s="275">
        <f t="shared" ca="1" si="26"/>
        <v>0</v>
      </c>
      <c r="J74" s="275">
        <f t="shared" ca="1" si="12"/>
        <v>0</v>
      </c>
      <c r="K74" s="137">
        <f t="shared" ca="1" si="28"/>
        <v>0</v>
      </c>
      <c r="L74" s="15" t="str">
        <f t="shared" ca="1" si="37"/>
        <v>F</v>
      </c>
      <c r="M74" s="88">
        <f t="shared" ca="1" si="37"/>
        <v>0</v>
      </c>
      <c r="N74" s="88">
        <f t="shared" ca="1" si="37"/>
        <v>0</v>
      </c>
      <c r="O74" s="432">
        <v>1000000000000000</v>
      </c>
      <c r="P74" s="69">
        <v>109575</v>
      </c>
      <c r="Q74" s="3">
        <f t="shared" si="13"/>
        <v>64583</v>
      </c>
      <c r="R74" s="107">
        <f t="shared" ca="1" si="14"/>
        <v>17.97</v>
      </c>
      <c r="S74" s="105">
        <f t="shared" ca="1" si="15"/>
        <v>17716417.870576583</v>
      </c>
      <c r="T74" s="341">
        <v>0</v>
      </c>
      <c r="U74" s="341">
        <v>0.11849999999999999</v>
      </c>
      <c r="V74" s="341">
        <v>0.11849999999999999</v>
      </c>
      <c r="W74" s="341">
        <v>0.11849999999999999</v>
      </c>
      <c r="X74" s="281">
        <f t="shared" si="34"/>
        <v>1.9E-2</v>
      </c>
      <c r="Y74" s="282">
        <f t="shared" si="27"/>
        <v>9.7000000000000003E-2</v>
      </c>
      <c r="AA74" s="391">
        <f t="shared" ca="1" si="16"/>
        <v>0</v>
      </c>
      <c r="AB74" s="400">
        <f t="shared" ca="1" si="16"/>
        <v>0</v>
      </c>
      <c r="AC74" s="258">
        <f t="shared" ca="1" si="16"/>
        <v>0</v>
      </c>
      <c r="AD74" s="258">
        <f t="shared" ca="1" si="16"/>
        <v>0</v>
      </c>
      <c r="AE74" s="402">
        <f t="shared" ca="1" si="16"/>
        <v>0</v>
      </c>
      <c r="AF74" s="402">
        <f t="shared" ca="1" si="16"/>
        <v>0</v>
      </c>
      <c r="AG74" s="404">
        <f t="shared" ca="1" si="17"/>
        <v>0</v>
      </c>
      <c r="AH74" s="415">
        <f t="shared" ca="1" si="18"/>
        <v>0</v>
      </c>
      <c r="AI74" s="415">
        <f t="shared" ca="1" si="19"/>
        <v>0</v>
      </c>
      <c r="AJ74" s="416">
        <f t="shared" ca="1" si="20"/>
        <v>0</v>
      </c>
      <c r="AK74" s="416">
        <f t="shared" ca="1" si="21"/>
        <v>0</v>
      </c>
      <c r="AL74" s="417">
        <f>0</f>
        <v>0</v>
      </c>
      <c r="AM74" s="269">
        <f t="shared" ca="1" si="29"/>
        <v>0</v>
      </c>
      <c r="AN74" s="422">
        <f t="shared" ca="1" si="38"/>
        <v>18.189999999999998</v>
      </c>
      <c r="AO74" s="423">
        <f t="shared" ca="1" si="38"/>
        <v>30526306.859062586</v>
      </c>
      <c r="AP74" s="271">
        <f t="shared" ca="1" si="38"/>
        <v>0</v>
      </c>
      <c r="AQ74" s="271">
        <f t="shared" ca="1" si="38"/>
        <v>0.11849999999999999</v>
      </c>
      <c r="AR74" s="271">
        <f t="shared" ca="1" si="38"/>
        <v>0.11849999999999999</v>
      </c>
      <c r="AS74" s="271">
        <f t="shared" ca="1" si="38"/>
        <v>0.11849999999999999</v>
      </c>
      <c r="AT74" s="271">
        <f t="shared" ca="1" si="38"/>
        <v>1.9E-2</v>
      </c>
      <c r="AU74" s="278">
        <f t="shared" ca="1" si="36"/>
        <v>0.1</v>
      </c>
    </row>
    <row r="75" spans="2:47" ht="13.15" thickBot="1" x14ac:dyDescent="0.4">
      <c r="B75" s="18">
        <f t="shared" si="30"/>
        <v>56</v>
      </c>
      <c r="C75" s="85">
        <f t="shared" ca="1" si="10"/>
        <v>0</v>
      </c>
      <c r="D75" s="85">
        <f t="shared" ca="1" si="2"/>
        <v>0</v>
      </c>
      <c r="E75" s="84">
        <f t="shared" ca="1" si="11"/>
        <v>0</v>
      </c>
      <c r="F75" s="135">
        <f t="shared" ca="1" si="25"/>
        <v>0</v>
      </c>
      <c r="G75" s="409">
        <f t="shared" ca="1" si="4"/>
        <v>0</v>
      </c>
      <c r="H75" s="409">
        <f t="shared" ca="1" si="5"/>
        <v>0</v>
      </c>
      <c r="I75" s="275">
        <f t="shared" ca="1" si="26"/>
        <v>0</v>
      </c>
      <c r="J75" s="275">
        <f t="shared" ca="1" si="12"/>
        <v>0</v>
      </c>
      <c r="K75" s="137">
        <f t="shared" ca="1" si="28"/>
        <v>0</v>
      </c>
      <c r="L75" s="15" t="str">
        <f t="shared" ca="1" si="37"/>
        <v>F</v>
      </c>
      <c r="M75" s="88">
        <f t="shared" ca="1" si="37"/>
        <v>0</v>
      </c>
      <c r="N75" s="88">
        <f t="shared" ca="1" si="37"/>
        <v>0</v>
      </c>
      <c r="O75" s="432">
        <v>1000000000000000</v>
      </c>
      <c r="P75" s="69">
        <v>109575</v>
      </c>
      <c r="Q75" s="3">
        <f t="shared" si="13"/>
        <v>64583</v>
      </c>
      <c r="R75" s="107">
        <f t="shared" ca="1" si="14"/>
        <v>17.97</v>
      </c>
      <c r="S75" s="105">
        <f t="shared" ca="1" si="15"/>
        <v>17716417.870576583</v>
      </c>
      <c r="T75" s="341">
        <v>0</v>
      </c>
      <c r="U75" s="341">
        <v>0.11849999999999999</v>
      </c>
      <c r="V75" s="341">
        <v>0.11849999999999999</v>
      </c>
      <c r="W75" s="341">
        <v>0.11849999999999999</v>
      </c>
      <c r="X75" s="281">
        <f t="shared" si="34"/>
        <v>1.9E-2</v>
      </c>
      <c r="Y75" s="282">
        <f t="shared" si="27"/>
        <v>9.7000000000000003E-2</v>
      </c>
      <c r="AA75" s="391">
        <f t="shared" ca="1" si="16"/>
        <v>0</v>
      </c>
      <c r="AB75" s="400">
        <f t="shared" ca="1" si="16"/>
        <v>0</v>
      </c>
      <c r="AC75" s="258">
        <f t="shared" ca="1" si="16"/>
        <v>0</v>
      </c>
      <c r="AD75" s="258">
        <f t="shared" ca="1" si="16"/>
        <v>0</v>
      </c>
      <c r="AE75" s="402">
        <f t="shared" ca="1" si="16"/>
        <v>0</v>
      </c>
      <c r="AF75" s="402">
        <f t="shared" ca="1" si="16"/>
        <v>0</v>
      </c>
      <c r="AG75" s="404">
        <f t="shared" ca="1" si="17"/>
        <v>0</v>
      </c>
      <c r="AH75" s="415">
        <f t="shared" ca="1" si="18"/>
        <v>0</v>
      </c>
      <c r="AI75" s="415">
        <f t="shared" ca="1" si="19"/>
        <v>0</v>
      </c>
      <c r="AJ75" s="416">
        <f t="shared" ca="1" si="20"/>
        <v>0</v>
      </c>
      <c r="AK75" s="416">
        <f t="shared" ca="1" si="21"/>
        <v>0</v>
      </c>
      <c r="AL75" s="417">
        <f>0</f>
        <v>0</v>
      </c>
      <c r="AM75" s="269">
        <f t="shared" ca="1" si="29"/>
        <v>0</v>
      </c>
      <c r="AN75" s="422">
        <f t="shared" ca="1" si="38"/>
        <v>18.189999999999998</v>
      </c>
      <c r="AO75" s="423">
        <f t="shared" ca="1" si="38"/>
        <v>30526306.859062586</v>
      </c>
      <c r="AP75" s="271">
        <f t="shared" ca="1" si="38"/>
        <v>0</v>
      </c>
      <c r="AQ75" s="271">
        <f t="shared" ca="1" si="38"/>
        <v>0.11849999999999999</v>
      </c>
      <c r="AR75" s="271">
        <f t="shared" ca="1" si="38"/>
        <v>0.11849999999999999</v>
      </c>
      <c r="AS75" s="271">
        <f t="shared" ca="1" si="38"/>
        <v>0.11849999999999999</v>
      </c>
      <c r="AT75" s="271">
        <f t="shared" ca="1" si="38"/>
        <v>1.9E-2</v>
      </c>
      <c r="AU75" s="278">
        <f t="shared" ca="1" si="36"/>
        <v>0.1</v>
      </c>
    </row>
    <row r="76" spans="2:47" ht="13.15" thickBot="1" x14ac:dyDescent="0.4">
      <c r="B76" s="18">
        <f t="shared" si="30"/>
        <v>57</v>
      </c>
      <c r="C76" s="85">
        <f t="shared" ca="1" si="10"/>
        <v>0</v>
      </c>
      <c r="D76" s="85">
        <f t="shared" ca="1" si="2"/>
        <v>0</v>
      </c>
      <c r="E76" s="84">
        <f t="shared" ca="1" si="11"/>
        <v>0</v>
      </c>
      <c r="F76" s="135">
        <f t="shared" ca="1" si="25"/>
        <v>0</v>
      </c>
      <c r="G76" s="409">
        <f t="shared" ca="1" si="4"/>
        <v>0</v>
      </c>
      <c r="H76" s="409">
        <f t="shared" ca="1" si="5"/>
        <v>0</v>
      </c>
      <c r="I76" s="275">
        <f t="shared" ca="1" si="26"/>
        <v>0</v>
      </c>
      <c r="J76" s="275">
        <f t="shared" ca="1" si="12"/>
        <v>0</v>
      </c>
      <c r="K76" s="137">
        <f t="shared" ca="1" si="28"/>
        <v>0</v>
      </c>
      <c r="L76" s="15" t="str">
        <f t="shared" ca="1" si="37"/>
        <v>F</v>
      </c>
      <c r="M76" s="88">
        <f t="shared" ca="1" si="37"/>
        <v>0</v>
      </c>
      <c r="N76" s="88">
        <f t="shared" ca="1" si="37"/>
        <v>0</v>
      </c>
      <c r="O76" s="432">
        <v>1000000000000000</v>
      </c>
      <c r="P76" s="69">
        <v>109575</v>
      </c>
      <c r="Q76" s="3">
        <f t="shared" si="13"/>
        <v>64583</v>
      </c>
      <c r="R76" s="107">
        <f t="shared" ca="1" si="14"/>
        <v>17.97</v>
      </c>
      <c r="S76" s="105">
        <f t="shared" ca="1" si="15"/>
        <v>17716417.870576583</v>
      </c>
      <c r="T76" s="341">
        <v>0</v>
      </c>
      <c r="U76" s="341">
        <v>0.11849999999999999</v>
      </c>
      <c r="V76" s="341">
        <v>0.11849999999999999</v>
      </c>
      <c r="W76" s="341">
        <v>0.11849999999999999</v>
      </c>
      <c r="X76" s="281">
        <f t="shared" si="34"/>
        <v>1.9E-2</v>
      </c>
      <c r="Y76" s="282">
        <f t="shared" si="27"/>
        <v>9.7000000000000003E-2</v>
      </c>
      <c r="AA76" s="391">
        <f t="shared" ca="1" si="16"/>
        <v>0</v>
      </c>
      <c r="AB76" s="400">
        <f t="shared" ca="1" si="16"/>
        <v>0</v>
      </c>
      <c r="AC76" s="258">
        <f t="shared" ca="1" si="16"/>
        <v>0</v>
      </c>
      <c r="AD76" s="258">
        <f t="shared" ca="1" si="16"/>
        <v>0</v>
      </c>
      <c r="AE76" s="402">
        <f t="shared" ca="1" si="16"/>
        <v>0</v>
      </c>
      <c r="AF76" s="402">
        <f t="shared" ca="1" si="16"/>
        <v>0</v>
      </c>
      <c r="AG76" s="404">
        <f t="shared" ca="1" si="17"/>
        <v>0</v>
      </c>
      <c r="AH76" s="415">
        <f t="shared" ca="1" si="18"/>
        <v>0</v>
      </c>
      <c r="AI76" s="415">
        <f t="shared" ca="1" si="19"/>
        <v>0</v>
      </c>
      <c r="AJ76" s="416">
        <f t="shared" ca="1" si="20"/>
        <v>0</v>
      </c>
      <c r="AK76" s="416">
        <f t="shared" ca="1" si="21"/>
        <v>0</v>
      </c>
      <c r="AL76" s="417">
        <f>0</f>
        <v>0</v>
      </c>
      <c r="AM76" s="269">
        <f t="shared" ca="1" si="29"/>
        <v>0</v>
      </c>
      <c r="AN76" s="422">
        <f t="shared" ca="1" si="38"/>
        <v>18.189999999999998</v>
      </c>
      <c r="AO76" s="423">
        <f t="shared" ca="1" si="38"/>
        <v>30526306.859062586</v>
      </c>
      <c r="AP76" s="271">
        <f t="shared" ca="1" si="38"/>
        <v>0</v>
      </c>
      <c r="AQ76" s="271">
        <f t="shared" ca="1" si="38"/>
        <v>0.11849999999999999</v>
      </c>
      <c r="AR76" s="271">
        <f t="shared" ca="1" si="38"/>
        <v>0.11849999999999999</v>
      </c>
      <c r="AS76" s="271">
        <f t="shared" ca="1" si="38"/>
        <v>0.11849999999999999</v>
      </c>
      <c r="AT76" s="271">
        <f t="shared" ca="1" si="38"/>
        <v>1.9E-2</v>
      </c>
      <c r="AU76" s="278">
        <f t="shared" ca="1" si="36"/>
        <v>0.1</v>
      </c>
    </row>
    <row r="77" spans="2:47" ht="13.15" thickBot="1" x14ac:dyDescent="0.4">
      <c r="B77" s="18">
        <f t="shared" si="30"/>
        <v>58</v>
      </c>
      <c r="C77" s="85">
        <f t="shared" ca="1" si="10"/>
        <v>0</v>
      </c>
      <c r="D77" s="85">
        <f t="shared" ca="1" si="2"/>
        <v>0</v>
      </c>
      <c r="E77" s="84">
        <f t="shared" ca="1" si="11"/>
        <v>0</v>
      </c>
      <c r="F77" s="135">
        <f t="shared" ca="1" si="25"/>
        <v>0</v>
      </c>
      <c r="G77" s="409">
        <f t="shared" ca="1" si="4"/>
        <v>0</v>
      </c>
      <c r="H77" s="409">
        <f t="shared" ca="1" si="5"/>
        <v>0</v>
      </c>
      <c r="I77" s="275">
        <f t="shared" ca="1" si="26"/>
        <v>0</v>
      </c>
      <c r="J77" s="275">
        <f t="shared" ca="1" si="12"/>
        <v>0</v>
      </c>
      <c r="K77" s="137">
        <f t="shared" ca="1" si="28"/>
        <v>0</v>
      </c>
      <c r="L77" s="15" t="str">
        <f t="shared" ca="1" si="37"/>
        <v>F</v>
      </c>
      <c r="M77" s="88">
        <f t="shared" ca="1" si="37"/>
        <v>0</v>
      </c>
      <c r="N77" s="88">
        <f t="shared" ca="1" si="37"/>
        <v>0</v>
      </c>
      <c r="O77" s="432">
        <v>1000000000000000</v>
      </c>
      <c r="P77" s="69">
        <v>109575</v>
      </c>
      <c r="Q77" s="3">
        <f t="shared" si="13"/>
        <v>64583</v>
      </c>
      <c r="R77" s="107">
        <f t="shared" ca="1" si="14"/>
        <v>17.97</v>
      </c>
      <c r="S77" s="105">
        <f t="shared" ca="1" si="15"/>
        <v>17716417.870576583</v>
      </c>
      <c r="T77" s="341">
        <v>0</v>
      </c>
      <c r="U77" s="341">
        <v>0.11849999999999999</v>
      </c>
      <c r="V77" s="341">
        <v>0.11849999999999999</v>
      </c>
      <c r="W77" s="341">
        <v>0.11849999999999999</v>
      </c>
      <c r="X77" s="281">
        <f t="shared" si="34"/>
        <v>1.9E-2</v>
      </c>
      <c r="Y77" s="282">
        <f t="shared" si="27"/>
        <v>9.7000000000000003E-2</v>
      </c>
      <c r="AA77" s="391">
        <f t="shared" ca="1" si="16"/>
        <v>0</v>
      </c>
      <c r="AB77" s="400">
        <f t="shared" ca="1" si="16"/>
        <v>0</v>
      </c>
      <c r="AC77" s="258">
        <f t="shared" ca="1" si="16"/>
        <v>0</v>
      </c>
      <c r="AD77" s="258">
        <f t="shared" ca="1" si="16"/>
        <v>0</v>
      </c>
      <c r="AE77" s="402">
        <f t="shared" ca="1" si="16"/>
        <v>0</v>
      </c>
      <c r="AF77" s="402">
        <f t="shared" ca="1" si="16"/>
        <v>0</v>
      </c>
      <c r="AG77" s="404">
        <f t="shared" ca="1" si="17"/>
        <v>0</v>
      </c>
      <c r="AH77" s="415">
        <f t="shared" ca="1" si="18"/>
        <v>0</v>
      </c>
      <c r="AI77" s="415">
        <f t="shared" ca="1" si="19"/>
        <v>0</v>
      </c>
      <c r="AJ77" s="416">
        <f t="shared" ca="1" si="20"/>
        <v>0</v>
      </c>
      <c r="AK77" s="416">
        <f t="shared" ca="1" si="21"/>
        <v>0</v>
      </c>
      <c r="AL77" s="417">
        <f>0</f>
        <v>0</v>
      </c>
      <c r="AM77" s="269">
        <f t="shared" ca="1" si="29"/>
        <v>0</v>
      </c>
      <c r="AN77" s="422">
        <f t="shared" ca="1" si="38"/>
        <v>18.189999999999998</v>
      </c>
      <c r="AO77" s="423">
        <f t="shared" ca="1" si="38"/>
        <v>30526306.859062586</v>
      </c>
      <c r="AP77" s="271">
        <f t="shared" ca="1" si="38"/>
        <v>0</v>
      </c>
      <c r="AQ77" s="271">
        <f t="shared" ca="1" si="38"/>
        <v>0.11849999999999999</v>
      </c>
      <c r="AR77" s="271">
        <f t="shared" ca="1" si="38"/>
        <v>0.11849999999999999</v>
      </c>
      <c r="AS77" s="271">
        <f t="shared" ca="1" si="38"/>
        <v>0.11849999999999999</v>
      </c>
      <c r="AT77" s="271">
        <f t="shared" ca="1" si="38"/>
        <v>1.9E-2</v>
      </c>
      <c r="AU77" s="278">
        <f t="shared" ca="1" si="36"/>
        <v>0.1</v>
      </c>
    </row>
    <row r="78" spans="2:47" ht="13.15" thickBot="1" x14ac:dyDescent="0.4">
      <c r="B78" s="18">
        <f t="shared" si="30"/>
        <v>59</v>
      </c>
      <c r="C78" s="85">
        <f t="shared" ca="1" si="10"/>
        <v>0</v>
      </c>
      <c r="D78" s="85">
        <f t="shared" ca="1" si="2"/>
        <v>0</v>
      </c>
      <c r="E78" s="84">
        <f t="shared" ca="1" si="11"/>
        <v>0</v>
      </c>
      <c r="F78" s="135">
        <f t="shared" ca="1" si="25"/>
        <v>0</v>
      </c>
      <c r="G78" s="409">
        <f t="shared" ca="1" si="4"/>
        <v>0</v>
      </c>
      <c r="H78" s="409">
        <f t="shared" ca="1" si="5"/>
        <v>0</v>
      </c>
      <c r="I78" s="275">
        <f t="shared" ca="1" si="26"/>
        <v>0</v>
      </c>
      <c r="J78" s="275">
        <f t="shared" ca="1" si="12"/>
        <v>0</v>
      </c>
      <c r="K78" s="137">
        <f t="shared" ca="1" si="28"/>
        <v>0</v>
      </c>
      <c r="L78" s="15" t="str">
        <f t="shared" ca="1" si="37"/>
        <v>F</v>
      </c>
      <c r="M78" s="88">
        <f t="shared" ca="1" si="37"/>
        <v>0</v>
      </c>
      <c r="N78" s="88">
        <f t="shared" ca="1" si="37"/>
        <v>0</v>
      </c>
      <c r="O78" s="432">
        <v>1000000000000000</v>
      </c>
      <c r="P78" s="69">
        <v>109575</v>
      </c>
      <c r="Q78" s="3">
        <f t="shared" si="13"/>
        <v>64583</v>
      </c>
      <c r="R78" s="107">
        <f t="shared" ca="1" si="14"/>
        <v>17.97</v>
      </c>
      <c r="S78" s="105">
        <f t="shared" ca="1" si="15"/>
        <v>17716417.870576583</v>
      </c>
      <c r="T78" s="341">
        <v>0</v>
      </c>
      <c r="U78" s="341">
        <v>0.11849999999999999</v>
      </c>
      <c r="V78" s="341">
        <v>0.11849999999999999</v>
      </c>
      <c r="W78" s="341">
        <v>0.11849999999999999</v>
      </c>
      <c r="X78" s="281">
        <f t="shared" si="34"/>
        <v>1.9E-2</v>
      </c>
      <c r="Y78" s="282">
        <f t="shared" si="27"/>
        <v>9.7000000000000003E-2</v>
      </c>
      <c r="AA78" s="391">
        <f t="shared" ca="1" si="16"/>
        <v>0</v>
      </c>
      <c r="AB78" s="400">
        <f t="shared" ca="1" si="16"/>
        <v>0</v>
      </c>
      <c r="AC78" s="258">
        <f t="shared" ca="1" si="16"/>
        <v>0</v>
      </c>
      <c r="AD78" s="258">
        <f t="shared" ca="1" si="16"/>
        <v>0</v>
      </c>
      <c r="AE78" s="402">
        <f t="shared" ca="1" si="16"/>
        <v>0</v>
      </c>
      <c r="AF78" s="402">
        <f t="shared" ca="1" si="16"/>
        <v>0</v>
      </c>
      <c r="AG78" s="404">
        <f t="shared" ca="1" si="17"/>
        <v>0</v>
      </c>
      <c r="AH78" s="415">
        <f t="shared" ca="1" si="18"/>
        <v>0</v>
      </c>
      <c r="AI78" s="415">
        <f t="shared" ca="1" si="19"/>
        <v>0</v>
      </c>
      <c r="AJ78" s="416">
        <f t="shared" ca="1" si="20"/>
        <v>0</v>
      </c>
      <c r="AK78" s="416">
        <f t="shared" ca="1" si="21"/>
        <v>0</v>
      </c>
      <c r="AL78" s="417">
        <f>0</f>
        <v>0</v>
      </c>
      <c r="AM78" s="269">
        <f t="shared" ca="1" si="29"/>
        <v>0</v>
      </c>
      <c r="AN78" s="422">
        <f t="shared" ca="1" si="38"/>
        <v>18.189999999999998</v>
      </c>
      <c r="AO78" s="423">
        <f t="shared" ca="1" si="38"/>
        <v>30526306.859062586</v>
      </c>
      <c r="AP78" s="271">
        <f t="shared" ca="1" si="38"/>
        <v>0</v>
      </c>
      <c r="AQ78" s="271">
        <f t="shared" ca="1" si="38"/>
        <v>0.11849999999999999</v>
      </c>
      <c r="AR78" s="271">
        <f t="shared" ca="1" si="38"/>
        <v>0.11849999999999999</v>
      </c>
      <c r="AS78" s="271">
        <f t="shared" ca="1" si="38"/>
        <v>0.11849999999999999</v>
      </c>
      <c r="AT78" s="271">
        <f t="shared" ca="1" si="38"/>
        <v>1.9E-2</v>
      </c>
      <c r="AU78" s="278">
        <f t="shared" ca="1" si="36"/>
        <v>0.1</v>
      </c>
    </row>
    <row r="79" spans="2:47" ht="13.15" thickBot="1" x14ac:dyDescent="0.4">
      <c r="B79" s="18">
        <f t="shared" si="30"/>
        <v>60</v>
      </c>
      <c r="C79" s="85">
        <f t="shared" ca="1" si="10"/>
        <v>0</v>
      </c>
      <c r="D79" s="85">
        <f t="shared" ca="1" si="2"/>
        <v>0</v>
      </c>
      <c r="E79" s="84">
        <f t="shared" ca="1" si="11"/>
        <v>0</v>
      </c>
      <c r="F79" s="135">
        <f t="shared" ca="1" si="25"/>
        <v>0</v>
      </c>
      <c r="G79" s="409">
        <f t="shared" ca="1" si="4"/>
        <v>0</v>
      </c>
      <c r="H79" s="409">
        <f t="shared" ca="1" si="5"/>
        <v>0</v>
      </c>
      <c r="I79" s="275">
        <f t="shared" ca="1" si="26"/>
        <v>0</v>
      </c>
      <c r="J79" s="275">
        <f t="shared" ca="1" si="12"/>
        <v>0</v>
      </c>
      <c r="K79" s="137">
        <f t="shared" ca="1" si="28"/>
        <v>0</v>
      </c>
      <c r="L79" s="15" t="str">
        <f t="shared" ca="1" si="37"/>
        <v>F</v>
      </c>
      <c r="M79" s="88">
        <f t="shared" ca="1" si="37"/>
        <v>0</v>
      </c>
      <c r="N79" s="88">
        <f t="shared" ca="1" si="37"/>
        <v>0</v>
      </c>
      <c r="O79" s="432">
        <v>1000000000000000</v>
      </c>
      <c r="P79" s="69">
        <v>109575</v>
      </c>
      <c r="Q79" s="3">
        <f t="shared" si="13"/>
        <v>64583</v>
      </c>
      <c r="R79" s="107">
        <f t="shared" ca="1" si="14"/>
        <v>17.97</v>
      </c>
      <c r="S79" s="105">
        <f t="shared" ca="1" si="15"/>
        <v>17716417.870576583</v>
      </c>
      <c r="T79" s="341">
        <v>0</v>
      </c>
      <c r="U79" s="341">
        <v>0.11849999999999999</v>
      </c>
      <c r="V79" s="341">
        <v>0.11849999999999999</v>
      </c>
      <c r="W79" s="341">
        <v>0.11849999999999999</v>
      </c>
      <c r="X79" s="281">
        <f t="shared" si="34"/>
        <v>1.9E-2</v>
      </c>
      <c r="Y79" s="282">
        <f t="shared" si="27"/>
        <v>9.7000000000000003E-2</v>
      </c>
      <c r="AA79" s="391">
        <f t="shared" ca="1" si="16"/>
        <v>0</v>
      </c>
      <c r="AB79" s="400">
        <f t="shared" ca="1" si="16"/>
        <v>0</v>
      </c>
      <c r="AC79" s="258">
        <f t="shared" ca="1" si="16"/>
        <v>0</v>
      </c>
      <c r="AD79" s="258">
        <f t="shared" ca="1" si="16"/>
        <v>0</v>
      </c>
      <c r="AE79" s="402">
        <f t="shared" ca="1" si="16"/>
        <v>0</v>
      </c>
      <c r="AF79" s="402">
        <f t="shared" ca="1" si="16"/>
        <v>0</v>
      </c>
      <c r="AG79" s="404">
        <f t="shared" ca="1" si="17"/>
        <v>0</v>
      </c>
      <c r="AH79" s="415">
        <f t="shared" ca="1" si="18"/>
        <v>0</v>
      </c>
      <c r="AI79" s="415">
        <f t="shared" ca="1" si="19"/>
        <v>0</v>
      </c>
      <c r="AJ79" s="416">
        <f t="shared" ca="1" si="20"/>
        <v>0</v>
      </c>
      <c r="AK79" s="416">
        <f t="shared" ca="1" si="21"/>
        <v>0</v>
      </c>
      <c r="AL79" s="417">
        <f>0</f>
        <v>0</v>
      </c>
      <c r="AM79" s="269">
        <f t="shared" ca="1" si="29"/>
        <v>0</v>
      </c>
      <c r="AN79" s="422">
        <f t="shared" ca="1" si="38"/>
        <v>18.189999999999998</v>
      </c>
      <c r="AO79" s="423">
        <f t="shared" ca="1" si="38"/>
        <v>30526306.859062586</v>
      </c>
      <c r="AP79" s="271">
        <f t="shared" ca="1" si="38"/>
        <v>0</v>
      </c>
      <c r="AQ79" s="271">
        <f t="shared" ca="1" si="38"/>
        <v>0.11849999999999999</v>
      </c>
      <c r="AR79" s="271">
        <f t="shared" ca="1" si="38"/>
        <v>0.11849999999999999</v>
      </c>
      <c r="AS79" s="271">
        <f t="shared" ca="1" si="38"/>
        <v>0.11849999999999999</v>
      </c>
      <c r="AT79" s="271">
        <f t="shared" ca="1" si="38"/>
        <v>1.9E-2</v>
      </c>
      <c r="AU79" s="278">
        <f t="shared" ca="1" si="36"/>
        <v>0.1</v>
      </c>
    </row>
    <row r="80" spans="2:47" ht="13.15" thickBot="1" x14ac:dyDescent="0.4">
      <c r="B80" s="18">
        <f t="shared" si="30"/>
        <v>61</v>
      </c>
      <c r="C80" s="85">
        <f t="shared" ca="1" si="10"/>
        <v>0</v>
      </c>
      <c r="D80" s="85">
        <f t="shared" ca="1" si="2"/>
        <v>0</v>
      </c>
      <c r="E80" s="84">
        <f t="shared" ca="1" si="11"/>
        <v>0</v>
      </c>
      <c r="F80" s="135">
        <f t="shared" ca="1" si="25"/>
        <v>0</v>
      </c>
      <c r="G80" s="409">
        <f t="shared" ca="1" si="4"/>
        <v>0</v>
      </c>
      <c r="H80" s="409">
        <f t="shared" ca="1" si="5"/>
        <v>0</v>
      </c>
      <c r="I80" s="275">
        <f t="shared" ca="1" si="26"/>
        <v>0</v>
      </c>
      <c r="J80" s="275">
        <f t="shared" ca="1" si="12"/>
        <v>0</v>
      </c>
      <c r="K80" s="137">
        <f t="shared" ca="1" si="28"/>
        <v>0</v>
      </c>
      <c r="L80" s="15" t="str">
        <f t="shared" ca="1" si="37"/>
        <v>F</v>
      </c>
      <c r="M80" s="88">
        <f t="shared" ca="1" si="37"/>
        <v>0</v>
      </c>
      <c r="N80" s="88">
        <f t="shared" ca="1" si="37"/>
        <v>0</v>
      </c>
      <c r="O80" s="432">
        <v>1000000000000000</v>
      </c>
      <c r="P80" s="69">
        <v>109575</v>
      </c>
      <c r="Q80" s="3">
        <f t="shared" si="13"/>
        <v>64583</v>
      </c>
      <c r="R80" s="107">
        <f t="shared" ca="1" si="14"/>
        <v>17.97</v>
      </c>
      <c r="S80" s="105">
        <f t="shared" ca="1" si="15"/>
        <v>17716417.870576583</v>
      </c>
      <c r="T80" s="341">
        <v>0</v>
      </c>
      <c r="U80" s="341">
        <v>0.11849999999999999</v>
      </c>
      <c r="V80" s="341">
        <v>0.11849999999999999</v>
      </c>
      <c r="W80" s="341">
        <v>0.11849999999999999</v>
      </c>
      <c r="X80" s="281">
        <f t="shared" si="34"/>
        <v>1.9E-2</v>
      </c>
      <c r="Y80" s="282">
        <f t="shared" si="27"/>
        <v>9.7000000000000003E-2</v>
      </c>
      <c r="AA80" s="391">
        <f t="shared" ca="1" si="16"/>
        <v>0</v>
      </c>
      <c r="AB80" s="400">
        <f t="shared" ca="1" si="16"/>
        <v>0</v>
      </c>
      <c r="AC80" s="258">
        <f t="shared" ca="1" si="16"/>
        <v>0</v>
      </c>
      <c r="AD80" s="258">
        <f t="shared" ca="1" si="16"/>
        <v>0</v>
      </c>
      <c r="AE80" s="402">
        <f t="shared" ca="1" si="16"/>
        <v>0</v>
      </c>
      <c r="AF80" s="402">
        <f t="shared" ca="1" si="16"/>
        <v>0</v>
      </c>
      <c r="AG80" s="404">
        <f t="shared" ca="1" si="17"/>
        <v>0</v>
      </c>
      <c r="AH80" s="415">
        <f t="shared" ca="1" si="18"/>
        <v>0</v>
      </c>
      <c r="AI80" s="415">
        <f t="shared" ca="1" si="19"/>
        <v>0</v>
      </c>
      <c r="AJ80" s="416">
        <f t="shared" ca="1" si="20"/>
        <v>0</v>
      </c>
      <c r="AK80" s="416">
        <f t="shared" ca="1" si="21"/>
        <v>0</v>
      </c>
      <c r="AL80" s="417">
        <f>0</f>
        <v>0</v>
      </c>
      <c r="AM80" s="269">
        <f t="shared" ca="1" si="29"/>
        <v>0</v>
      </c>
      <c r="AN80" s="422">
        <f t="shared" ca="1" si="38"/>
        <v>18.189999999999998</v>
      </c>
      <c r="AO80" s="423">
        <f t="shared" ca="1" si="38"/>
        <v>30526306.859062586</v>
      </c>
      <c r="AP80" s="271">
        <f t="shared" ca="1" si="38"/>
        <v>0</v>
      </c>
      <c r="AQ80" s="271">
        <f t="shared" ca="1" si="38"/>
        <v>0.11849999999999999</v>
      </c>
      <c r="AR80" s="271">
        <f t="shared" ca="1" si="38"/>
        <v>0.11849999999999999</v>
      </c>
      <c r="AS80" s="271">
        <f t="shared" ca="1" si="38"/>
        <v>0.11849999999999999</v>
      </c>
      <c r="AT80" s="271">
        <f t="shared" ca="1" si="38"/>
        <v>1.9E-2</v>
      </c>
      <c r="AU80" s="278">
        <f t="shared" ca="1" si="36"/>
        <v>0.1</v>
      </c>
    </row>
    <row r="81" spans="2:47" ht="13.15" thickBot="1" x14ac:dyDescent="0.4">
      <c r="B81" s="18">
        <f t="shared" si="30"/>
        <v>62</v>
      </c>
      <c r="C81" s="85">
        <f t="shared" ca="1" si="10"/>
        <v>0</v>
      </c>
      <c r="D81" s="85">
        <f t="shared" ca="1" si="2"/>
        <v>0</v>
      </c>
      <c r="E81" s="84">
        <f t="shared" ca="1" si="11"/>
        <v>0</v>
      </c>
      <c r="F81" s="135">
        <f t="shared" ca="1" si="25"/>
        <v>0</v>
      </c>
      <c r="G81" s="409">
        <f t="shared" ca="1" si="4"/>
        <v>0</v>
      </c>
      <c r="H81" s="409">
        <f t="shared" ca="1" si="5"/>
        <v>0</v>
      </c>
      <c r="I81" s="275">
        <f t="shared" ca="1" si="26"/>
        <v>0</v>
      </c>
      <c r="J81" s="275">
        <f t="shared" ca="1" si="12"/>
        <v>0</v>
      </c>
      <c r="K81" s="137">
        <f t="shared" ca="1" si="28"/>
        <v>0</v>
      </c>
      <c r="L81" s="15" t="str">
        <f t="shared" ca="1" si="37"/>
        <v>F</v>
      </c>
      <c r="M81" s="88">
        <f t="shared" ca="1" si="37"/>
        <v>0</v>
      </c>
      <c r="N81" s="88">
        <f t="shared" ca="1" si="37"/>
        <v>0</v>
      </c>
      <c r="O81" s="432">
        <v>1000000000000000</v>
      </c>
      <c r="P81" s="69">
        <v>109575</v>
      </c>
      <c r="Q81" s="3">
        <f t="shared" si="13"/>
        <v>64583</v>
      </c>
      <c r="R81" s="107">
        <f t="shared" ca="1" si="14"/>
        <v>17.97</v>
      </c>
      <c r="S81" s="105">
        <f t="shared" ca="1" si="15"/>
        <v>17716417.870576583</v>
      </c>
      <c r="T81" s="341">
        <v>0</v>
      </c>
      <c r="U81" s="341">
        <v>0.11849999999999999</v>
      </c>
      <c r="V81" s="341">
        <v>0.11849999999999999</v>
      </c>
      <c r="W81" s="341">
        <v>0.11849999999999999</v>
      </c>
      <c r="X81" s="281">
        <f t="shared" si="34"/>
        <v>1.9E-2</v>
      </c>
      <c r="Y81" s="282">
        <f t="shared" si="27"/>
        <v>9.7000000000000003E-2</v>
      </c>
      <c r="AA81" s="391">
        <f t="shared" ca="1" si="16"/>
        <v>0</v>
      </c>
      <c r="AB81" s="400">
        <f t="shared" ca="1" si="16"/>
        <v>0</v>
      </c>
      <c r="AC81" s="258">
        <f t="shared" ca="1" si="16"/>
        <v>0</v>
      </c>
      <c r="AD81" s="258">
        <f t="shared" ca="1" si="16"/>
        <v>0</v>
      </c>
      <c r="AE81" s="402">
        <f t="shared" ca="1" si="16"/>
        <v>0</v>
      </c>
      <c r="AF81" s="402">
        <f t="shared" ca="1" si="16"/>
        <v>0</v>
      </c>
      <c r="AG81" s="404">
        <f t="shared" ca="1" si="17"/>
        <v>0</v>
      </c>
      <c r="AH81" s="415">
        <f t="shared" ca="1" si="18"/>
        <v>0</v>
      </c>
      <c r="AI81" s="415">
        <f t="shared" ca="1" si="19"/>
        <v>0</v>
      </c>
      <c r="AJ81" s="416">
        <f t="shared" ca="1" si="20"/>
        <v>0</v>
      </c>
      <c r="AK81" s="416">
        <f t="shared" ca="1" si="21"/>
        <v>0</v>
      </c>
      <c r="AL81" s="417">
        <f>0</f>
        <v>0</v>
      </c>
      <c r="AM81" s="269">
        <f t="shared" ca="1" si="29"/>
        <v>0</v>
      </c>
      <c r="AN81" s="422">
        <f t="shared" ca="1" si="38"/>
        <v>18.189999999999998</v>
      </c>
      <c r="AO81" s="423">
        <f t="shared" ca="1" si="38"/>
        <v>30526306.859062586</v>
      </c>
      <c r="AP81" s="271">
        <f t="shared" ca="1" si="38"/>
        <v>0</v>
      </c>
      <c r="AQ81" s="271">
        <f t="shared" ca="1" si="38"/>
        <v>0.11849999999999999</v>
      </c>
      <c r="AR81" s="271">
        <f t="shared" ca="1" si="38"/>
        <v>0.11849999999999999</v>
      </c>
      <c r="AS81" s="271">
        <f t="shared" ca="1" si="38"/>
        <v>0.11849999999999999</v>
      </c>
      <c r="AT81" s="271">
        <f t="shared" ca="1" si="38"/>
        <v>1.9E-2</v>
      </c>
      <c r="AU81" s="278">
        <f t="shared" ca="1" si="36"/>
        <v>0.1</v>
      </c>
    </row>
    <row r="82" spans="2:47" ht="13.15" thickBot="1" x14ac:dyDescent="0.4">
      <c r="B82" s="18">
        <f t="shared" si="30"/>
        <v>63</v>
      </c>
      <c r="C82" s="85">
        <f t="shared" ca="1" si="10"/>
        <v>0</v>
      </c>
      <c r="D82" s="85">
        <f t="shared" ca="1" si="2"/>
        <v>0</v>
      </c>
      <c r="E82" s="84">
        <f t="shared" ca="1" si="11"/>
        <v>0</v>
      </c>
      <c r="F82" s="135">
        <f t="shared" ca="1" si="25"/>
        <v>0</v>
      </c>
      <c r="G82" s="409">
        <f t="shared" ca="1" si="4"/>
        <v>0</v>
      </c>
      <c r="H82" s="409">
        <f t="shared" ca="1" si="5"/>
        <v>0</v>
      </c>
      <c r="I82" s="275">
        <f t="shared" ca="1" si="26"/>
        <v>0</v>
      </c>
      <c r="J82" s="275">
        <f t="shared" ca="1" si="12"/>
        <v>0</v>
      </c>
      <c r="K82" s="137">
        <f t="shared" ca="1" si="28"/>
        <v>0</v>
      </c>
      <c r="L82" s="15" t="str">
        <f t="shared" ca="1" si="37"/>
        <v>F</v>
      </c>
      <c r="M82" s="88">
        <f t="shared" ca="1" si="37"/>
        <v>0</v>
      </c>
      <c r="N82" s="88">
        <f t="shared" ca="1" si="37"/>
        <v>0</v>
      </c>
      <c r="O82" s="432">
        <v>1000000000000000</v>
      </c>
      <c r="P82" s="69">
        <v>109575</v>
      </c>
      <c r="Q82" s="3">
        <f t="shared" si="13"/>
        <v>64583</v>
      </c>
      <c r="R82" s="107">
        <f t="shared" ca="1" si="14"/>
        <v>17.97</v>
      </c>
      <c r="S82" s="105">
        <f t="shared" ca="1" si="15"/>
        <v>17716417.870576583</v>
      </c>
      <c r="T82" s="341">
        <v>0</v>
      </c>
      <c r="U82" s="341">
        <v>0.11849999999999999</v>
      </c>
      <c r="V82" s="341">
        <v>0.11849999999999999</v>
      </c>
      <c r="W82" s="341">
        <v>0.11849999999999999</v>
      </c>
      <c r="X82" s="281">
        <f t="shared" si="34"/>
        <v>1.9E-2</v>
      </c>
      <c r="Y82" s="282">
        <f t="shared" si="27"/>
        <v>9.7000000000000003E-2</v>
      </c>
      <c r="AA82" s="391">
        <f t="shared" ca="1" si="16"/>
        <v>0</v>
      </c>
      <c r="AB82" s="400">
        <f t="shared" ca="1" si="16"/>
        <v>0</v>
      </c>
      <c r="AC82" s="258">
        <f t="shared" ca="1" si="16"/>
        <v>0</v>
      </c>
      <c r="AD82" s="258">
        <f t="shared" ca="1" si="16"/>
        <v>0</v>
      </c>
      <c r="AE82" s="402">
        <f t="shared" ca="1" si="16"/>
        <v>0</v>
      </c>
      <c r="AF82" s="402">
        <f t="shared" ca="1" si="16"/>
        <v>0</v>
      </c>
      <c r="AG82" s="404">
        <f t="shared" ca="1" si="17"/>
        <v>0</v>
      </c>
      <c r="AH82" s="415">
        <f t="shared" ca="1" si="18"/>
        <v>0</v>
      </c>
      <c r="AI82" s="415">
        <f t="shared" ca="1" si="19"/>
        <v>0</v>
      </c>
      <c r="AJ82" s="416">
        <f t="shared" ca="1" si="20"/>
        <v>0</v>
      </c>
      <c r="AK82" s="416">
        <f t="shared" ca="1" si="21"/>
        <v>0</v>
      </c>
      <c r="AL82" s="417">
        <f>0</f>
        <v>0</v>
      </c>
      <c r="AM82" s="269">
        <f t="shared" ca="1" si="29"/>
        <v>0</v>
      </c>
      <c r="AN82" s="422">
        <f t="shared" ca="1" si="38"/>
        <v>18.189999999999998</v>
      </c>
      <c r="AO82" s="423">
        <f t="shared" ca="1" si="38"/>
        <v>30526306.859062586</v>
      </c>
      <c r="AP82" s="271">
        <f t="shared" ca="1" si="38"/>
        <v>0</v>
      </c>
      <c r="AQ82" s="271">
        <f t="shared" ca="1" si="38"/>
        <v>0.11849999999999999</v>
      </c>
      <c r="AR82" s="271">
        <f t="shared" ca="1" si="38"/>
        <v>0.11849999999999999</v>
      </c>
      <c r="AS82" s="271">
        <f t="shared" ca="1" si="38"/>
        <v>0.11849999999999999</v>
      </c>
      <c r="AT82" s="271">
        <f t="shared" ca="1" si="38"/>
        <v>1.9E-2</v>
      </c>
      <c r="AU82" s="278">
        <f t="shared" ca="1" si="36"/>
        <v>0.1</v>
      </c>
    </row>
    <row r="83" spans="2:47" ht="13.15" thickBot="1" x14ac:dyDescent="0.4">
      <c r="B83" s="18">
        <f t="shared" si="30"/>
        <v>64</v>
      </c>
      <c r="C83" s="85">
        <f t="shared" ca="1" si="10"/>
        <v>0</v>
      </c>
      <c r="D83" s="85">
        <f t="shared" ca="1" si="2"/>
        <v>0</v>
      </c>
      <c r="E83" s="84">
        <f t="shared" ca="1" si="11"/>
        <v>0</v>
      </c>
      <c r="F83" s="135">
        <f t="shared" ca="1" si="25"/>
        <v>0</v>
      </c>
      <c r="G83" s="409">
        <f t="shared" ca="1" si="4"/>
        <v>0</v>
      </c>
      <c r="H83" s="409">
        <f t="shared" ca="1" si="5"/>
        <v>0</v>
      </c>
      <c r="I83" s="275">
        <f t="shared" ca="1" si="26"/>
        <v>0</v>
      </c>
      <c r="J83" s="275">
        <f t="shared" ca="1" si="12"/>
        <v>0</v>
      </c>
      <c r="K83" s="137">
        <f t="shared" ca="1" si="28"/>
        <v>0</v>
      </c>
      <c r="L83" s="15" t="str">
        <f t="shared" ca="1" si="37"/>
        <v>F</v>
      </c>
      <c r="M83" s="88">
        <f t="shared" ca="1" si="37"/>
        <v>0</v>
      </c>
      <c r="N83" s="88">
        <f t="shared" ca="1" si="37"/>
        <v>0</v>
      </c>
      <c r="O83" s="432">
        <v>1000000000000000</v>
      </c>
      <c r="P83" s="69">
        <v>109575</v>
      </c>
      <c r="Q83" s="3">
        <f t="shared" si="13"/>
        <v>64583</v>
      </c>
      <c r="R83" s="107">
        <f t="shared" ca="1" si="14"/>
        <v>17.97</v>
      </c>
      <c r="S83" s="105">
        <f t="shared" ca="1" si="15"/>
        <v>17716417.870576583</v>
      </c>
      <c r="T83" s="341">
        <v>0</v>
      </c>
      <c r="U83" s="341">
        <v>0.11849999999999999</v>
      </c>
      <c r="V83" s="341">
        <v>0.11849999999999999</v>
      </c>
      <c r="W83" s="341">
        <v>0.11849999999999999</v>
      </c>
      <c r="X83" s="281">
        <f t="shared" si="34"/>
        <v>1.9E-2</v>
      </c>
      <c r="Y83" s="282">
        <f t="shared" si="27"/>
        <v>9.7000000000000003E-2</v>
      </c>
      <c r="AA83" s="391">
        <f t="shared" ca="1" si="16"/>
        <v>0</v>
      </c>
      <c r="AB83" s="400">
        <f t="shared" ca="1" si="16"/>
        <v>0</v>
      </c>
      <c r="AC83" s="258">
        <f t="shared" ca="1" si="16"/>
        <v>0</v>
      </c>
      <c r="AD83" s="258">
        <f t="shared" ca="1" si="16"/>
        <v>0</v>
      </c>
      <c r="AE83" s="402">
        <f t="shared" ca="1" si="16"/>
        <v>0</v>
      </c>
      <c r="AF83" s="402">
        <f t="shared" ca="1" si="16"/>
        <v>0</v>
      </c>
      <c r="AG83" s="404">
        <f t="shared" ca="1" si="17"/>
        <v>0</v>
      </c>
      <c r="AH83" s="415">
        <f t="shared" ca="1" si="18"/>
        <v>0</v>
      </c>
      <c r="AI83" s="415">
        <f t="shared" ca="1" si="19"/>
        <v>0</v>
      </c>
      <c r="AJ83" s="416">
        <f t="shared" ca="1" si="20"/>
        <v>0</v>
      </c>
      <c r="AK83" s="416">
        <f t="shared" ca="1" si="21"/>
        <v>0</v>
      </c>
      <c r="AL83" s="417">
        <f>0</f>
        <v>0</v>
      </c>
      <c r="AM83" s="269">
        <f t="shared" ca="1" si="29"/>
        <v>0</v>
      </c>
      <c r="AN83" s="422">
        <f t="shared" ca="1" si="38"/>
        <v>18.189999999999998</v>
      </c>
      <c r="AO83" s="423">
        <f t="shared" ca="1" si="38"/>
        <v>30526306.859062586</v>
      </c>
      <c r="AP83" s="271">
        <f t="shared" ca="1" si="38"/>
        <v>0</v>
      </c>
      <c r="AQ83" s="271">
        <f t="shared" ca="1" si="38"/>
        <v>0.11849999999999999</v>
      </c>
      <c r="AR83" s="271">
        <f t="shared" ca="1" si="38"/>
        <v>0.11849999999999999</v>
      </c>
      <c r="AS83" s="271">
        <f t="shared" ca="1" si="38"/>
        <v>0.11849999999999999</v>
      </c>
      <c r="AT83" s="271">
        <f t="shared" ca="1" si="38"/>
        <v>1.9E-2</v>
      </c>
      <c r="AU83" s="278">
        <f t="shared" ca="1" si="36"/>
        <v>0.1</v>
      </c>
    </row>
    <row r="84" spans="2:47" ht="13.15" thickBot="1" x14ac:dyDescent="0.4">
      <c r="B84" s="18">
        <f t="shared" si="30"/>
        <v>65</v>
      </c>
      <c r="C84" s="85">
        <f t="shared" ca="1" si="10"/>
        <v>0</v>
      </c>
      <c r="D84" s="85">
        <f t="shared" ref="D84:D110" ca="1" si="39">E84-AA84</f>
        <v>0</v>
      </c>
      <c r="E84" s="84">
        <f t="shared" ca="1" si="11"/>
        <v>0</v>
      </c>
      <c r="F84" s="135">
        <f t="shared" ca="1" si="25"/>
        <v>0</v>
      </c>
      <c r="G84" s="409">
        <f t="shared" ref="G84:G110" ca="1" si="40">BSGamma(L84,1/S84,1/O84,Q84,X84,Y84,T84)*N84</f>
        <v>0</v>
      </c>
      <c r="H84" s="409">
        <f t="shared" ref="H84:H110" ca="1" si="41">BSVega(L84,1/S84,1/O84,Q84,X84,Y84,T84)*N84*1000000</f>
        <v>0</v>
      </c>
      <c r="I84" s="275">
        <f t="shared" ca="1" si="26"/>
        <v>0</v>
      </c>
      <c r="J84" s="275">
        <f t="shared" ca="1" si="12"/>
        <v>0</v>
      </c>
      <c r="K84" s="137">
        <f t="shared" ca="1" si="28"/>
        <v>0</v>
      </c>
      <c r="L84" s="15" t="str">
        <f t="shared" ca="1" si="37"/>
        <v>F</v>
      </c>
      <c r="M84" s="88">
        <f t="shared" ca="1" si="37"/>
        <v>0</v>
      </c>
      <c r="N84" s="88">
        <f t="shared" ca="1" si="37"/>
        <v>0</v>
      </c>
      <c r="O84" s="432">
        <v>1000000000000000</v>
      </c>
      <c r="P84" s="69">
        <v>109575</v>
      </c>
      <c r="Q84" s="3">
        <f t="shared" si="13"/>
        <v>64583</v>
      </c>
      <c r="R84" s="107">
        <f t="shared" ca="1" si="14"/>
        <v>17.97</v>
      </c>
      <c r="S84" s="105">
        <f t="shared" ca="1" si="15"/>
        <v>17716417.870576583</v>
      </c>
      <c r="T84" s="341">
        <v>0</v>
      </c>
      <c r="U84" s="341">
        <v>0.11849999999999999</v>
      </c>
      <c r="V84" s="341">
        <v>0.11849999999999999</v>
      </c>
      <c r="W84" s="341">
        <v>0.11849999999999999</v>
      </c>
      <c r="X84" s="281">
        <f t="shared" si="34"/>
        <v>1.9E-2</v>
      </c>
      <c r="Y84" s="282">
        <f t="shared" si="27"/>
        <v>9.7000000000000003E-2</v>
      </c>
      <c r="AA84" s="391">
        <f t="shared" ca="1" si="16"/>
        <v>0</v>
      </c>
      <c r="AB84" s="400">
        <f t="shared" ca="1" si="16"/>
        <v>0</v>
      </c>
      <c r="AC84" s="258">
        <f t="shared" ca="1" si="16"/>
        <v>0</v>
      </c>
      <c r="AD84" s="258">
        <f t="shared" ca="1" si="16"/>
        <v>0</v>
      </c>
      <c r="AE84" s="402">
        <f t="shared" ca="1" si="16"/>
        <v>0</v>
      </c>
      <c r="AF84" s="402">
        <f t="shared" ca="1" si="16"/>
        <v>0</v>
      </c>
      <c r="AG84" s="404">
        <f t="shared" ca="1" si="17"/>
        <v>0</v>
      </c>
      <c r="AH84" s="415">
        <f t="shared" ca="1" si="18"/>
        <v>0</v>
      </c>
      <c r="AI84" s="415">
        <f t="shared" ca="1" si="19"/>
        <v>0</v>
      </c>
      <c r="AJ84" s="416">
        <f t="shared" ca="1" si="20"/>
        <v>0</v>
      </c>
      <c r="AK84" s="416">
        <f t="shared" ca="1" si="21"/>
        <v>0</v>
      </c>
      <c r="AL84" s="417">
        <f>0</f>
        <v>0</v>
      </c>
      <c r="AM84" s="269">
        <f t="shared" ca="1" si="29"/>
        <v>0</v>
      </c>
      <c r="AN84" s="422">
        <f t="shared" ca="1" si="38"/>
        <v>18.189999999999998</v>
      </c>
      <c r="AO84" s="423">
        <f t="shared" ca="1" si="38"/>
        <v>30526306.859062586</v>
      </c>
      <c r="AP84" s="271">
        <f t="shared" ca="1" si="38"/>
        <v>0</v>
      </c>
      <c r="AQ84" s="271">
        <f t="shared" ca="1" si="38"/>
        <v>0.11849999999999999</v>
      </c>
      <c r="AR84" s="271">
        <f t="shared" ca="1" si="38"/>
        <v>0.11849999999999999</v>
      </c>
      <c r="AS84" s="271">
        <f t="shared" ca="1" si="38"/>
        <v>0.11849999999999999</v>
      </c>
      <c r="AT84" s="271">
        <f t="shared" ca="1" si="38"/>
        <v>1.9E-2</v>
      </c>
      <c r="AU84" s="278">
        <f t="shared" ca="1" si="36"/>
        <v>0.1</v>
      </c>
    </row>
    <row r="85" spans="2:47" ht="13.15" thickBot="1" x14ac:dyDescent="0.4">
      <c r="B85" s="18">
        <f t="shared" si="30"/>
        <v>66</v>
      </c>
      <c r="C85" s="85">
        <f t="shared" ref="C85:C110" ca="1" si="42">AM85</f>
        <v>0</v>
      </c>
      <c r="D85" s="85">
        <f t="shared" ca="1" si="39"/>
        <v>0</v>
      </c>
      <c r="E85" s="84">
        <f t="shared" ref="E85:E110" ca="1" si="43">N85*BSPrice(L85,1/S85,1/O85,Q85,X85,Y85,T85)*1000000</f>
        <v>0</v>
      </c>
      <c r="F85" s="135">
        <f t="shared" ca="1" si="25"/>
        <v>0</v>
      </c>
      <c r="G85" s="409">
        <f t="shared" ca="1" si="40"/>
        <v>0</v>
      </c>
      <c r="H85" s="409">
        <f t="shared" ca="1" si="41"/>
        <v>0</v>
      </c>
      <c r="I85" s="275">
        <f t="shared" ca="1" si="26"/>
        <v>0</v>
      </c>
      <c r="J85" s="275">
        <f t="shared" ref="J85:J110" ca="1" si="44">N85*BSDailyRhoExt(L85,1/S85,1/O85,Q85,X85,Y85,T85)*1000000</f>
        <v>0</v>
      </c>
      <c r="K85" s="137">
        <f t="shared" ca="1" si="28"/>
        <v>0</v>
      </c>
      <c r="L85" s="15" t="str">
        <f t="shared" ca="1" si="37"/>
        <v>F</v>
      </c>
      <c r="M85" s="88">
        <f t="shared" ca="1" si="37"/>
        <v>0</v>
      </c>
      <c r="N85" s="88">
        <f t="shared" ca="1" si="37"/>
        <v>0</v>
      </c>
      <c r="O85" s="432">
        <v>1000000000000000</v>
      </c>
      <c r="P85" s="69">
        <v>109575</v>
      </c>
      <c r="Q85" s="3">
        <f t="shared" ref="Q85:Q110" si="45">(P85-$H$2)</f>
        <v>64583</v>
      </c>
      <c r="R85" s="107">
        <f t="shared" ref="R85:R110" ca="1" si="46">IF(L85="D",1,$I$6)</f>
        <v>17.97</v>
      </c>
      <c r="S85" s="105">
        <f t="shared" ref="S85:S110" ca="1" si="47">IF(L85="D",1,R85*EXP(-($I$10-$I$11)*Q85/365))</f>
        <v>17716417.870576583</v>
      </c>
      <c r="T85" s="341">
        <v>0</v>
      </c>
      <c r="U85" s="341">
        <v>0.11849999999999999</v>
      </c>
      <c r="V85" s="341">
        <v>0.11849999999999999</v>
      </c>
      <c r="W85" s="341">
        <v>0.11849999999999999</v>
      </c>
      <c r="X85" s="281">
        <f t="shared" si="34"/>
        <v>1.9E-2</v>
      </c>
      <c r="Y85" s="282">
        <f t="shared" si="27"/>
        <v>9.7000000000000003E-2</v>
      </c>
      <c r="AA85" s="391">
        <f t="shared" ref="AA85:AF110" ca="1" si="48">INDIRECT("'"&amp; $AB$16 &amp;"'!"&amp; ADDRESS(ROW(E85),COLUMN(E85),4))</f>
        <v>0</v>
      </c>
      <c r="AB85" s="400">
        <f t="shared" ca="1" si="48"/>
        <v>0</v>
      </c>
      <c r="AC85" s="258">
        <f t="shared" ca="1" si="48"/>
        <v>0</v>
      </c>
      <c r="AD85" s="258">
        <f t="shared" ca="1" si="48"/>
        <v>0</v>
      </c>
      <c r="AE85" s="402">
        <f t="shared" ca="1" si="48"/>
        <v>0</v>
      </c>
      <c r="AF85" s="402">
        <f t="shared" ca="1" si="48"/>
        <v>0</v>
      </c>
      <c r="AG85" s="404">
        <f t="shared" ref="AG85:AG110" ca="1" si="49">AB85*((1/R85)-(1/AN85))*1000000</f>
        <v>0</v>
      </c>
      <c r="AH85" s="415">
        <f t="shared" ref="AH85:AH110" ca="1" si="50">0.5*AC85*((1/R85)-(1/AN85))^2*1000000</f>
        <v>0</v>
      </c>
      <c r="AI85" s="415">
        <f t="shared" ref="AI85:AI110" ca="1" si="51">AD85*(T85-AP85)</f>
        <v>0</v>
      </c>
      <c r="AJ85" s="416">
        <f t="shared" ref="AJ85:AJ110" ca="1" si="52">(AE85*(X85-AT85))/0.01%</f>
        <v>0</v>
      </c>
      <c r="AK85" s="416">
        <f t="shared" ref="AK85:AK110" ca="1" si="53">(AF85*(Y85-AU85))/0.01%</f>
        <v>0</v>
      </c>
      <c r="AL85" s="417">
        <f>0</f>
        <v>0</v>
      </c>
      <c r="AM85" s="269">
        <f t="shared" ca="1" si="29"/>
        <v>0</v>
      </c>
      <c r="AN85" s="422">
        <f t="shared" ca="1" si="38"/>
        <v>18.189999999999998</v>
      </c>
      <c r="AO85" s="423">
        <f t="shared" ca="1" si="38"/>
        <v>30526306.859062586</v>
      </c>
      <c r="AP85" s="271">
        <f t="shared" ca="1" si="38"/>
        <v>0</v>
      </c>
      <c r="AQ85" s="271">
        <f t="shared" ca="1" si="38"/>
        <v>0.11849999999999999</v>
      </c>
      <c r="AR85" s="271">
        <f t="shared" ca="1" si="38"/>
        <v>0.11849999999999999</v>
      </c>
      <c r="AS85" s="271">
        <f t="shared" ca="1" si="38"/>
        <v>0.11849999999999999</v>
      </c>
      <c r="AT85" s="271">
        <f t="shared" ca="1" si="38"/>
        <v>1.9E-2</v>
      </c>
      <c r="AU85" s="278">
        <f t="shared" ca="1" si="36"/>
        <v>0.1</v>
      </c>
    </row>
    <row r="86" spans="2:47" ht="13.15" thickBot="1" x14ac:dyDescent="0.4">
      <c r="B86" s="18">
        <f t="shared" si="30"/>
        <v>67</v>
      </c>
      <c r="C86" s="85">
        <f t="shared" ca="1" si="42"/>
        <v>0</v>
      </c>
      <c r="D86" s="85">
        <f t="shared" ca="1" si="39"/>
        <v>0</v>
      </c>
      <c r="E86" s="84">
        <f t="shared" ca="1" si="43"/>
        <v>0</v>
      </c>
      <c r="F86" s="135">
        <f t="shared" ref="F86:F110" ca="1" si="54">N86*BSDelta(L86,1/S86,1/O86,Q86,X86,Y86,T86)</f>
        <v>0</v>
      </c>
      <c r="G86" s="409">
        <f t="shared" ca="1" si="40"/>
        <v>0</v>
      </c>
      <c r="H86" s="409">
        <f t="shared" ca="1" si="41"/>
        <v>0</v>
      </c>
      <c r="I86" s="275">
        <f t="shared" ref="I86:I110" ca="1" si="55">N86*BSDailyRhoUSD(L86,1/S86,1/O86,Q86,X86,Y86,T86)*1000000</f>
        <v>0</v>
      </c>
      <c r="J86" s="275">
        <f t="shared" ca="1" si="44"/>
        <v>0</v>
      </c>
      <c r="K86" s="137">
        <f t="shared" ca="1" si="28"/>
        <v>0</v>
      </c>
      <c r="L86" s="15" t="str">
        <f t="shared" ca="1" si="37"/>
        <v>F</v>
      </c>
      <c r="M86" s="88">
        <f t="shared" ca="1" si="37"/>
        <v>0</v>
      </c>
      <c r="N86" s="88">
        <f t="shared" ca="1" si="37"/>
        <v>0</v>
      </c>
      <c r="O86" s="432">
        <v>1000000000000000</v>
      </c>
      <c r="P86" s="69">
        <v>109575</v>
      </c>
      <c r="Q86" s="3">
        <f t="shared" si="45"/>
        <v>64583</v>
      </c>
      <c r="R86" s="107">
        <f t="shared" ca="1" si="46"/>
        <v>17.97</v>
      </c>
      <c r="S86" s="105">
        <f t="shared" ca="1" si="47"/>
        <v>17716417.870576583</v>
      </c>
      <c r="T86" s="341">
        <v>0</v>
      </c>
      <c r="U86" s="341">
        <v>0.11849999999999999</v>
      </c>
      <c r="V86" s="341">
        <v>0.11849999999999999</v>
      </c>
      <c r="W86" s="341">
        <v>0.11849999999999999</v>
      </c>
      <c r="X86" s="281">
        <f t="shared" si="34"/>
        <v>1.9E-2</v>
      </c>
      <c r="Y86" s="282">
        <f t="shared" ref="Y86:Y110" si="56">Y85</f>
        <v>9.7000000000000003E-2</v>
      </c>
      <c r="AA86" s="391">
        <f t="shared" ca="1" si="48"/>
        <v>0</v>
      </c>
      <c r="AB86" s="400">
        <f t="shared" ca="1" si="48"/>
        <v>0</v>
      </c>
      <c r="AC86" s="258">
        <f t="shared" ca="1" si="48"/>
        <v>0</v>
      </c>
      <c r="AD86" s="258">
        <f t="shared" ca="1" si="48"/>
        <v>0</v>
      </c>
      <c r="AE86" s="402">
        <f t="shared" ca="1" si="48"/>
        <v>0</v>
      </c>
      <c r="AF86" s="402">
        <f t="shared" ca="1" si="48"/>
        <v>0</v>
      </c>
      <c r="AG86" s="404">
        <f t="shared" ca="1" si="49"/>
        <v>0</v>
      </c>
      <c r="AH86" s="415">
        <f t="shared" ca="1" si="50"/>
        <v>0</v>
      </c>
      <c r="AI86" s="415">
        <f t="shared" ca="1" si="51"/>
        <v>0</v>
      </c>
      <c r="AJ86" s="416">
        <f t="shared" ca="1" si="52"/>
        <v>0</v>
      </c>
      <c r="AK86" s="416">
        <f t="shared" ca="1" si="53"/>
        <v>0</v>
      </c>
      <c r="AL86" s="417">
        <f>0</f>
        <v>0</v>
      </c>
      <c r="AM86" s="269">
        <f t="shared" ca="1" si="29"/>
        <v>0</v>
      </c>
      <c r="AN86" s="422">
        <f t="shared" ca="1" si="38"/>
        <v>18.189999999999998</v>
      </c>
      <c r="AO86" s="423">
        <f t="shared" ca="1" si="38"/>
        <v>30526306.859062586</v>
      </c>
      <c r="AP86" s="271">
        <f t="shared" ca="1" si="38"/>
        <v>0</v>
      </c>
      <c r="AQ86" s="271">
        <f t="shared" ca="1" si="38"/>
        <v>0.11849999999999999</v>
      </c>
      <c r="AR86" s="271">
        <f t="shared" ca="1" si="38"/>
        <v>0.11849999999999999</v>
      </c>
      <c r="AS86" s="271">
        <f t="shared" ca="1" si="38"/>
        <v>0.11849999999999999</v>
      </c>
      <c r="AT86" s="271">
        <f t="shared" ca="1" si="38"/>
        <v>1.9E-2</v>
      </c>
      <c r="AU86" s="278">
        <f t="shared" ca="1" si="36"/>
        <v>0.1</v>
      </c>
    </row>
    <row r="87" spans="2:47" ht="13.15" thickBot="1" x14ac:dyDescent="0.4">
      <c r="B87" s="18">
        <f t="shared" si="30"/>
        <v>68</v>
      </c>
      <c r="C87" s="85">
        <f t="shared" ca="1" si="42"/>
        <v>0</v>
      </c>
      <c r="D87" s="85">
        <f t="shared" ca="1" si="39"/>
        <v>0</v>
      </c>
      <c r="E87" s="84">
        <f t="shared" ca="1" si="43"/>
        <v>0</v>
      </c>
      <c r="F87" s="135">
        <f t="shared" ca="1" si="54"/>
        <v>0</v>
      </c>
      <c r="G87" s="409">
        <f t="shared" ca="1" si="40"/>
        <v>0</v>
      </c>
      <c r="H87" s="409">
        <f t="shared" ca="1" si="41"/>
        <v>0</v>
      </c>
      <c r="I87" s="275">
        <f t="shared" ca="1" si="55"/>
        <v>0</v>
      </c>
      <c r="J87" s="275">
        <f t="shared" ca="1" si="44"/>
        <v>0</v>
      </c>
      <c r="K87" s="137">
        <f t="shared" ref="K87:K110" ca="1" si="57">N87*BSDailyTheta(L87,1/S87,1/O87,Q87,X87,Y87,T87)*1000000</f>
        <v>0</v>
      </c>
      <c r="L87" s="15" t="str">
        <f t="shared" ca="1" si="37"/>
        <v>F</v>
      </c>
      <c r="M87" s="88">
        <f t="shared" ca="1" si="37"/>
        <v>0</v>
      </c>
      <c r="N87" s="88">
        <f t="shared" ca="1" si="37"/>
        <v>0</v>
      </c>
      <c r="O87" s="432">
        <v>1000000000000000</v>
      </c>
      <c r="P87" s="69">
        <v>109575</v>
      </c>
      <c r="Q87" s="3">
        <f t="shared" si="45"/>
        <v>64583</v>
      </c>
      <c r="R87" s="107">
        <f t="shared" ca="1" si="46"/>
        <v>17.97</v>
      </c>
      <c r="S87" s="105">
        <f t="shared" ca="1" si="47"/>
        <v>17716417.870576583</v>
      </c>
      <c r="T87" s="341">
        <v>0</v>
      </c>
      <c r="U87" s="341">
        <v>0.11849999999999999</v>
      </c>
      <c r="V87" s="341">
        <v>0.11849999999999999</v>
      </c>
      <c r="W87" s="341">
        <v>0.11849999999999999</v>
      </c>
      <c r="X87" s="281">
        <f t="shared" si="34"/>
        <v>1.9E-2</v>
      </c>
      <c r="Y87" s="282">
        <f t="shared" si="56"/>
        <v>9.7000000000000003E-2</v>
      </c>
      <c r="AA87" s="391">
        <f t="shared" ca="1" si="48"/>
        <v>0</v>
      </c>
      <c r="AB87" s="400">
        <f t="shared" ca="1" si="48"/>
        <v>0</v>
      </c>
      <c r="AC87" s="258">
        <f t="shared" ca="1" si="48"/>
        <v>0</v>
      </c>
      <c r="AD87" s="258">
        <f t="shared" ca="1" si="48"/>
        <v>0</v>
      </c>
      <c r="AE87" s="402">
        <f t="shared" ca="1" si="48"/>
        <v>0</v>
      </c>
      <c r="AF87" s="402">
        <f t="shared" ca="1" si="48"/>
        <v>0</v>
      </c>
      <c r="AG87" s="404">
        <f t="shared" ca="1" si="49"/>
        <v>0</v>
      </c>
      <c r="AH87" s="415">
        <f t="shared" ca="1" si="50"/>
        <v>0</v>
      </c>
      <c r="AI87" s="415">
        <f t="shared" ca="1" si="51"/>
        <v>0</v>
      </c>
      <c r="AJ87" s="416">
        <f t="shared" ca="1" si="52"/>
        <v>0</v>
      </c>
      <c r="AK87" s="416">
        <f t="shared" ca="1" si="53"/>
        <v>0</v>
      </c>
      <c r="AL87" s="417">
        <f>0</f>
        <v>0</v>
      </c>
      <c r="AM87" s="269">
        <f t="shared" ref="AM87:AM93" ca="1" si="58">SUM(AG87:AL87)</f>
        <v>0</v>
      </c>
      <c r="AN87" s="422">
        <f t="shared" ca="1" si="38"/>
        <v>18.189999999999998</v>
      </c>
      <c r="AO87" s="423">
        <f t="shared" ca="1" si="38"/>
        <v>30526306.859062586</v>
      </c>
      <c r="AP87" s="271">
        <f t="shared" ca="1" si="38"/>
        <v>0</v>
      </c>
      <c r="AQ87" s="271">
        <f t="shared" ca="1" si="38"/>
        <v>0.11849999999999999</v>
      </c>
      <c r="AR87" s="271">
        <f t="shared" ca="1" si="38"/>
        <v>0.11849999999999999</v>
      </c>
      <c r="AS87" s="271">
        <f t="shared" ca="1" si="38"/>
        <v>0.11849999999999999</v>
      </c>
      <c r="AT87" s="271">
        <f t="shared" ca="1" si="38"/>
        <v>1.9E-2</v>
      </c>
      <c r="AU87" s="278">
        <f t="shared" ca="1" si="36"/>
        <v>0.1</v>
      </c>
    </row>
    <row r="88" spans="2:47" ht="13.15" thickBot="1" x14ac:dyDescent="0.4">
      <c r="B88" s="18">
        <f t="shared" si="30"/>
        <v>69</v>
      </c>
      <c r="C88" s="85">
        <f t="shared" ca="1" si="42"/>
        <v>0</v>
      </c>
      <c r="D88" s="85">
        <f t="shared" ca="1" si="39"/>
        <v>0</v>
      </c>
      <c r="E88" s="84">
        <f t="shared" ca="1" si="43"/>
        <v>0</v>
      </c>
      <c r="F88" s="135">
        <f t="shared" ca="1" si="54"/>
        <v>0</v>
      </c>
      <c r="G88" s="409">
        <f t="shared" ca="1" si="40"/>
        <v>0</v>
      </c>
      <c r="H88" s="409">
        <f t="shared" ca="1" si="41"/>
        <v>0</v>
      </c>
      <c r="I88" s="275">
        <f t="shared" ca="1" si="55"/>
        <v>0</v>
      </c>
      <c r="J88" s="275">
        <f t="shared" ca="1" si="44"/>
        <v>0</v>
      </c>
      <c r="K88" s="137">
        <f t="shared" ca="1" si="57"/>
        <v>0</v>
      </c>
      <c r="L88" s="15" t="str">
        <f t="shared" ca="1" si="37"/>
        <v>F</v>
      </c>
      <c r="M88" s="88">
        <f t="shared" ca="1" si="37"/>
        <v>0</v>
      </c>
      <c r="N88" s="88">
        <f t="shared" ca="1" si="37"/>
        <v>0</v>
      </c>
      <c r="O88" s="432">
        <v>1000000000000000</v>
      </c>
      <c r="P88" s="69">
        <v>109575</v>
      </c>
      <c r="Q88" s="3">
        <f t="shared" si="45"/>
        <v>64583</v>
      </c>
      <c r="R88" s="107">
        <f t="shared" ca="1" si="46"/>
        <v>17.97</v>
      </c>
      <c r="S88" s="105">
        <f t="shared" ca="1" si="47"/>
        <v>17716417.870576583</v>
      </c>
      <c r="T88" s="341">
        <v>0</v>
      </c>
      <c r="U88" s="341">
        <v>0.11849999999999999</v>
      </c>
      <c r="V88" s="341">
        <v>0.11849999999999999</v>
      </c>
      <c r="W88" s="341">
        <v>0.11849999999999999</v>
      </c>
      <c r="X88" s="281">
        <f t="shared" si="34"/>
        <v>1.9E-2</v>
      </c>
      <c r="Y88" s="282">
        <f t="shared" si="56"/>
        <v>9.7000000000000003E-2</v>
      </c>
      <c r="AA88" s="391">
        <f t="shared" ca="1" si="48"/>
        <v>0</v>
      </c>
      <c r="AB88" s="400">
        <f t="shared" ca="1" si="48"/>
        <v>0</v>
      </c>
      <c r="AC88" s="258">
        <f t="shared" ca="1" si="48"/>
        <v>0</v>
      </c>
      <c r="AD88" s="258">
        <f t="shared" ca="1" si="48"/>
        <v>0</v>
      </c>
      <c r="AE88" s="402">
        <f t="shared" ca="1" si="48"/>
        <v>0</v>
      </c>
      <c r="AF88" s="402">
        <f t="shared" ca="1" si="48"/>
        <v>0</v>
      </c>
      <c r="AG88" s="404">
        <f t="shared" ca="1" si="49"/>
        <v>0</v>
      </c>
      <c r="AH88" s="415">
        <f t="shared" ca="1" si="50"/>
        <v>0</v>
      </c>
      <c r="AI88" s="415">
        <f t="shared" ca="1" si="51"/>
        <v>0</v>
      </c>
      <c r="AJ88" s="416">
        <f t="shared" ca="1" si="52"/>
        <v>0</v>
      </c>
      <c r="AK88" s="416">
        <f t="shared" ca="1" si="53"/>
        <v>0</v>
      </c>
      <c r="AL88" s="417">
        <f>0</f>
        <v>0</v>
      </c>
      <c r="AM88" s="269">
        <f t="shared" ca="1" si="58"/>
        <v>0</v>
      </c>
      <c r="AN88" s="422">
        <f t="shared" ca="1" si="38"/>
        <v>18.189999999999998</v>
      </c>
      <c r="AO88" s="423">
        <f t="shared" ca="1" si="38"/>
        <v>30526306.859062586</v>
      </c>
      <c r="AP88" s="271">
        <f t="shared" ca="1" si="38"/>
        <v>0</v>
      </c>
      <c r="AQ88" s="271">
        <f t="shared" ca="1" si="38"/>
        <v>0.11849999999999999</v>
      </c>
      <c r="AR88" s="271">
        <f t="shared" ca="1" si="38"/>
        <v>0.11849999999999999</v>
      </c>
      <c r="AS88" s="271">
        <f t="shared" ca="1" si="38"/>
        <v>0.11849999999999999</v>
      </c>
      <c r="AT88" s="271">
        <f t="shared" ca="1" si="38"/>
        <v>1.9E-2</v>
      </c>
      <c r="AU88" s="278">
        <f t="shared" ca="1" si="36"/>
        <v>0.1</v>
      </c>
    </row>
    <row r="89" spans="2:47" ht="13.15" thickBot="1" x14ac:dyDescent="0.4">
      <c r="B89" s="18">
        <f t="shared" si="30"/>
        <v>70</v>
      </c>
      <c r="C89" s="85">
        <f t="shared" ca="1" si="42"/>
        <v>0</v>
      </c>
      <c r="D89" s="85">
        <f t="shared" ca="1" si="39"/>
        <v>0</v>
      </c>
      <c r="E89" s="84">
        <f t="shared" ca="1" si="43"/>
        <v>0</v>
      </c>
      <c r="F89" s="135">
        <f t="shared" ca="1" si="54"/>
        <v>0</v>
      </c>
      <c r="G89" s="409">
        <f t="shared" ca="1" si="40"/>
        <v>0</v>
      </c>
      <c r="H89" s="409">
        <f t="shared" ca="1" si="41"/>
        <v>0</v>
      </c>
      <c r="I89" s="275">
        <f t="shared" ca="1" si="55"/>
        <v>0</v>
      </c>
      <c r="J89" s="275">
        <f t="shared" ca="1" si="44"/>
        <v>0</v>
      </c>
      <c r="K89" s="137">
        <f t="shared" ca="1" si="57"/>
        <v>0</v>
      </c>
      <c r="L89" s="15" t="str">
        <f t="shared" ca="1" si="37"/>
        <v>F</v>
      </c>
      <c r="M89" s="88">
        <f t="shared" ca="1" si="37"/>
        <v>0</v>
      </c>
      <c r="N89" s="88">
        <f t="shared" ca="1" si="37"/>
        <v>0</v>
      </c>
      <c r="O89" s="432">
        <v>1000000000000000</v>
      </c>
      <c r="P89" s="69">
        <v>109575</v>
      </c>
      <c r="Q89" s="3">
        <f t="shared" si="45"/>
        <v>64583</v>
      </c>
      <c r="R89" s="107">
        <f t="shared" ca="1" si="46"/>
        <v>17.97</v>
      </c>
      <c r="S89" s="105">
        <f t="shared" ca="1" si="47"/>
        <v>17716417.870576583</v>
      </c>
      <c r="T89" s="341">
        <v>0</v>
      </c>
      <c r="U89" s="341">
        <v>0.11849999999999999</v>
      </c>
      <c r="V89" s="341">
        <v>0.11849999999999999</v>
      </c>
      <c r="W89" s="341">
        <v>0.11849999999999999</v>
      </c>
      <c r="X89" s="281">
        <f t="shared" si="34"/>
        <v>1.9E-2</v>
      </c>
      <c r="Y89" s="282">
        <f t="shared" si="56"/>
        <v>9.7000000000000003E-2</v>
      </c>
      <c r="AA89" s="391">
        <f t="shared" ca="1" si="48"/>
        <v>0</v>
      </c>
      <c r="AB89" s="400">
        <f t="shared" ca="1" si="48"/>
        <v>0</v>
      </c>
      <c r="AC89" s="258">
        <f t="shared" ca="1" si="48"/>
        <v>0</v>
      </c>
      <c r="AD89" s="258">
        <f t="shared" ca="1" si="48"/>
        <v>0</v>
      </c>
      <c r="AE89" s="402">
        <f t="shared" ca="1" si="48"/>
        <v>0</v>
      </c>
      <c r="AF89" s="402">
        <f t="shared" ca="1" si="48"/>
        <v>0</v>
      </c>
      <c r="AG89" s="404">
        <f t="shared" ca="1" si="49"/>
        <v>0</v>
      </c>
      <c r="AH89" s="415">
        <f t="shared" ca="1" si="50"/>
        <v>0</v>
      </c>
      <c r="AI89" s="415">
        <f t="shared" ca="1" si="51"/>
        <v>0</v>
      </c>
      <c r="AJ89" s="416">
        <f t="shared" ca="1" si="52"/>
        <v>0</v>
      </c>
      <c r="AK89" s="416">
        <f t="shared" ca="1" si="53"/>
        <v>0</v>
      </c>
      <c r="AL89" s="417">
        <f>0</f>
        <v>0</v>
      </c>
      <c r="AM89" s="269">
        <f t="shared" ca="1" si="58"/>
        <v>0</v>
      </c>
      <c r="AN89" s="422">
        <f t="shared" ca="1" si="38"/>
        <v>18.189999999999998</v>
      </c>
      <c r="AO89" s="423">
        <f t="shared" ca="1" si="38"/>
        <v>30526306.859062586</v>
      </c>
      <c r="AP89" s="271">
        <f t="shared" ca="1" si="38"/>
        <v>0</v>
      </c>
      <c r="AQ89" s="271">
        <f t="shared" ca="1" si="38"/>
        <v>0.11849999999999999</v>
      </c>
      <c r="AR89" s="271">
        <f t="shared" ca="1" si="38"/>
        <v>0.11849999999999999</v>
      </c>
      <c r="AS89" s="271">
        <f t="shared" ca="1" si="38"/>
        <v>0.11849999999999999</v>
      </c>
      <c r="AT89" s="271">
        <f t="shared" ca="1" si="38"/>
        <v>1.9E-2</v>
      </c>
      <c r="AU89" s="278">
        <f t="shared" ca="1" si="36"/>
        <v>0.1</v>
      </c>
    </row>
    <row r="90" spans="2:47" ht="13.15" thickBot="1" x14ac:dyDescent="0.4">
      <c r="B90" s="18">
        <f t="shared" si="30"/>
        <v>71</v>
      </c>
      <c r="C90" s="85">
        <f t="shared" ca="1" si="42"/>
        <v>0</v>
      </c>
      <c r="D90" s="85">
        <f t="shared" ca="1" si="39"/>
        <v>0</v>
      </c>
      <c r="E90" s="84">
        <f t="shared" ca="1" si="43"/>
        <v>0</v>
      </c>
      <c r="F90" s="135">
        <f t="shared" ca="1" si="54"/>
        <v>0</v>
      </c>
      <c r="G90" s="409">
        <f t="shared" ca="1" si="40"/>
        <v>0</v>
      </c>
      <c r="H90" s="409">
        <f t="shared" ca="1" si="41"/>
        <v>0</v>
      </c>
      <c r="I90" s="275">
        <f t="shared" ca="1" si="55"/>
        <v>0</v>
      </c>
      <c r="J90" s="275">
        <f t="shared" ca="1" si="44"/>
        <v>0</v>
      </c>
      <c r="K90" s="137">
        <f t="shared" ca="1" si="57"/>
        <v>0</v>
      </c>
      <c r="L90" s="15" t="str">
        <f t="shared" ca="1" si="37"/>
        <v>F</v>
      </c>
      <c r="M90" s="88">
        <f t="shared" ca="1" si="37"/>
        <v>0</v>
      </c>
      <c r="N90" s="88">
        <f t="shared" ca="1" si="37"/>
        <v>0</v>
      </c>
      <c r="O90" s="432">
        <v>1000000000000000</v>
      </c>
      <c r="P90" s="69">
        <v>109575</v>
      </c>
      <c r="Q90" s="3">
        <f t="shared" si="45"/>
        <v>64583</v>
      </c>
      <c r="R90" s="107">
        <f t="shared" ca="1" si="46"/>
        <v>17.97</v>
      </c>
      <c r="S90" s="105">
        <f t="shared" ca="1" si="47"/>
        <v>17716417.870576583</v>
      </c>
      <c r="T90" s="341">
        <v>0</v>
      </c>
      <c r="U90" s="341">
        <v>0.11849999999999999</v>
      </c>
      <c r="V90" s="341">
        <v>0.11849999999999999</v>
      </c>
      <c r="W90" s="341">
        <v>0.11849999999999999</v>
      </c>
      <c r="X90" s="281">
        <f t="shared" si="34"/>
        <v>1.9E-2</v>
      </c>
      <c r="Y90" s="282">
        <f t="shared" si="56"/>
        <v>9.7000000000000003E-2</v>
      </c>
      <c r="AA90" s="391">
        <f t="shared" ca="1" si="48"/>
        <v>0</v>
      </c>
      <c r="AB90" s="400">
        <f t="shared" ca="1" si="48"/>
        <v>0</v>
      </c>
      <c r="AC90" s="258">
        <f t="shared" ca="1" si="48"/>
        <v>0</v>
      </c>
      <c r="AD90" s="258">
        <f t="shared" ca="1" si="48"/>
        <v>0</v>
      </c>
      <c r="AE90" s="402">
        <f t="shared" ca="1" si="48"/>
        <v>0</v>
      </c>
      <c r="AF90" s="402">
        <f t="shared" ca="1" si="48"/>
        <v>0</v>
      </c>
      <c r="AG90" s="404">
        <f t="shared" ca="1" si="49"/>
        <v>0</v>
      </c>
      <c r="AH90" s="415">
        <f t="shared" ca="1" si="50"/>
        <v>0</v>
      </c>
      <c r="AI90" s="415">
        <f t="shared" ca="1" si="51"/>
        <v>0</v>
      </c>
      <c r="AJ90" s="416">
        <f t="shared" ca="1" si="52"/>
        <v>0</v>
      </c>
      <c r="AK90" s="416">
        <f t="shared" ca="1" si="53"/>
        <v>0</v>
      </c>
      <c r="AL90" s="417">
        <f>0</f>
        <v>0</v>
      </c>
      <c r="AM90" s="269">
        <f t="shared" ca="1" si="58"/>
        <v>0</v>
      </c>
      <c r="AN90" s="422">
        <f t="shared" ca="1" si="38"/>
        <v>18.189999999999998</v>
      </c>
      <c r="AO90" s="423">
        <f t="shared" ca="1" si="38"/>
        <v>30526306.859062586</v>
      </c>
      <c r="AP90" s="271">
        <f t="shared" ca="1" si="38"/>
        <v>0</v>
      </c>
      <c r="AQ90" s="271">
        <f t="shared" ca="1" si="38"/>
        <v>0.11849999999999999</v>
      </c>
      <c r="AR90" s="271">
        <f t="shared" ca="1" si="38"/>
        <v>0.11849999999999999</v>
      </c>
      <c r="AS90" s="271">
        <f t="shared" ca="1" si="38"/>
        <v>0.11849999999999999</v>
      </c>
      <c r="AT90" s="271">
        <f t="shared" ca="1" si="38"/>
        <v>1.9E-2</v>
      </c>
      <c r="AU90" s="278">
        <f t="shared" ca="1" si="36"/>
        <v>0.1</v>
      </c>
    </row>
    <row r="91" spans="2:47" ht="13.15" thickBot="1" x14ac:dyDescent="0.4">
      <c r="B91" s="18">
        <f t="shared" si="30"/>
        <v>72</v>
      </c>
      <c r="C91" s="85">
        <f t="shared" ca="1" si="42"/>
        <v>0</v>
      </c>
      <c r="D91" s="85">
        <f t="shared" ca="1" si="39"/>
        <v>0</v>
      </c>
      <c r="E91" s="84">
        <f t="shared" ca="1" si="43"/>
        <v>0</v>
      </c>
      <c r="F91" s="135">
        <f t="shared" ca="1" si="54"/>
        <v>0</v>
      </c>
      <c r="G91" s="409">
        <f t="shared" ca="1" si="40"/>
        <v>0</v>
      </c>
      <c r="H91" s="409">
        <f t="shared" ca="1" si="41"/>
        <v>0</v>
      </c>
      <c r="I91" s="275">
        <f t="shared" ca="1" si="55"/>
        <v>0</v>
      </c>
      <c r="J91" s="275">
        <f t="shared" ca="1" si="44"/>
        <v>0</v>
      </c>
      <c r="K91" s="137">
        <f t="shared" ca="1" si="57"/>
        <v>0</v>
      </c>
      <c r="L91" s="15" t="str">
        <f t="shared" ca="1" si="37"/>
        <v>F</v>
      </c>
      <c r="M91" s="88">
        <f t="shared" ca="1" si="37"/>
        <v>0</v>
      </c>
      <c r="N91" s="88">
        <f t="shared" ca="1" si="37"/>
        <v>0</v>
      </c>
      <c r="O91" s="432">
        <v>1000000000000000</v>
      </c>
      <c r="P91" s="69">
        <v>109575</v>
      </c>
      <c r="Q91" s="3">
        <f t="shared" si="45"/>
        <v>64583</v>
      </c>
      <c r="R91" s="107">
        <f t="shared" ca="1" si="46"/>
        <v>17.97</v>
      </c>
      <c r="S91" s="105">
        <f t="shared" ca="1" si="47"/>
        <v>17716417.870576583</v>
      </c>
      <c r="T91" s="341">
        <v>0</v>
      </c>
      <c r="U91" s="341">
        <v>0.11849999999999999</v>
      </c>
      <c r="V91" s="341">
        <v>0.11849999999999999</v>
      </c>
      <c r="W91" s="341">
        <v>0.11849999999999999</v>
      </c>
      <c r="X91" s="281">
        <f t="shared" si="34"/>
        <v>1.9E-2</v>
      </c>
      <c r="Y91" s="282">
        <f t="shared" si="56"/>
        <v>9.7000000000000003E-2</v>
      </c>
      <c r="AA91" s="391">
        <f t="shared" ca="1" si="48"/>
        <v>0</v>
      </c>
      <c r="AB91" s="400">
        <f t="shared" ca="1" si="48"/>
        <v>0</v>
      </c>
      <c r="AC91" s="258">
        <f t="shared" ca="1" si="48"/>
        <v>0</v>
      </c>
      <c r="AD91" s="258">
        <f t="shared" ca="1" si="48"/>
        <v>0</v>
      </c>
      <c r="AE91" s="402">
        <f t="shared" ca="1" si="48"/>
        <v>0</v>
      </c>
      <c r="AF91" s="402">
        <f t="shared" ca="1" si="48"/>
        <v>0</v>
      </c>
      <c r="AG91" s="404">
        <f t="shared" ca="1" si="49"/>
        <v>0</v>
      </c>
      <c r="AH91" s="415">
        <f t="shared" ca="1" si="50"/>
        <v>0</v>
      </c>
      <c r="AI91" s="415">
        <f t="shared" ca="1" si="51"/>
        <v>0</v>
      </c>
      <c r="AJ91" s="416">
        <f t="shared" ca="1" si="52"/>
        <v>0</v>
      </c>
      <c r="AK91" s="416">
        <f t="shared" ca="1" si="53"/>
        <v>0</v>
      </c>
      <c r="AL91" s="417">
        <f>0</f>
        <v>0</v>
      </c>
      <c r="AM91" s="269">
        <f t="shared" ca="1" si="58"/>
        <v>0</v>
      </c>
      <c r="AN91" s="422">
        <f t="shared" ca="1" si="38"/>
        <v>18.189999999999998</v>
      </c>
      <c r="AO91" s="423">
        <f t="shared" ca="1" si="38"/>
        <v>30526306.859062586</v>
      </c>
      <c r="AP91" s="271">
        <f t="shared" ca="1" si="38"/>
        <v>0</v>
      </c>
      <c r="AQ91" s="271">
        <f t="shared" ca="1" si="38"/>
        <v>0.11849999999999999</v>
      </c>
      <c r="AR91" s="271">
        <f t="shared" ca="1" si="38"/>
        <v>0.11849999999999999</v>
      </c>
      <c r="AS91" s="271">
        <f t="shared" ca="1" si="38"/>
        <v>0.11849999999999999</v>
      </c>
      <c r="AT91" s="271">
        <f t="shared" ca="1" si="38"/>
        <v>1.9E-2</v>
      </c>
      <c r="AU91" s="278">
        <f t="shared" ca="1" si="36"/>
        <v>0.1</v>
      </c>
    </row>
    <row r="92" spans="2:47" ht="13.15" thickBot="1" x14ac:dyDescent="0.4">
      <c r="B92" s="18">
        <f t="shared" si="30"/>
        <v>73</v>
      </c>
      <c r="C92" s="85">
        <f t="shared" ca="1" si="42"/>
        <v>0</v>
      </c>
      <c r="D92" s="85">
        <f t="shared" ca="1" si="39"/>
        <v>0</v>
      </c>
      <c r="E92" s="84">
        <f t="shared" ca="1" si="43"/>
        <v>0</v>
      </c>
      <c r="F92" s="135">
        <f t="shared" ca="1" si="54"/>
        <v>0</v>
      </c>
      <c r="G92" s="409">
        <f t="shared" ca="1" si="40"/>
        <v>0</v>
      </c>
      <c r="H92" s="409">
        <f t="shared" ca="1" si="41"/>
        <v>0</v>
      </c>
      <c r="I92" s="275">
        <f t="shared" ca="1" si="55"/>
        <v>0</v>
      </c>
      <c r="J92" s="275">
        <f t="shared" ca="1" si="44"/>
        <v>0</v>
      </c>
      <c r="K92" s="137">
        <f t="shared" ca="1" si="57"/>
        <v>0</v>
      </c>
      <c r="L92" s="15" t="str">
        <f t="shared" ca="1" si="37"/>
        <v>F</v>
      </c>
      <c r="M92" s="88">
        <f t="shared" ca="1" si="37"/>
        <v>0</v>
      </c>
      <c r="N92" s="88">
        <f t="shared" ca="1" si="37"/>
        <v>0</v>
      </c>
      <c r="O92" s="432">
        <v>1000000000000000</v>
      </c>
      <c r="P92" s="69">
        <v>109575</v>
      </c>
      <c r="Q92" s="3">
        <f t="shared" si="45"/>
        <v>64583</v>
      </c>
      <c r="R92" s="107">
        <f t="shared" ca="1" si="46"/>
        <v>17.97</v>
      </c>
      <c r="S92" s="105">
        <f t="shared" ca="1" si="47"/>
        <v>17716417.870576583</v>
      </c>
      <c r="T92" s="341">
        <v>0</v>
      </c>
      <c r="U92" s="341">
        <v>0.11849999999999999</v>
      </c>
      <c r="V92" s="341">
        <v>0.11849999999999999</v>
      </c>
      <c r="W92" s="341">
        <v>0.11849999999999999</v>
      </c>
      <c r="X92" s="281">
        <f t="shared" si="34"/>
        <v>1.9E-2</v>
      </c>
      <c r="Y92" s="282">
        <f t="shared" si="56"/>
        <v>9.7000000000000003E-2</v>
      </c>
      <c r="AA92" s="391">
        <f t="shared" ca="1" si="48"/>
        <v>0</v>
      </c>
      <c r="AB92" s="400">
        <f t="shared" ca="1" si="48"/>
        <v>0</v>
      </c>
      <c r="AC92" s="258">
        <f t="shared" ca="1" si="48"/>
        <v>0</v>
      </c>
      <c r="AD92" s="258">
        <f t="shared" ca="1" si="48"/>
        <v>0</v>
      </c>
      <c r="AE92" s="402">
        <f t="shared" ca="1" si="48"/>
        <v>0</v>
      </c>
      <c r="AF92" s="402">
        <f t="shared" ca="1" si="48"/>
        <v>0</v>
      </c>
      <c r="AG92" s="404">
        <f t="shared" ca="1" si="49"/>
        <v>0</v>
      </c>
      <c r="AH92" s="415">
        <f t="shared" ca="1" si="50"/>
        <v>0</v>
      </c>
      <c r="AI92" s="415">
        <f t="shared" ca="1" si="51"/>
        <v>0</v>
      </c>
      <c r="AJ92" s="416">
        <f t="shared" ca="1" si="52"/>
        <v>0</v>
      </c>
      <c r="AK92" s="416">
        <f t="shared" ca="1" si="53"/>
        <v>0</v>
      </c>
      <c r="AL92" s="417">
        <f>0</f>
        <v>0</v>
      </c>
      <c r="AM92" s="269">
        <f t="shared" ca="1" si="58"/>
        <v>0</v>
      </c>
      <c r="AN92" s="422">
        <f t="shared" ca="1" si="38"/>
        <v>18.189999999999998</v>
      </c>
      <c r="AO92" s="423">
        <f t="shared" ca="1" si="38"/>
        <v>30526306.859062586</v>
      </c>
      <c r="AP92" s="271">
        <f t="shared" ca="1" si="38"/>
        <v>0</v>
      </c>
      <c r="AQ92" s="271">
        <f t="shared" ca="1" si="38"/>
        <v>0.11849999999999999</v>
      </c>
      <c r="AR92" s="271">
        <f t="shared" ca="1" si="38"/>
        <v>0.11849999999999999</v>
      </c>
      <c r="AS92" s="271">
        <f t="shared" ca="1" si="38"/>
        <v>0.11849999999999999</v>
      </c>
      <c r="AT92" s="271">
        <f t="shared" ca="1" si="38"/>
        <v>1.9E-2</v>
      </c>
      <c r="AU92" s="278">
        <f t="shared" ca="1" si="36"/>
        <v>0.1</v>
      </c>
    </row>
    <row r="93" spans="2:47" ht="13.15" thickBot="1" x14ac:dyDescent="0.4">
      <c r="B93" s="18">
        <f t="shared" si="30"/>
        <v>74</v>
      </c>
      <c r="C93" s="85">
        <f t="shared" ca="1" si="42"/>
        <v>0</v>
      </c>
      <c r="D93" s="85">
        <f t="shared" ca="1" si="39"/>
        <v>0</v>
      </c>
      <c r="E93" s="84">
        <f t="shared" ca="1" si="43"/>
        <v>0</v>
      </c>
      <c r="F93" s="135">
        <f t="shared" ca="1" si="54"/>
        <v>0</v>
      </c>
      <c r="G93" s="409">
        <f t="shared" ca="1" si="40"/>
        <v>0</v>
      </c>
      <c r="H93" s="409">
        <f t="shared" ca="1" si="41"/>
        <v>0</v>
      </c>
      <c r="I93" s="275">
        <f t="shared" ca="1" si="55"/>
        <v>0</v>
      </c>
      <c r="J93" s="275">
        <f t="shared" ca="1" si="44"/>
        <v>0</v>
      </c>
      <c r="K93" s="137">
        <f t="shared" ca="1" si="57"/>
        <v>0</v>
      </c>
      <c r="L93" s="15" t="str">
        <f t="shared" ca="1" si="37"/>
        <v>F</v>
      </c>
      <c r="M93" s="88">
        <f t="shared" ca="1" si="37"/>
        <v>0</v>
      </c>
      <c r="N93" s="88">
        <f t="shared" ca="1" si="37"/>
        <v>0</v>
      </c>
      <c r="O93" s="432">
        <v>1000000000000000</v>
      </c>
      <c r="P93" s="69">
        <v>109575</v>
      </c>
      <c r="Q93" s="3">
        <f t="shared" si="45"/>
        <v>64583</v>
      </c>
      <c r="R93" s="107">
        <f t="shared" ca="1" si="46"/>
        <v>17.97</v>
      </c>
      <c r="S93" s="105">
        <f t="shared" ca="1" si="47"/>
        <v>17716417.870576583</v>
      </c>
      <c r="T93" s="341">
        <v>0</v>
      </c>
      <c r="U93" s="341">
        <v>0.11849999999999999</v>
      </c>
      <c r="V93" s="341">
        <v>0.11849999999999999</v>
      </c>
      <c r="W93" s="341">
        <v>0.11849999999999999</v>
      </c>
      <c r="X93" s="281">
        <f t="shared" si="34"/>
        <v>1.9E-2</v>
      </c>
      <c r="Y93" s="282">
        <f t="shared" si="56"/>
        <v>9.7000000000000003E-2</v>
      </c>
      <c r="AA93" s="391">
        <f t="shared" ca="1" si="48"/>
        <v>0</v>
      </c>
      <c r="AB93" s="400">
        <f t="shared" ca="1" si="48"/>
        <v>0</v>
      </c>
      <c r="AC93" s="258">
        <f t="shared" ca="1" si="48"/>
        <v>0</v>
      </c>
      <c r="AD93" s="258">
        <f t="shared" ca="1" si="48"/>
        <v>0</v>
      </c>
      <c r="AE93" s="402">
        <f t="shared" ca="1" si="48"/>
        <v>0</v>
      </c>
      <c r="AF93" s="402">
        <f t="shared" ca="1" si="48"/>
        <v>0</v>
      </c>
      <c r="AG93" s="404">
        <f t="shared" ca="1" si="49"/>
        <v>0</v>
      </c>
      <c r="AH93" s="415">
        <f t="shared" ca="1" si="50"/>
        <v>0</v>
      </c>
      <c r="AI93" s="415">
        <f t="shared" ca="1" si="51"/>
        <v>0</v>
      </c>
      <c r="AJ93" s="416">
        <f t="shared" ca="1" si="52"/>
        <v>0</v>
      </c>
      <c r="AK93" s="416">
        <f t="shared" ca="1" si="53"/>
        <v>0</v>
      </c>
      <c r="AL93" s="417">
        <f>0</f>
        <v>0</v>
      </c>
      <c r="AM93" s="269">
        <f t="shared" ca="1" si="58"/>
        <v>0</v>
      </c>
      <c r="AN93" s="422">
        <f t="shared" ca="1" si="38"/>
        <v>18.189999999999998</v>
      </c>
      <c r="AO93" s="423">
        <f t="shared" ca="1" si="38"/>
        <v>30526306.859062586</v>
      </c>
      <c r="AP93" s="271">
        <f t="shared" ca="1" si="38"/>
        <v>0</v>
      </c>
      <c r="AQ93" s="271">
        <f t="shared" ca="1" si="38"/>
        <v>0.11849999999999999</v>
      </c>
      <c r="AR93" s="271">
        <f t="shared" ca="1" si="38"/>
        <v>0.11849999999999999</v>
      </c>
      <c r="AS93" s="271">
        <f t="shared" ca="1" si="38"/>
        <v>0.11849999999999999</v>
      </c>
      <c r="AT93" s="271">
        <f t="shared" ca="1" si="38"/>
        <v>1.9E-2</v>
      </c>
      <c r="AU93" s="278">
        <f t="shared" ca="1" si="36"/>
        <v>0.1</v>
      </c>
    </row>
    <row r="94" spans="2:47" ht="13.15" thickBot="1" x14ac:dyDescent="0.4">
      <c r="B94" s="18">
        <f t="shared" ref="B94:B110" si="59">B93+1</f>
        <v>75</v>
      </c>
      <c r="C94" s="85">
        <f t="shared" ca="1" si="42"/>
        <v>0</v>
      </c>
      <c r="D94" s="85">
        <f t="shared" ca="1" si="39"/>
        <v>0</v>
      </c>
      <c r="E94" s="84">
        <f t="shared" ca="1" si="43"/>
        <v>0</v>
      </c>
      <c r="F94" s="135">
        <f t="shared" ca="1" si="54"/>
        <v>0</v>
      </c>
      <c r="G94" s="409">
        <f t="shared" ca="1" si="40"/>
        <v>0</v>
      </c>
      <c r="H94" s="409">
        <f t="shared" ca="1" si="41"/>
        <v>0</v>
      </c>
      <c r="I94" s="275">
        <f t="shared" ca="1" si="55"/>
        <v>0</v>
      </c>
      <c r="J94" s="275">
        <f t="shared" ca="1" si="44"/>
        <v>0</v>
      </c>
      <c r="K94" s="137">
        <f t="shared" ca="1" si="57"/>
        <v>0</v>
      </c>
      <c r="L94" s="15" t="str">
        <f t="shared" ca="1" si="37"/>
        <v>F</v>
      </c>
      <c r="M94" s="88">
        <f t="shared" ca="1" si="37"/>
        <v>0</v>
      </c>
      <c r="N94" s="88">
        <f t="shared" ca="1" si="37"/>
        <v>0</v>
      </c>
      <c r="O94" s="432">
        <v>1000000000000000</v>
      </c>
      <c r="P94" s="69">
        <v>109575</v>
      </c>
      <c r="Q94" s="3">
        <f t="shared" si="45"/>
        <v>64583</v>
      </c>
      <c r="R94" s="107">
        <f t="shared" ca="1" si="46"/>
        <v>17.97</v>
      </c>
      <c r="S94" s="105">
        <f t="shared" ca="1" si="47"/>
        <v>17716417.870576583</v>
      </c>
      <c r="T94" s="341">
        <v>0</v>
      </c>
      <c r="U94" s="341">
        <v>0.11849999999999999</v>
      </c>
      <c r="V94" s="341">
        <v>0.11849999999999999</v>
      </c>
      <c r="W94" s="341">
        <v>0.11849999999999999</v>
      </c>
      <c r="X94" s="281">
        <f t="shared" si="34"/>
        <v>1.9E-2</v>
      </c>
      <c r="Y94" s="282">
        <f t="shared" si="56"/>
        <v>9.7000000000000003E-2</v>
      </c>
      <c r="AA94" s="391">
        <f t="shared" ca="1" si="48"/>
        <v>0</v>
      </c>
      <c r="AB94" s="400">
        <f t="shared" ca="1" si="48"/>
        <v>0</v>
      </c>
      <c r="AC94" s="258">
        <f t="shared" ca="1" si="48"/>
        <v>0</v>
      </c>
      <c r="AD94" s="258">
        <f t="shared" ca="1" si="48"/>
        <v>0</v>
      </c>
      <c r="AE94" s="402">
        <f t="shared" ca="1" si="48"/>
        <v>0</v>
      </c>
      <c r="AF94" s="402">
        <f t="shared" ca="1" si="48"/>
        <v>0</v>
      </c>
      <c r="AG94" s="404">
        <f t="shared" ca="1" si="49"/>
        <v>0</v>
      </c>
      <c r="AH94" s="415">
        <f t="shared" ca="1" si="50"/>
        <v>0</v>
      </c>
      <c r="AI94" s="415">
        <f t="shared" ca="1" si="51"/>
        <v>0</v>
      </c>
      <c r="AJ94" s="416">
        <f t="shared" ca="1" si="52"/>
        <v>0</v>
      </c>
      <c r="AK94" s="416">
        <f t="shared" ca="1" si="53"/>
        <v>0</v>
      </c>
      <c r="AL94" s="417">
        <f>0</f>
        <v>0</v>
      </c>
      <c r="AM94" s="269">
        <f t="shared" ref="AM94:AM110" ca="1" si="60">SUM(AG94:AL94)</f>
        <v>0</v>
      </c>
      <c r="AN94" s="422">
        <f t="shared" ca="1" si="38"/>
        <v>18.189999999999998</v>
      </c>
      <c r="AO94" s="423">
        <f t="shared" ca="1" si="38"/>
        <v>30526306.859062586</v>
      </c>
      <c r="AP94" s="271">
        <f t="shared" ca="1" si="38"/>
        <v>0</v>
      </c>
      <c r="AQ94" s="271">
        <f t="shared" ca="1" si="38"/>
        <v>0.11849999999999999</v>
      </c>
      <c r="AR94" s="271">
        <f t="shared" ca="1" si="38"/>
        <v>0.11849999999999999</v>
      </c>
      <c r="AS94" s="271">
        <f t="shared" ca="1" si="38"/>
        <v>0.11849999999999999</v>
      </c>
      <c r="AT94" s="271">
        <f t="shared" ca="1" si="38"/>
        <v>1.9E-2</v>
      </c>
      <c r="AU94" s="278">
        <f t="shared" ca="1" si="36"/>
        <v>0.1</v>
      </c>
    </row>
    <row r="95" spans="2:47" ht="13.15" thickBot="1" x14ac:dyDescent="0.4">
      <c r="B95" s="18">
        <f t="shared" si="59"/>
        <v>76</v>
      </c>
      <c r="C95" s="85">
        <f t="shared" ca="1" si="42"/>
        <v>0</v>
      </c>
      <c r="D95" s="85">
        <f t="shared" ca="1" si="39"/>
        <v>0</v>
      </c>
      <c r="E95" s="84">
        <f t="shared" ca="1" si="43"/>
        <v>0</v>
      </c>
      <c r="F95" s="135">
        <f t="shared" ca="1" si="54"/>
        <v>0</v>
      </c>
      <c r="G95" s="409">
        <f t="shared" ca="1" si="40"/>
        <v>0</v>
      </c>
      <c r="H95" s="409">
        <f t="shared" ca="1" si="41"/>
        <v>0</v>
      </c>
      <c r="I95" s="275">
        <f t="shared" ca="1" si="55"/>
        <v>0</v>
      </c>
      <c r="J95" s="275">
        <f t="shared" ca="1" si="44"/>
        <v>0</v>
      </c>
      <c r="K95" s="137">
        <f t="shared" ca="1" si="57"/>
        <v>0</v>
      </c>
      <c r="L95" s="15" t="str">
        <f t="shared" ca="1" si="37"/>
        <v>F</v>
      </c>
      <c r="M95" s="88">
        <f t="shared" ca="1" si="37"/>
        <v>0</v>
      </c>
      <c r="N95" s="88">
        <f t="shared" ca="1" si="37"/>
        <v>0</v>
      </c>
      <c r="O95" s="432">
        <v>1000000000000000</v>
      </c>
      <c r="P95" s="69">
        <v>109575</v>
      </c>
      <c r="Q95" s="3">
        <f t="shared" si="45"/>
        <v>64583</v>
      </c>
      <c r="R95" s="107">
        <f t="shared" ca="1" si="46"/>
        <v>17.97</v>
      </c>
      <c r="S95" s="105">
        <f t="shared" ca="1" si="47"/>
        <v>17716417.870576583</v>
      </c>
      <c r="T95" s="341">
        <v>0</v>
      </c>
      <c r="U95" s="341">
        <v>0.11849999999999999</v>
      </c>
      <c r="V95" s="341">
        <v>0.11849999999999999</v>
      </c>
      <c r="W95" s="341">
        <v>0.11849999999999999</v>
      </c>
      <c r="X95" s="281">
        <f t="shared" si="34"/>
        <v>1.9E-2</v>
      </c>
      <c r="Y95" s="282">
        <f t="shared" si="56"/>
        <v>9.7000000000000003E-2</v>
      </c>
      <c r="AA95" s="391">
        <f t="shared" ca="1" si="48"/>
        <v>0</v>
      </c>
      <c r="AB95" s="400">
        <f t="shared" ca="1" si="48"/>
        <v>0</v>
      </c>
      <c r="AC95" s="258">
        <f t="shared" ca="1" si="48"/>
        <v>0</v>
      </c>
      <c r="AD95" s="258">
        <f t="shared" ca="1" si="48"/>
        <v>0</v>
      </c>
      <c r="AE95" s="402">
        <f t="shared" ca="1" si="48"/>
        <v>0</v>
      </c>
      <c r="AF95" s="402">
        <f t="shared" ca="1" si="48"/>
        <v>0</v>
      </c>
      <c r="AG95" s="404">
        <f t="shared" ca="1" si="49"/>
        <v>0</v>
      </c>
      <c r="AH95" s="415">
        <f t="shared" ca="1" si="50"/>
        <v>0</v>
      </c>
      <c r="AI95" s="415">
        <f t="shared" ca="1" si="51"/>
        <v>0</v>
      </c>
      <c r="AJ95" s="416">
        <f t="shared" ca="1" si="52"/>
        <v>0</v>
      </c>
      <c r="AK95" s="416">
        <f t="shared" ca="1" si="53"/>
        <v>0</v>
      </c>
      <c r="AL95" s="417">
        <f>0</f>
        <v>0</v>
      </c>
      <c r="AM95" s="269">
        <f t="shared" ca="1" si="60"/>
        <v>0</v>
      </c>
      <c r="AN95" s="422">
        <f t="shared" ca="1" si="38"/>
        <v>18.189999999999998</v>
      </c>
      <c r="AO95" s="423">
        <f t="shared" ca="1" si="38"/>
        <v>30526306.859062586</v>
      </c>
      <c r="AP95" s="271">
        <f t="shared" ca="1" si="38"/>
        <v>0</v>
      </c>
      <c r="AQ95" s="271">
        <f t="shared" ca="1" si="38"/>
        <v>0.11849999999999999</v>
      </c>
      <c r="AR95" s="271">
        <f t="shared" ca="1" si="38"/>
        <v>0.11849999999999999</v>
      </c>
      <c r="AS95" s="271">
        <f t="shared" ca="1" si="38"/>
        <v>0.11849999999999999</v>
      </c>
      <c r="AT95" s="271">
        <f t="shared" ca="1" si="38"/>
        <v>1.9E-2</v>
      </c>
      <c r="AU95" s="278">
        <f t="shared" ca="1" si="36"/>
        <v>0.1</v>
      </c>
    </row>
    <row r="96" spans="2:47" ht="13.15" thickBot="1" x14ac:dyDescent="0.4">
      <c r="B96" s="18">
        <f t="shared" si="59"/>
        <v>77</v>
      </c>
      <c r="C96" s="85">
        <f t="shared" ca="1" si="42"/>
        <v>0</v>
      </c>
      <c r="D96" s="85">
        <f t="shared" ca="1" si="39"/>
        <v>0</v>
      </c>
      <c r="E96" s="84">
        <f t="shared" ca="1" si="43"/>
        <v>0</v>
      </c>
      <c r="F96" s="135">
        <f t="shared" ca="1" si="54"/>
        <v>0</v>
      </c>
      <c r="G96" s="409">
        <f t="shared" ca="1" si="40"/>
        <v>0</v>
      </c>
      <c r="H96" s="409">
        <f t="shared" ca="1" si="41"/>
        <v>0</v>
      </c>
      <c r="I96" s="275">
        <f t="shared" ca="1" si="55"/>
        <v>0</v>
      </c>
      <c r="J96" s="275">
        <f t="shared" ca="1" si="44"/>
        <v>0</v>
      </c>
      <c r="K96" s="137">
        <f t="shared" ca="1" si="57"/>
        <v>0</v>
      </c>
      <c r="L96" s="15" t="str">
        <f t="shared" ca="1" si="37"/>
        <v>F</v>
      </c>
      <c r="M96" s="88">
        <f t="shared" ca="1" si="37"/>
        <v>0</v>
      </c>
      <c r="N96" s="88">
        <f t="shared" ca="1" si="37"/>
        <v>0</v>
      </c>
      <c r="O96" s="432">
        <v>1000000000000000</v>
      </c>
      <c r="P96" s="69">
        <v>109575</v>
      </c>
      <c r="Q96" s="3">
        <f t="shared" si="45"/>
        <v>64583</v>
      </c>
      <c r="R96" s="107">
        <f t="shared" ca="1" si="46"/>
        <v>17.97</v>
      </c>
      <c r="S96" s="105">
        <f t="shared" ca="1" si="47"/>
        <v>17716417.870576583</v>
      </c>
      <c r="T96" s="341">
        <v>0</v>
      </c>
      <c r="U96" s="341">
        <v>0.11849999999999999</v>
      </c>
      <c r="V96" s="341">
        <v>0.11849999999999999</v>
      </c>
      <c r="W96" s="341">
        <v>0.11849999999999999</v>
      </c>
      <c r="X96" s="281">
        <f t="shared" si="34"/>
        <v>1.9E-2</v>
      </c>
      <c r="Y96" s="282">
        <f t="shared" si="56"/>
        <v>9.7000000000000003E-2</v>
      </c>
      <c r="AA96" s="391">
        <f t="shared" ca="1" si="48"/>
        <v>0</v>
      </c>
      <c r="AB96" s="400">
        <f t="shared" ca="1" si="48"/>
        <v>0</v>
      </c>
      <c r="AC96" s="258">
        <f t="shared" ca="1" si="48"/>
        <v>0</v>
      </c>
      <c r="AD96" s="258">
        <f t="shared" ca="1" si="48"/>
        <v>0</v>
      </c>
      <c r="AE96" s="402">
        <f t="shared" ca="1" si="48"/>
        <v>0</v>
      </c>
      <c r="AF96" s="402">
        <f t="shared" ca="1" si="48"/>
        <v>0</v>
      </c>
      <c r="AG96" s="404">
        <f t="shared" ca="1" si="49"/>
        <v>0</v>
      </c>
      <c r="AH96" s="415">
        <f t="shared" ca="1" si="50"/>
        <v>0</v>
      </c>
      <c r="AI96" s="415">
        <f t="shared" ca="1" si="51"/>
        <v>0</v>
      </c>
      <c r="AJ96" s="416">
        <f t="shared" ca="1" si="52"/>
        <v>0</v>
      </c>
      <c r="AK96" s="416">
        <f t="shared" ca="1" si="53"/>
        <v>0</v>
      </c>
      <c r="AL96" s="417">
        <f>0</f>
        <v>0</v>
      </c>
      <c r="AM96" s="269">
        <f t="shared" ca="1" si="60"/>
        <v>0</v>
      </c>
      <c r="AN96" s="422">
        <f t="shared" ca="1" si="38"/>
        <v>18.189999999999998</v>
      </c>
      <c r="AO96" s="423">
        <f t="shared" ca="1" si="38"/>
        <v>30526306.859062586</v>
      </c>
      <c r="AP96" s="271">
        <f t="shared" ca="1" si="38"/>
        <v>0</v>
      </c>
      <c r="AQ96" s="271">
        <f t="shared" ca="1" si="38"/>
        <v>0.11849999999999999</v>
      </c>
      <c r="AR96" s="271">
        <f t="shared" ca="1" si="38"/>
        <v>0.11849999999999999</v>
      </c>
      <c r="AS96" s="271">
        <f t="shared" ca="1" si="38"/>
        <v>0.11849999999999999</v>
      </c>
      <c r="AT96" s="271">
        <f t="shared" ca="1" si="38"/>
        <v>1.9E-2</v>
      </c>
      <c r="AU96" s="278">
        <f t="shared" ca="1" si="36"/>
        <v>0.1</v>
      </c>
    </row>
    <row r="97" spans="2:47" ht="13.15" thickBot="1" x14ac:dyDescent="0.4">
      <c r="B97" s="18">
        <f t="shared" si="59"/>
        <v>78</v>
      </c>
      <c r="C97" s="85">
        <f t="shared" ca="1" si="42"/>
        <v>0</v>
      </c>
      <c r="D97" s="85">
        <f t="shared" ca="1" si="39"/>
        <v>0</v>
      </c>
      <c r="E97" s="84">
        <f t="shared" ca="1" si="43"/>
        <v>0</v>
      </c>
      <c r="F97" s="135">
        <f t="shared" ca="1" si="54"/>
        <v>0</v>
      </c>
      <c r="G97" s="409">
        <f t="shared" ca="1" si="40"/>
        <v>0</v>
      </c>
      <c r="H97" s="409">
        <f t="shared" ca="1" si="41"/>
        <v>0</v>
      </c>
      <c r="I97" s="275">
        <f t="shared" ca="1" si="55"/>
        <v>0</v>
      </c>
      <c r="J97" s="275">
        <f t="shared" ca="1" si="44"/>
        <v>0</v>
      </c>
      <c r="K97" s="137">
        <f t="shared" ca="1" si="57"/>
        <v>0</v>
      </c>
      <c r="L97" s="15" t="str">
        <f t="shared" ca="1" si="37"/>
        <v>F</v>
      </c>
      <c r="M97" s="88">
        <f t="shared" ca="1" si="37"/>
        <v>0</v>
      </c>
      <c r="N97" s="88">
        <f t="shared" ca="1" si="37"/>
        <v>0</v>
      </c>
      <c r="O97" s="432">
        <v>1000000000000000</v>
      </c>
      <c r="P97" s="69">
        <v>109575</v>
      </c>
      <c r="Q97" s="3">
        <f t="shared" si="45"/>
        <v>64583</v>
      </c>
      <c r="R97" s="107">
        <f t="shared" ca="1" si="46"/>
        <v>17.97</v>
      </c>
      <c r="S97" s="105">
        <f t="shared" ca="1" si="47"/>
        <v>17716417.870576583</v>
      </c>
      <c r="T97" s="341">
        <v>0</v>
      </c>
      <c r="U97" s="341">
        <v>0.11849999999999999</v>
      </c>
      <c r="V97" s="341">
        <v>0.11849999999999999</v>
      </c>
      <c r="W97" s="341">
        <v>0.11849999999999999</v>
      </c>
      <c r="X97" s="281">
        <f t="shared" si="34"/>
        <v>1.9E-2</v>
      </c>
      <c r="Y97" s="282">
        <f t="shared" si="56"/>
        <v>9.7000000000000003E-2</v>
      </c>
      <c r="AA97" s="391">
        <f t="shared" ca="1" si="48"/>
        <v>0</v>
      </c>
      <c r="AB97" s="400">
        <f t="shared" ca="1" si="48"/>
        <v>0</v>
      </c>
      <c r="AC97" s="258">
        <f t="shared" ca="1" si="48"/>
        <v>0</v>
      </c>
      <c r="AD97" s="258">
        <f t="shared" ca="1" si="48"/>
        <v>0</v>
      </c>
      <c r="AE97" s="402">
        <f t="shared" ca="1" si="48"/>
        <v>0</v>
      </c>
      <c r="AF97" s="402">
        <f t="shared" ca="1" si="48"/>
        <v>0</v>
      </c>
      <c r="AG97" s="404">
        <f t="shared" ca="1" si="49"/>
        <v>0</v>
      </c>
      <c r="AH97" s="415">
        <f t="shared" ca="1" si="50"/>
        <v>0</v>
      </c>
      <c r="AI97" s="415">
        <f t="shared" ca="1" si="51"/>
        <v>0</v>
      </c>
      <c r="AJ97" s="416">
        <f t="shared" ca="1" si="52"/>
        <v>0</v>
      </c>
      <c r="AK97" s="416">
        <f t="shared" ca="1" si="53"/>
        <v>0</v>
      </c>
      <c r="AL97" s="417">
        <f>0</f>
        <v>0</v>
      </c>
      <c r="AM97" s="269">
        <f t="shared" ca="1" si="60"/>
        <v>0</v>
      </c>
      <c r="AN97" s="422">
        <f t="shared" ca="1" si="38"/>
        <v>18.189999999999998</v>
      </c>
      <c r="AO97" s="423">
        <f t="shared" ca="1" si="38"/>
        <v>30526306.859062586</v>
      </c>
      <c r="AP97" s="271">
        <f t="shared" ca="1" si="38"/>
        <v>0</v>
      </c>
      <c r="AQ97" s="271">
        <f t="shared" ca="1" si="38"/>
        <v>0.11849999999999999</v>
      </c>
      <c r="AR97" s="271">
        <f t="shared" ca="1" si="38"/>
        <v>0.11849999999999999</v>
      </c>
      <c r="AS97" s="271">
        <f t="shared" ca="1" si="38"/>
        <v>0.11849999999999999</v>
      </c>
      <c r="AT97" s="271">
        <f t="shared" ca="1" si="38"/>
        <v>1.9E-2</v>
      </c>
      <c r="AU97" s="278">
        <f t="shared" ca="1" si="36"/>
        <v>0.1</v>
      </c>
    </row>
    <row r="98" spans="2:47" ht="13.15" thickBot="1" x14ac:dyDescent="0.4">
      <c r="B98" s="18">
        <f t="shared" si="59"/>
        <v>79</v>
      </c>
      <c r="C98" s="85">
        <f t="shared" ca="1" si="42"/>
        <v>0</v>
      </c>
      <c r="D98" s="85">
        <f t="shared" ca="1" si="39"/>
        <v>0</v>
      </c>
      <c r="E98" s="84">
        <f t="shared" ca="1" si="43"/>
        <v>0</v>
      </c>
      <c r="F98" s="135">
        <f t="shared" ca="1" si="54"/>
        <v>0</v>
      </c>
      <c r="G98" s="409">
        <f t="shared" ca="1" si="40"/>
        <v>0</v>
      </c>
      <c r="H98" s="409">
        <f t="shared" ca="1" si="41"/>
        <v>0</v>
      </c>
      <c r="I98" s="275">
        <f t="shared" ca="1" si="55"/>
        <v>0</v>
      </c>
      <c r="J98" s="275">
        <f t="shared" ca="1" si="44"/>
        <v>0</v>
      </c>
      <c r="K98" s="137">
        <f t="shared" ca="1" si="57"/>
        <v>0</v>
      </c>
      <c r="L98" s="15" t="str">
        <f t="shared" ca="1" si="37"/>
        <v>F</v>
      </c>
      <c r="M98" s="88">
        <f t="shared" ca="1" si="37"/>
        <v>0</v>
      </c>
      <c r="N98" s="88">
        <f t="shared" ca="1" si="37"/>
        <v>0</v>
      </c>
      <c r="O98" s="432">
        <v>1000000000000000</v>
      </c>
      <c r="P98" s="69">
        <v>109575</v>
      </c>
      <c r="Q98" s="3">
        <f t="shared" si="45"/>
        <v>64583</v>
      </c>
      <c r="R98" s="107">
        <f t="shared" ca="1" si="46"/>
        <v>17.97</v>
      </c>
      <c r="S98" s="105">
        <f t="shared" ca="1" si="47"/>
        <v>17716417.870576583</v>
      </c>
      <c r="T98" s="341">
        <v>0</v>
      </c>
      <c r="U98" s="341">
        <v>0.11849999999999999</v>
      </c>
      <c r="V98" s="341">
        <v>0.11849999999999999</v>
      </c>
      <c r="W98" s="341">
        <v>0.11849999999999999</v>
      </c>
      <c r="X98" s="281">
        <f t="shared" si="34"/>
        <v>1.9E-2</v>
      </c>
      <c r="Y98" s="282">
        <f t="shared" si="56"/>
        <v>9.7000000000000003E-2</v>
      </c>
      <c r="AA98" s="391">
        <f t="shared" ca="1" si="48"/>
        <v>0</v>
      </c>
      <c r="AB98" s="400">
        <f t="shared" ca="1" si="48"/>
        <v>0</v>
      </c>
      <c r="AC98" s="258">
        <f t="shared" ca="1" si="48"/>
        <v>0</v>
      </c>
      <c r="AD98" s="258">
        <f t="shared" ca="1" si="48"/>
        <v>0</v>
      </c>
      <c r="AE98" s="402">
        <f t="shared" ca="1" si="48"/>
        <v>0</v>
      </c>
      <c r="AF98" s="402">
        <f t="shared" ca="1" si="48"/>
        <v>0</v>
      </c>
      <c r="AG98" s="404">
        <f t="shared" ca="1" si="49"/>
        <v>0</v>
      </c>
      <c r="AH98" s="415">
        <f t="shared" ca="1" si="50"/>
        <v>0</v>
      </c>
      <c r="AI98" s="415">
        <f t="shared" ca="1" si="51"/>
        <v>0</v>
      </c>
      <c r="AJ98" s="416">
        <f t="shared" ca="1" si="52"/>
        <v>0</v>
      </c>
      <c r="AK98" s="416">
        <f t="shared" ca="1" si="53"/>
        <v>0</v>
      </c>
      <c r="AL98" s="417">
        <f>0</f>
        <v>0</v>
      </c>
      <c r="AM98" s="269">
        <f t="shared" ca="1" si="60"/>
        <v>0</v>
      </c>
      <c r="AN98" s="422">
        <f t="shared" ca="1" si="38"/>
        <v>18.189999999999998</v>
      </c>
      <c r="AO98" s="423">
        <f t="shared" ca="1" si="38"/>
        <v>30526306.859062586</v>
      </c>
      <c r="AP98" s="271">
        <f t="shared" ca="1" si="38"/>
        <v>0</v>
      </c>
      <c r="AQ98" s="271">
        <f t="shared" ca="1" si="38"/>
        <v>0.11849999999999999</v>
      </c>
      <c r="AR98" s="271">
        <f t="shared" ca="1" si="38"/>
        <v>0.11849999999999999</v>
      </c>
      <c r="AS98" s="271">
        <f t="shared" ca="1" si="38"/>
        <v>0.11849999999999999</v>
      </c>
      <c r="AT98" s="271">
        <f t="shared" ca="1" si="38"/>
        <v>1.9E-2</v>
      </c>
      <c r="AU98" s="278">
        <f t="shared" ca="1" si="36"/>
        <v>0.1</v>
      </c>
    </row>
    <row r="99" spans="2:47" ht="13.15" thickBot="1" x14ac:dyDescent="0.4">
      <c r="B99" s="18">
        <f t="shared" si="59"/>
        <v>80</v>
      </c>
      <c r="C99" s="85">
        <f t="shared" ca="1" si="42"/>
        <v>0</v>
      </c>
      <c r="D99" s="85">
        <f t="shared" ca="1" si="39"/>
        <v>0</v>
      </c>
      <c r="E99" s="84">
        <f t="shared" ca="1" si="43"/>
        <v>0</v>
      </c>
      <c r="F99" s="135">
        <f t="shared" ca="1" si="54"/>
        <v>0</v>
      </c>
      <c r="G99" s="409">
        <f t="shared" ca="1" si="40"/>
        <v>0</v>
      </c>
      <c r="H99" s="409">
        <f t="shared" ca="1" si="41"/>
        <v>0</v>
      </c>
      <c r="I99" s="275">
        <f t="shared" ca="1" si="55"/>
        <v>0</v>
      </c>
      <c r="J99" s="275">
        <f t="shared" ca="1" si="44"/>
        <v>0</v>
      </c>
      <c r="K99" s="137">
        <f t="shared" ca="1" si="57"/>
        <v>0</v>
      </c>
      <c r="L99" s="15" t="str">
        <f t="shared" ca="1" si="37"/>
        <v>F</v>
      </c>
      <c r="M99" s="88">
        <f t="shared" ca="1" si="37"/>
        <v>0</v>
      </c>
      <c r="N99" s="88">
        <f t="shared" ca="1" si="37"/>
        <v>0</v>
      </c>
      <c r="O99" s="432">
        <v>1000000000000000</v>
      </c>
      <c r="P99" s="69">
        <v>109575</v>
      </c>
      <c r="Q99" s="3">
        <f t="shared" si="45"/>
        <v>64583</v>
      </c>
      <c r="R99" s="107">
        <f t="shared" ca="1" si="46"/>
        <v>17.97</v>
      </c>
      <c r="S99" s="105">
        <f t="shared" ca="1" si="47"/>
        <v>17716417.870576583</v>
      </c>
      <c r="T99" s="341">
        <v>0</v>
      </c>
      <c r="U99" s="341">
        <v>0.11849999999999999</v>
      </c>
      <c r="V99" s="341">
        <v>0.11849999999999999</v>
      </c>
      <c r="W99" s="341">
        <v>0.11849999999999999</v>
      </c>
      <c r="X99" s="281">
        <f t="shared" si="34"/>
        <v>1.9E-2</v>
      </c>
      <c r="Y99" s="282">
        <f t="shared" si="56"/>
        <v>9.7000000000000003E-2</v>
      </c>
      <c r="AA99" s="391">
        <f t="shared" ca="1" si="48"/>
        <v>0</v>
      </c>
      <c r="AB99" s="400">
        <f t="shared" ca="1" si="48"/>
        <v>0</v>
      </c>
      <c r="AC99" s="258">
        <f t="shared" ca="1" si="48"/>
        <v>0</v>
      </c>
      <c r="AD99" s="258">
        <f t="shared" ca="1" si="48"/>
        <v>0</v>
      </c>
      <c r="AE99" s="402">
        <f t="shared" ca="1" si="48"/>
        <v>0</v>
      </c>
      <c r="AF99" s="402">
        <f t="shared" ca="1" si="48"/>
        <v>0</v>
      </c>
      <c r="AG99" s="404">
        <f t="shared" ca="1" si="49"/>
        <v>0</v>
      </c>
      <c r="AH99" s="415">
        <f t="shared" ca="1" si="50"/>
        <v>0</v>
      </c>
      <c r="AI99" s="415">
        <f t="shared" ca="1" si="51"/>
        <v>0</v>
      </c>
      <c r="AJ99" s="416">
        <f t="shared" ca="1" si="52"/>
        <v>0</v>
      </c>
      <c r="AK99" s="416">
        <f t="shared" ca="1" si="53"/>
        <v>0</v>
      </c>
      <c r="AL99" s="417">
        <f>0</f>
        <v>0</v>
      </c>
      <c r="AM99" s="269">
        <f t="shared" ca="1" si="60"/>
        <v>0</v>
      </c>
      <c r="AN99" s="422">
        <f t="shared" ca="1" si="38"/>
        <v>18.189999999999998</v>
      </c>
      <c r="AO99" s="423">
        <f t="shared" ca="1" si="38"/>
        <v>30526306.859062586</v>
      </c>
      <c r="AP99" s="271">
        <f t="shared" ca="1" si="38"/>
        <v>0</v>
      </c>
      <c r="AQ99" s="271">
        <f t="shared" ca="1" si="38"/>
        <v>0.11849999999999999</v>
      </c>
      <c r="AR99" s="271">
        <f t="shared" ca="1" si="38"/>
        <v>0.11849999999999999</v>
      </c>
      <c r="AS99" s="271">
        <f t="shared" ca="1" si="38"/>
        <v>0.11849999999999999</v>
      </c>
      <c r="AT99" s="271">
        <f t="shared" ca="1" si="38"/>
        <v>1.9E-2</v>
      </c>
      <c r="AU99" s="278">
        <f t="shared" ca="1" si="36"/>
        <v>0.1</v>
      </c>
    </row>
    <row r="100" spans="2:47" ht="13.15" thickBot="1" x14ac:dyDescent="0.4">
      <c r="B100" s="18">
        <f t="shared" si="59"/>
        <v>81</v>
      </c>
      <c r="C100" s="85">
        <f t="shared" ca="1" si="42"/>
        <v>0</v>
      </c>
      <c r="D100" s="85">
        <f t="shared" ca="1" si="39"/>
        <v>0</v>
      </c>
      <c r="E100" s="84">
        <f t="shared" ca="1" si="43"/>
        <v>0</v>
      </c>
      <c r="F100" s="135">
        <f t="shared" ca="1" si="54"/>
        <v>0</v>
      </c>
      <c r="G100" s="409">
        <f t="shared" ca="1" si="40"/>
        <v>0</v>
      </c>
      <c r="H100" s="409">
        <f t="shared" ca="1" si="41"/>
        <v>0</v>
      </c>
      <c r="I100" s="275">
        <f t="shared" ca="1" si="55"/>
        <v>0</v>
      </c>
      <c r="J100" s="275">
        <f t="shared" ca="1" si="44"/>
        <v>0</v>
      </c>
      <c r="K100" s="137">
        <f t="shared" ca="1" si="57"/>
        <v>0</v>
      </c>
      <c r="L100" s="15" t="str">
        <f t="shared" ca="1" si="37"/>
        <v>F</v>
      </c>
      <c r="M100" s="88">
        <f t="shared" ca="1" si="37"/>
        <v>0</v>
      </c>
      <c r="N100" s="88">
        <f t="shared" ca="1" si="37"/>
        <v>0</v>
      </c>
      <c r="O100" s="432">
        <v>1000000000000000</v>
      </c>
      <c r="P100" s="69">
        <v>109575</v>
      </c>
      <c r="Q100" s="3">
        <f t="shared" si="45"/>
        <v>64583</v>
      </c>
      <c r="R100" s="107">
        <f t="shared" ca="1" si="46"/>
        <v>17.97</v>
      </c>
      <c r="S100" s="105">
        <f t="shared" ca="1" si="47"/>
        <v>17716417.870576583</v>
      </c>
      <c r="T100" s="341">
        <v>0</v>
      </c>
      <c r="U100" s="341">
        <v>0.11849999999999999</v>
      </c>
      <c r="V100" s="341">
        <v>0.11849999999999999</v>
      </c>
      <c r="W100" s="341">
        <v>0.11849999999999999</v>
      </c>
      <c r="X100" s="281">
        <f t="shared" si="34"/>
        <v>1.9E-2</v>
      </c>
      <c r="Y100" s="282">
        <f t="shared" si="56"/>
        <v>9.7000000000000003E-2</v>
      </c>
      <c r="AA100" s="391">
        <f t="shared" ca="1" si="48"/>
        <v>0</v>
      </c>
      <c r="AB100" s="400">
        <f t="shared" ca="1" si="48"/>
        <v>0</v>
      </c>
      <c r="AC100" s="258">
        <f t="shared" ca="1" si="48"/>
        <v>0</v>
      </c>
      <c r="AD100" s="258">
        <f t="shared" ca="1" si="48"/>
        <v>0</v>
      </c>
      <c r="AE100" s="402">
        <f t="shared" ca="1" si="48"/>
        <v>0</v>
      </c>
      <c r="AF100" s="402">
        <f t="shared" ca="1" si="48"/>
        <v>0</v>
      </c>
      <c r="AG100" s="404">
        <f t="shared" ca="1" si="49"/>
        <v>0</v>
      </c>
      <c r="AH100" s="415">
        <f t="shared" ca="1" si="50"/>
        <v>0</v>
      </c>
      <c r="AI100" s="415">
        <f t="shared" ca="1" si="51"/>
        <v>0</v>
      </c>
      <c r="AJ100" s="416">
        <f t="shared" ca="1" si="52"/>
        <v>0</v>
      </c>
      <c r="AK100" s="416">
        <f t="shared" ca="1" si="53"/>
        <v>0</v>
      </c>
      <c r="AL100" s="417">
        <f>0</f>
        <v>0</v>
      </c>
      <c r="AM100" s="269">
        <f t="shared" ca="1" si="60"/>
        <v>0</v>
      </c>
      <c r="AN100" s="422">
        <f t="shared" ca="1" si="38"/>
        <v>18.189999999999998</v>
      </c>
      <c r="AO100" s="423">
        <f t="shared" ca="1" si="38"/>
        <v>30526306.859062586</v>
      </c>
      <c r="AP100" s="271">
        <f t="shared" ca="1" si="38"/>
        <v>0</v>
      </c>
      <c r="AQ100" s="271">
        <f t="shared" ca="1" si="38"/>
        <v>0.11849999999999999</v>
      </c>
      <c r="AR100" s="271">
        <f t="shared" ca="1" si="38"/>
        <v>0.11849999999999999</v>
      </c>
      <c r="AS100" s="271">
        <f t="shared" ca="1" si="38"/>
        <v>0.11849999999999999</v>
      </c>
      <c r="AT100" s="271">
        <f t="shared" ca="1" si="38"/>
        <v>1.9E-2</v>
      </c>
      <c r="AU100" s="278">
        <f t="shared" ca="1" si="36"/>
        <v>0.1</v>
      </c>
    </row>
    <row r="101" spans="2:47" ht="13.15" thickBot="1" x14ac:dyDescent="0.4">
      <c r="B101" s="18">
        <f t="shared" si="59"/>
        <v>82</v>
      </c>
      <c r="C101" s="85">
        <f t="shared" ca="1" si="42"/>
        <v>0</v>
      </c>
      <c r="D101" s="85">
        <f t="shared" ca="1" si="39"/>
        <v>0</v>
      </c>
      <c r="E101" s="84">
        <f t="shared" ca="1" si="43"/>
        <v>0</v>
      </c>
      <c r="F101" s="135">
        <f t="shared" ca="1" si="54"/>
        <v>0</v>
      </c>
      <c r="G101" s="409">
        <f t="shared" ca="1" si="40"/>
        <v>0</v>
      </c>
      <c r="H101" s="409">
        <f t="shared" ca="1" si="41"/>
        <v>0</v>
      </c>
      <c r="I101" s="275">
        <f t="shared" ca="1" si="55"/>
        <v>0</v>
      </c>
      <c r="J101" s="275">
        <f t="shared" ca="1" si="44"/>
        <v>0</v>
      </c>
      <c r="K101" s="137">
        <f t="shared" ca="1" si="57"/>
        <v>0</v>
      </c>
      <c r="L101" s="15" t="str">
        <f t="shared" ca="1" si="37"/>
        <v>F</v>
      </c>
      <c r="M101" s="88">
        <f t="shared" ca="1" si="37"/>
        <v>0</v>
      </c>
      <c r="N101" s="88">
        <f t="shared" ca="1" si="37"/>
        <v>0</v>
      </c>
      <c r="O101" s="432">
        <v>1000000000000000</v>
      </c>
      <c r="P101" s="69">
        <v>109575</v>
      </c>
      <c r="Q101" s="3">
        <f t="shared" si="45"/>
        <v>64583</v>
      </c>
      <c r="R101" s="107">
        <f t="shared" ca="1" si="46"/>
        <v>17.97</v>
      </c>
      <c r="S101" s="105">
        <f t="shared" ca="1" si="47"/>
        <v>17716417.870576583</v>
      </c>
      <c r="T101" s="341">
        <v>0</v>
      </c>
      <c r="U101" s="341">
        <v>0.11849999999999999</v>
      </c>
      <c r="V101" s="341">
        <v>0.11849999999999999</v>
      </c>
      <c r="W101" s="341">
        <v>0.11849999999999999</v>
      </c>
      <c r="X101" s="281">
        <f t="shared" si="34"/>
        <v>1.9E-2</v>
      </c>
      <c r="Y101" s="282">
        <f t="shared" si="56"/>
        <v>9.7000000000000003E-2</v>
      </c>
      <c r="AA101" s="391">
        <f t="shared" ca="1" si="48"/>
        <v>0</v>
      </c>
      <c r="AB101" s="400">
        <f t="shared" ca="1" si="48"/>
        <v>0</v>
      </c>
      <c r="AC101" s="258">
        <f t="shared" ca="1" si="48"/>
        <v>0</v>
      </c>
      <c r="AD101" s="258">
        <f t="shared" ca="1" si="48"/>
        <v>0</v>
      </c>
      <c r="AE101" s="402">
        <f t="shared" ca="1" si="48"/>
        <v>0</v>
      </c>
      <c r="AF101" s="402">
        <f t="shared" ca="1" si="48"/>
        <v>0</v>
      </c>
      <c r="AG101" s="404">
        <f t="shared" ca="1" si="49"/>
        <v>0</v>
      </c>
      <c r="AH101" s="415">
        <f t="shared" ca="1" si="50"/>
        <v>0</v>
      </c>
      <c r="AI101" s="415">
        <f t="shared" ca="1" si="51"/>
        <v>0</v>
      </c>
      <c r="AJ101" s="416">
        <f t="shared" ca="1" si="52"/>
        <v>0</v>
      </c>
      <c r="AK101" s="416">
        <f t="shared" ca="1" si="53"/>
        <v>0</v>
      </c>
      <c r="AL101" s="417">
        <f>0</f>
        <v>0</v>
      </c>
      <c r="AM101" s="269">
        <f t="shared" ca="1" si="60"/>
        <v>0</v>
      </c>
      <c r="AN101" s="422">
        <f t="shared" ca="1" si="38"/>
        <v>18.189999999999998</v>
      </c>
      <c r="AO101" s="423">
        <f t="shared" ca="1" si="38"/>
        <v>30526306.859062586</v>
      </c>
      <c r="AP101" s="271">
        <f t="shared" ca="1" si="38"/>
        <v>0</v>
      </c>
      <c r="AQ101" s="271">
        <f t="shared" ca="1" si="38"/>
        <v>0.11849999999999999</v>
      </c>
      <c r="AR101" s="271">
        <f t="shared" ca="1" si="38"/>
        <v>0.11849999999999999</v>
      </c>
      <c r="AS101" s="271">
        <f t="shared" ca="1" si="38"/>
        <v>0.11849999999999999</v>
      </c>
      <c r="AT101" s="271">
        <f t="shared" ca="1" si="38"/>
        <v>1.9E-2</v>
      </c>
      <c r="AU101" s="278">
        <f t="shared" ca="1" si="36"/>
        <v>0.1</v>
      </c>
    </row>
    <row r="102" spans="2:47" ht="13.15" thickBot="1" x14ac:dyDescent="0.4">
      <c r="B102" s="18">
        <f t="shared" si="59"/>
        <v>83</v>
      </c>
      <c r="C102" s="85">
        <f t="shared" ca="1" si="42"/>
        <v>0</v>
      </c>
      <c r="D102" s="85">
        <f t="shared" ca="1" si="39"/>
        <v>0</v>
      </c>
      <c r="E102" s="84">
        <f t="shared" ca="1" si="43"/>
        <v>0</v>
      </c>
      <c r="F102" s="135">
        <f t="shared" ca="1" si="54"/>
        <v>0</v>
      </c>
      <c r="G102" s="409">
        <f t="shared" ca="1" si="40"/>
        <v>0</v>
      </c>
      <c r="H102" s="409">
        <f t="shared" ca="1" si="41"/>
        <v>0</v>
      </c>
      <c r="I102" s="275">
        <f t="shared" ca="1" si="55"/>
        <v>0</v>
      </c>
      <c r="J102" s="275">
        <f t="shared" ca="1" si="44"/>
        <v>0</v>
      </c>
      <c r="K102" s="137">
        <f t="shared" ca="1" si="57"/>
        <v>0</v>
      </c>
      <c r="L102" s="15" t="str">
        <f t="shared" ca="1" si="37"/>
        <v>F</v>
      </c>
      <c r="M102" s="88">
        <f t="shared" ca="1" si="37"/>
        <v>0</v>
      </c>
      <c r="N102" s="88">
        <f t="shared" ca="1" si="37"/>
        <v>0</v>
      </c>
      <c r="O102" s="432">
        <v>1000000000000000</v>
      </c>
      <c r="P102" s="69">
        <v>109575</v>
      </c>
      <c r="Q102" s="3">
        <f t="shared" si="45"/>
        <v>64583</v>
      </c>
      <c r="R102" s="107">
        <f t="shared" ca="1" si="46"/>
        <v>17.97</v>
      </c>
      <c r="S102" s="105">
        <f t="shared" ca="1" si="47"/>
        <v>17716417.870576583</v>
      </c>
      <c r="T102" s="341">
        <v>0</v>
      </c>
      <c r="U102" s="341">
        <v>0.11849999999999999</v>
      </c>
      <c r="V102" s="341">
        <v>0.11849999999999999</v>
      </c>
      <c r="W102" s="341">
        <v>0.11849999999999999</v>
      </c>
      <c r="X102" s="281">
        <f t="shared" si="34"/>
        <v>1.9E-2</v>
      </c>
      <c r="Y102" s="282">
        <f t="shared" si="56"/>
        <v>9.7000000000000003E-2</v>
      </c>
      <c r="AA102" s="391">
        <f t="shared" ca="1" si="48"/>
        <v>0</v>
      </c>
      <c r="AB102" s="400">
        <f t="shared" ca="1" si="48"/>
        <v>0</v>
      </c>
      <c r="AC102" s="258">
        <f t="shared" ca="1" si="48"/>
        <v>0</v>
      </c>
      <c r="AD102" s="258">
        <f t="shared" ca="1" si="48"/>
        <v>0</v>
      </c>
      <c r="AE102" s="402">
        <f t="shared" ca="1" si="48"/>
        <v>0</v>
      </c>
      <c r="AF102" s="402">
        <f t="shared" ca="1" si="48"/>
        <v>0</v>
      </c>
      <c r="AG102" s="404">
        <f t="shared" ca="1" si="49"/>
        <v>0</v>
      </c>
      <c r="AH102" s="415">
        <f t="shared" ca="1" si="50"/>
        <v>0</v>
      </c>
      <c r="AI102" s="415">
        <f t="shared" ca="1" si="51"/>
        <v>0</v>
      </c>
      <c r="AJ102" s="416">
        <f t="shared" ca="1" si="52"/>
        <v>0</v>
      </c>
      <c r="AK102" s="416">
        <f t="shared" ca="1" si="53"/>
        <v>0</v>
      </c>
      <c r="AL102" s="417">
        <f>0</f>
        <v>0</v>
      </c>
      <c r="AM102" s="269">
        <f t="shared" ca="1" si="60"/>
        <v>0</v>
      </c>
      <c r="AN102" s="422">
        <f t="shared" ca="1" si="38"/>
        <v>18.189999999999998</v>
      </c>
      <c r="AO102" s="423">
        <f t="shared" ca="1" si="38"/>
        <v>30526306.859062586</v>
      </c>
      <c r="AP102" s="271">
        <f t="shared" ca="1" si="38"/>
        <v>0</v>
      </c>
      <c r="AQ102" s="271">
        <f t="shared" ca="1" si="38"/>
        <v>0.11849999999999999</v>
      </c>
      <c r="AR102" s="271">
        <f t="shared" ca="1" si="38"/>
        <v>0.11849999999999999</v>
      </c>
      <c r="AS102" s="271">
        <f t="shared" ca="1" si="38"/>
        <v>0.11849999999999999</v>
      </c>
      <c r="AT102" s="271">
        <f t="shared" ca="1" si="38"/>
        <v>1.9E-2</v>
      </c>
      <c r="AU102" s="278">
        <f t="shared" ca="1" si="36"/>
        <v>0.1</v>
      </c>
    </row>
    <row r="103" spans="2:47" ht="13.15" thickBot="1" x14ac:dyDescent="0.4">
      <c r="B103" s="18">
        <f t="shared" si="59"/>
        <v>84</v>
      </c>
      <c r="C103" s="85">
        <f t="shared" ca="1" si="42"/>
        <v>0</v>
      </c>
      <c r="D103" s="85">
        <f t="shared" ca="1" si="39"/>
        <v>0</v>
      </c>
      <c r="E103" s="84">
        <f t="shared" ca="1" si="43"/>
        <v>0</v>
      </c>
      <c r="F103" s="135">
        <f t="shared" ca="1" si="54"/>
        <v>0</v>
      </c>
      <c r="G103" s="409">
        <f t="shared" ca="1" si="40"/>
        <v>0</v>
      </c>
      <c r="H103" s="409">
        <f t="shared" ca="1" si="41"/>
        <v>0</v>
      </c>
      <c r="I103" s="275">
        <f t="shared" ca="1" si="55"/>
        <v>0</v>
      </c>
      <c r="J103" s="275">
        <f t="shared" ca="1" si="44"/>
        <v>0</v>
      </c>
      <c r="K103" s="137">
        <f t="shared" ca="1" si="57"/>
        <v>0</v>
      </c>
      <c r="L103" s="15" t="str">
        <f t="shared" ca="1" si="37"/>
        <v>F</v>
      </c>
      <c r="M103" s="88">
        <f t="shared" ca="1" si="37"/>
        <v>0</v>
      </c>
      <c r="N103" s="88">
        <f t="shared" ca="1" si="37"/>
        <v>0</v>
      </c>
      <c r="O103" s="432">
        <v>1000000000000000</v>
      </c>
      <c r="P103" s="69">
        <v>109575</v>
      </c>
      <c r="Q103" s="3">
        <f t="shared" si="45"/>
        <v>64583</v>
      </c>
      <c r="R103" s="107">
        <f t="shared" ca="1" si="46"/>
        <v>17.97</v>
      </c>
      <c r="S103" s="105">
        <f t="shared" ca="1" si="47"/>
        <v>17716417.870576583</v>
      </c>
      <c r="T103" s="341">
        <v>0</v>
      </c>
      <c r="U103" s="341">
        <v>0.11849999999999999</v>
      </c>
      <c r="V103" s="341">
        <v>0.11849999999999999</v>
      </c>
      <c r="W103" s="341">
        <v>0.11849999999999999</v>
      </c>
      <c r="X103" s="281">
        <f t="shared" ref="X103:X110" si="61">$I$10</f>
        <v>1.9E-2</v>
      </c>
      <c r="Y103" s="282">
        <f t="shared" si="56"/>
        <v>9.7000000000000003E-2</v>
      </c>
      <c r="AA103" s="391">
        <f t="shared" ca="1" si="48"/>
        <v>0</v>
      </c>
      <c r="AB103" s="400">
        <f t="shared" ca="1" si="48"/>
        <v>0</v>
      </c>
      <c r="AC103" s="258">
        <f t="shared" ca="1" si="48"/>
        <v>0</v>
      </c>
      <c r="AD103" s="258">
        <f t="shared" ca="1" si="48"/>
        <v>0</v>
      </c>
      <c r="AE103" s="402">
        <f t="shared" ca="1" si="48"/>
        <v>0</v>
      </c>
      <c r="AF103" s="402">
        <f t="shared" ca="1" si="48"/>
        <v>0</v>
      </c>
      <c r="AG103" s="404">
        <f t="shared" ca="1" si="49"/>
        <v>0</v>
      </c>
      <c r="AH103" s="415">
        <f t="shared" ca="1" si="50"/>
        <v>0</v>
      </c>
      <c r="AI103" s="415">
        <f t="shared" ca="1" si="51"/>
        <v>0</v>
      </c>
      <c r="AJ103" s="416">
        <f t="shared" ca="1" si="52"/>
        <v>0</v>
      </c>
      <c r="AK103" s="416">
        <f t="shared" ca="1" si="53"/>
        <v>0</v>
      </c>
      <c r="AL103" s="417">
        <f>0</f>
        <v>0</v>
      </c>
      <c r="AM103" s="269">
        <f t="shared" ca="1" si="60"/>
        <v>0</v>
      </c>
      <c r="AN103" s="422">
        <f t="shared" ca="1" si="38"/>
        <v>18.189999999999998</v>
      </c>
      <c r="AO103" s="423">
        <f t="shared" ca="1" si="38"/>
        <v>30526306.859062586</v>
      </c>
      <c r="AP103" s="271">
        <f t="shared" ca="1" si="38"/>
        <v>0</v>
      </c>
      <c r="AQ103" s="271">
        <f t="shared" ca="1" si="38"/>
        <v>0.11849999999999999</v>
      </c>
      <c r="AR103" s="271">
        <f t="shared" ca="1" si="38"/>
        <v>0.11849999999999999</v>
      </c>
      <c r="AS103" s="271">
        <f t="shared" ca="1" si="38"/>
        <v>0.11849999999999999</v>
      </c>
      <c r="AT103" s="271">
        <f t="shared" ca="1" si="38"/>
        <v>1.9E-2</v>
      </c>
      <c r="AU103" s="278">
        <f t="shared" ca="1" si="36"/>
        <v>0.1</v>
      </c>
    </row>
    <row r="104" spans="2:47" ht="13.15" thickBot="1" x14ac:dyDescent="0.4">
      <c r="B104" s="18">
        <f t="shared" si="59"/>
        <v>85</v>
      </c>
      <c r="C104" s="85">
        <f t="shared" ca="1" si="42"/>
        <v>0</v>
      </c>
      <c r="D104" s="85">
        <f t="shared" ca="1" si="39"/>
        <v>0</v>
      </c>
      <c r="E104" s="84">
        <f t="shared" ca="1" si="43"/>
        <v>0</v>
      </c>
      <c r="F104" s="135">
        <f t="shared" ca="1" si="54"/>
        <v>0</v>
      </c>
      <c r="G104" s="409">
        <f t="shared" ca="1" si="40"/>
        <v>0</v>
      </c>
      <c r="H104" s="409">
        <f t="shared" ca="1" si="41"/>
        <v>0</v>
      </c>
      <c r="I104" s="275">
        <f t="shared" ca="1" si="55"/>
        <v>0</v>
      </c>
      <c r="J104" s="275">
        <f t="shared" ca="1" si="44"/>
        <v>0</v>
      </c>
      <c r="K104" s="137">
        <f t="shared" ca="1" si="57"/>
        <v>0</v>
      </c>
      <c r="L104" s="15" t="str">
        <f t="shared" ca="1" si="37"/>
        <v>F</v>
      </c>
      <c r="M104" s="88">
        <f t="shared" ca="1" si="37"/>
        <v>0</v>
      </c>
      <c r="N104" s="88">
        <f t="shared" ca="1" si="37"/>
        <v>0</v>
      </c>
      <c r="O104" s="432">
        <v>1000000000000000</v>
      </c>
      <c r="P104" s="69">
        <v>109575</v>
      </c>
      <c r="Q104" s="3">
        <f t="shared" si="45"/>
        <v>64583</v>
      </c>
      <c r="R104" s="107">
        <f t="shared" ca="1" si="46"/>
        <v>17.97</v>
      </c>
      <c r="S104" s="105">
        <f t="shared" ca="1" si="47"/>
        <v>17716417.870576583</v>
      </c>
      <c r="T104" s="341">
        <v>0</v>
      </c>
      <c r="U104" s="341">
        <v>0.11849999999999999</v>
      </c>
      <c r="V104" s="341">
        <v>0.11849999999999999</v>
      </c>
      <c r="W104" s="341">
        <v>0.11849999999999999</v>
      </c>
      <c r="X104" s="281">
        <f t="shared" si="61"/>
        <v>1.9E-2</v>
      </c>
      <c r="Y104" s="282">
        <f t="shared" si="56"/>
        <v>9.7000000000000003E-2</v>
      </c>
      <c r="AA104" s="391">
        <f t="shared" ca="1" si="48"/>
        <v>0</v>
      </c>
      <c r="AB104" s="400">
        <f t="shared" ca="1" si="48"/>
        <v>0</v>
      </c>
      <c r="AC104" s="258">
        <f t="shared" ca="1" si="48"/>
        <v>0</v>
      </c>
      <c r="AD104" s="258">
        <f t="shared" ca="1" si="48"/>
        <v>0</v>
      </c>
      <c r="AE104" s="402">
        <f t="shared" ca="1" si="48"/>
        <v>0</v>
      </c>
      <c r="AF104" s="402">
        <f t="shared" ca="1" si="48"/>
        <v>0</v>
      </c>
      <c r="AG104" s="404">
        <f t="shared" ca="1" si="49"/>
        <v>0</v>
      </c>
      <c r="AH104" s="415">
        <f t="shared" ca="1" si="50"/>
        <v>0</v>
      </c>
      <c r="AI104" s="415">
        <f t="shared" ca="1" si="51"/>
        <v>0</v>
      </c>
      <c r="AJ104" s="416">
        <f t="shared" ca="1" si="52"/>
        <v>0</v>
      </c>
      <c r="AK104" s="416">
        <f t="shared" ca="1" si="53"/>
        <v>0</v>
      </c>
      <c r="AL104" s="417">
        <f>0</f>
        <v>0</v>
      </c>
      <c r="AM104" s="269">
        <f t="shared" ca="1" si="60"/>
        <v>0</v>
      </c>
      <c r="AN104" s="422">
        <f t="shared" ca="1" si="38"/>
        <v>18.189999999999998</v>
      </c>
      <c r="AO104" s="423">
        <f t="shared" ca="1" si="38"/>
        <v>30526306.859062586</v>
      </c>
      <c r="AP104" s="271">
        <f t="shared" ca="1" si="38"/>
        <v>0</v>
      </c>
      <c r="AQ104" s="271">
        <f t="shared" ca="1" si="38"/>
        <v>0.11849999999999999</v>
      </c>
      <c r="AR104" s="271">
        <f t="shared" ca="1" si="38"/>
        <v>0.11849999999999999</v>
      </c>
      <c r="AS104" s="271">
        <f t="shared" ca="1" si="38"/>
        <v>0.11849999999999999</v>
      </c>
      <c r="AT104" s="271">
        <f t="shared" ca="1" si="38"/>
        <v>1.9E-2</v>
      </c>
      <c r="AU104" s="278">
        <f t="shared" ca="1" si="36"/>
        <v>0.1</v>
      </c>
    </row>
    <row r="105" spans="2:47" ht="13.15" thickBot="1" x14ac:dyDescent="0.4">
      <c r="B105" s="18">
        <f t="shared" si="59"/>
        <v>86</v>
      </c>
      <c r="C105" s="85">
        <f t="shared" ca="1" si="42"/>
        <v>0</v>
      </c>
      <c r="D105" s="85">
        <f t="shared" ca="1" si="39"/>
        <v>0</v>
      </c>
      <c r="E105" s="84">
        <f t="shared" ca="1" si="43"/>
        <v>0</v>
      </c>
      <c r="F105" s="135">
        <f t="shared" ca="1" si="54"/>
        <v>0</v>
      </c>
      <c r="G105" s="409">
        <f t="shared" ca="1" si="40"/>
        <v>0</v>
      </c>
      <c r="H105" s="409">
        <f t="shared" ca="1" si="41"/>
        <v>0</v>
      </c>
      <c r="I105" s="275">
        <f t="shared" ca="1" si="55"/>
        <v>0</v>
      </c>
      <c r="J105" s="275">
        <f t="shared" ca="1" si="44"/>
        <v>0</v>
      </c>
      <c r="K105" s="137">
        <f t="shared" ca="1" si="57"/>
        <v>0</v>
      </c>
      <c r="L105" s="15" t="str">
        <f t="shared" ca="1" si="37"/>
        <v>F</v>
      </c>
      <c r="M105" s="88">
        <f t="shared" ca="1" si="37"/>
        <v>0</v>
      </c>
      <c r="N105" s="88">
        <f t="shared" ca="1" si="37"/>
        <v>0</v>
      </c>
      <c r="O105" s="432">
        <v>1000000000000000</v>
      </c>
      <c r="P105" s="69">
        <v>109575</v>
      </c>
      <c r="Q105" s="3">
        <f t="shared" si="45"/>
        <v>64583</v>
      </c>
      <c r="R105" s="107">
        <f t="shared" ca="1" si="46"/>
        <v>17.97</v>
      </c>
      <c r="S105" s="105">
        <f t="shared" ca="1" si="47"/>
        <v>17716417.870576583</v>
      </c>
      <c r="T105" s="341">
        <v>0</v>
      </c>
      <c r="U105" s="341">
        <v>0.11849999999999999</v>
      </c>
      <c r="V105" s="341">
        <v>0.11849999999999999</v>
      </c>
      <c r="W105" s="341">
        <v>0.11849999999999999</v>
      </c>
      <c r="X105" s="281">
        <f t="shared" si="61"/>
        <v>1.9E-2</v>
      </c>
      <c r="Y105" s="282">
        <f t="shared" si="56"/>
        <v>9.7000000000000003E-2</v>
      </c>
      <c r="AA105" s="391">
        <f t="shared" ca="1" si="48"/>
        <v>0</v>
      </c>
      <c r="AB105" s="400">
        <f t="shared" ca="1" si="48"/>
        <v>0</v>
      </c>
      <c r="AC105" s="258">
        <f t="shared" ca="1" si="48"/>
        <v>0</v>
      </c>
      <c r="AD105" s="258">
        <f t="shared" ca="1" si="48"/>
        <v>0</v>
      </c>
      <c r="AE105" s="402">
        <f t="shared" ca="1" si="48"/>
        <v>0</v>
      </c>
      <c r="AF105" s="402">
        <f t="shared" ca="1" si="48"/>
        <v>0</v>
      </c>
      <c r="AG105" s="404">
        <f t="shared" ca="1" si="49"/>
        <v>0</v>
      </c>
      <c r="AH105" s="415">
        <f t="shared" ca="1" si="50"/>
        <v>0</v>
      </c>
      <c r="AI105" s="415">
        <f t="shared" ca="1" si="51"/>
        <v>0</v>
      </c>
      <c r="AJ105" s="416">
        <f t="shared" ca="1" si="52"/>
        <v>0</v>
      </c>
      <c r="AK105" s="416">
        <f t="shared" ca="1" si="53"/>
        <v>0</v>
      </c>
      <c r="AL105" s="417">
        <f>0</f>
        <v>0</v>
      </c>
      <c r="AM105" s="269">
        <f t="shared" ca="1" si="60"/>
        <v>0</v>
      </c>
      <c r="AN105" s="422">
        <f t="shared" ca="1" si="38"/>
        <v>18.189999999999998</v>
      </c>
      <c r="AO105" s="423">
        <f t="shared" ca="1" si="38"/>
        <v>30526306.859062586</v>
      </c>
      <c r="AP105" s="271">
        <f t="shared" ca="1" si="38"/>
        <v>0</v>
      </c>
      <c r="AQ105" s="271">
        <f t="shared" ref="AQ105:AT110" ca="1" si="62">INDIRECT("'"&amp; $AB$16 &amp;"'!"&amp; ADDRESS(ROW(U105),COLUMN(U105),4))</f>
        <v>0.11849999999999999</v>
      </c>
      <c r="AR105" s="271">
        <f t="shared" ca="1" si="62"/>
        <v>0.11849999999999999</v>
      </c>
      <c r="AS105" s="271">
        <f t="shared" ca="1" si="62"/>
        <v>0.11849999999999999</v>
      </c>
      <c r="AT105" s="271">
        <f t="shared" ca="1" si="62"/>
        <v>1.9E-2</v>
      </c>
      <c r="AU105" s="278">
        <f t="shared" ca="1" si="36"/>
        <v>0.1</v>
      </c>
    </row>
    <row r="106" spans="2:47" ht="13.15" thickBot="1" x14ac:dyDescent="0.4">
      <c r="B106" s="18">
        <f t="shared" si="59"/>
        <v>87</v>
      </c>
      <c r="C106" s="85">
        <f t="shared" ca="1" si="42"/>
        <v>0</v>
      </c>
      <c r="D106" s="85">
        <f t="shared" ca="1" si="39"/>
        <v>0</v>
      </c>
      <c r="E106" s="84">
        <f t="shared" ca="1" si="43"/>
        <v>0</v>
      </c>
      <c r="F106" s="135">
        <f t="shared" ca="1" si="54"/>
        <v>0</v>
      </c>
      <c r="G106" s="409">
        <f t="shared" ca="1" si="40"/>
        <v>0</v>
      </c>
      <c r="H106" s="409">
        <f t="shared" ca="1" si="41"/>
        <v>0</v>
      </c>
      <c r="I106" s="275">
        <f t="shared" ca="1" si="55"/>
        <v>0</v>
      </c>
      <c r="J106" s="275">
        <f t="shared" ca="1" si="44"/>
        <v>0</v>
      </c>
      <c r="K106" s="137">
        <f t="shared" ca="1" si="57"/>
        <v>0</v>
      </c>
      <c r="L106" s="15" t="str">
        <f t="shared" ca="1" si="37"/>
        <v>F</v>
      </c>
      <c r="M106" s="88">
        <f t="shared" ca="1" si="37"/>
        <v>0</v>
      </c>
      <c r="N106" s="88">
        <f t="shared" ca="1" si="37"/>
        <v>0</v>
      </c>
      <c r="O106" s="432">
        <v>1000000000000000</v>
      </c>
      <c r="P106" s="69">
        <v>109575</v>
      </c>
      <c r="Q106" s="3">
        <f t="shared" si="45"/>
        <v>64583</v>
      </c>
      <c r="R106" s="107">
        <f t="shared" ca="1" si="46"/>
        <v>17.97</v>
      </c>
      <c r="S106" s="105">
        <f t="shared" ca="1" si="47"/>
        <v>17716417.870576583</v>
      </c>
      <c r="T106" s="341">
        <v>0</v>
      </c>
      <c r="U106" s="341">
        <v>0.11849999999999999</v>
      </c>
      <c r="V106" s="341">
        <v>0.11849999999999999</v>
      </c>
      <c r="W106" s="341">
        <v>0.11849999999999999</v>
      </c>
      <c r="X106" s="281">
        <f t="shared" si="61"/>
        <v>1.9E-2</v>
      </c>
      <c r="Y106" s="282">
        <f t="shared" si="56"/>
        <v>9.7000000000000003E-2</v>
      </c>
      <c r="AA106" s="391">
        <f t="shared" ca="1" si="48"/>
        <v>0</v>
      </c>
      <c r="AB106" s="400">
        <f t="shared" ca="1" si="48"/>
        <v>0</v>
      </c>
      <c r="AC106" s="258">
        <f t="shared" ca="1" si="48"/>
        <v>0</v>
      </c>
      <c r="AD106" s="258">
        <f t="shared" ca="1" si="48"/>
        <v>0</v>
      </c>
      <c r="AE106" s="402">
        <f t="shared" ca="1" si="48"/>
        <v>0</v>
      </c>
      <c r="AF106" s="402">
        <f t="shared" ca="1" si="48"/>
        <v>0</v>
      </c>
      <c r="AG106" s="404">
        <f t="shared" ca="1" si="49"/>
        <v>0</v>
      </c>
      <c r="AH106" s="415">
        <f t="shared" ca="1" si="50"/>
        <v>0</v>
      </c>
      <c r="AI106" s="415">
        <f t="shared" ca="1" si="51"/>
        <v>0</v>
      </c>
      <c r="AJ106" s="416">
        <f t="shared" ca="1" si="52"/>
        <v>0</v>
      </c>
      <c r="AK106" s="416">
        <f t="shared" ca="1" si="53"/>
        <v>0</v>
      </c>
      <c r="AL106" s="417">
        <f>0</f>
        <v>0</v>
      </c>
      <c r="AM106" s="269">
        <f t="shared" ca="1" si="60"/>
        <v>0</v>
      </c>
      <c r="AN106" s="422">
        <f t="shared" ref="AN106:AP110" ca="1" si="63">INDIRECT("'"&amp; $AB$16 &amp;"'!"&amp; ADDRESS(ROW(R106),COLUMN(R106),4))</f>
        <v>18.189999999999998</v>
      </c>
      <c r="AO106" s="423">
        <f t="shared" ca="1" si="63"/>
        <v>30526306.859062586</v>
      </c>
      <c r="AP106" s="271">
        <f t="shared" ca="1" si="63"/>
        <v>0</v>
      </c>
      <c r="AQ106" s="271">
        <f t="shared" ca="1" si="62"/>
        <v>0.11849999999999999</v>
      </c>
      <c r="AR106" s="271">
        <f t="shared" ca="1" si="62"/>
        <v>0.11849999999999999</v>
      </c>
      <c r="AS106" s="271">
        <f t="shared" ca="1" si="62"/>
        <v>0.11849999999999999</v>
      </c>
      <c r="AT106" s="271">
        <f t="shared" ca="1" si="62"/>
        <v>1.9E-2</v>
      </c>
      <c r="AU106" s="278">
        <f t="shared" ca="1" si="36"/>
        <v>0.1</v>
      </c>
    </row>
    <row r="107" spans="2:47" ht="13.15" thickBot="1" x14ac:dyDescent="0.4">
      <c r="B107" s="18">
        <f t="shared" si="59"/>
        <v>88</v>
      </c>
      <c r="C107" s="85">
        <f t="shared" ca="1" si="42"/>
        <v>0</v>
      </c>
      <c r="D107" s="85">
        <f t="shared" ca="1" si="39"/>
        <v>0</v>
      </c>
      <c r="E107" s="84">
        <f t="shared" ca="1" si="43"/>
        <v>0</v>
      </c>
      <c r="F107" s="135">
        <f t="shared" ca="1" si="54"/>
        <v>0</v>
      </c>
      <c r="G107" s="409">
        <f t="shared" ca="1" si="40"/>
        <v>0</v>
      </c>
      <c r="H107" s="409">
        <f t="shared" ca="1" si="41"/>
        <v>0</v>
      </c>
      <c r="I107" s="275">
        <f t="shared" ca="1" si="55"/>
        <v>0</v>
      </c>
      <c r="J107" s="275">
        <f t="shared" ca="1" si="44"/>
        <v>0</v>
      </c>
      <c r="K107" s="137">
        <f t="shared" ca="1" si="57"/>
        <v>0</v>
      </c>
      <c r="L107" s="15" t="str">
        <f t="shared" ca="1" si="37"/>
        <v>F</v>
      </c>
      <c r="M107" s="88">
        <f t="shared" ca="1" si="37"/>
        <v>0</v>
      </c>
      <c r="N107" s="88">
        <f t="shared" ca="1" si="37"/>
        <v>0</v>
      </c>
      <c r="O107" s="432">
        <v>1000000000000000</v>
      </c>
      <c r="P107" s="69">
        <v>109575</v>
      </c>
      <c r="Q107" s="3">
        <f t="shared" si="45"/>
        <v>64583</v>
      </c>
      <c r="R107" s="107">
        <f t="shared" ca="1" si="46"/>
        <v>17.97</v>
      </c>
      <c r="S107" s="105">
        <f t="shared" ca="1" si="47"/>
        <v>17716417.870576583</v>
      </c>
      <c r="T107" s="341">
        <v>0</v>
      </c>
      <c r="U107" s="341">
        <v>0.11849999999999999</v>
      </c>
      <c r="V107" s="341">
        <v>0.11849999999999999</v>
      </c>
      <c r="W107" s="341">
        <v>0.11849999999999999</v>
      </c>
      <c r="X107" s="281">
        <f t="shared" si="61"/>
        <v>1.9E-2</v>
      </c>
      <c r="Y107" s="282">
        <f t="shared" si="56"/>
        <v>9.7000000000000003E-2</v>
      </c>
      <c r="AA107" s="391">
        <f t="shared" ca="1" si="48"/>
        <v>0</v>
      </c>
      <c r="AB107" s="400">
        <f t="shared" ca="1" si="48"/>
        <v>0</v>
      </c>
      <c r="AC107" s="258">
        <f t="shared" ca="1" si="48"/>
        <v>0</v>
      </c>
      <c r="AD107" s="258">
        <f t="shared" ca="1" si="48"/>
        <v>0</v>
      </c>
      <c r="AE107" s="402">
        <f t="shared" ca="1" si="48"/>
        <v>0</v>
      </c>
      <c r="AF107" s="402">
        <f t="shared" ca="1" si="48"/>
        <v>0</v>
      </c>
      <c r="AG107" s="404">
        <f t="shared" ca="1" si="49"/>
        <v>0</v>
      </c>
      <c r="AH107" s="415">
        <f t="shared" ca="1" si="50"/>
        <v>0</v>
      </c>
      <c r="AI107" s="415">
        <f t="shared" ca="1" si="51"/>
        <v>0</v>
      </c>
      <c r="AJ107" s="416">
        <f t="shared" ca="1" si="52"/>
        <v>0</v>
      </c>
      <c r="AK107" s="416">
        <f t="shared" ca="1" si="53"/>
        <v>0</v>
      </c>
      <c r="AL107" s="417">
        <f>0</f>
        <v>0</v>
      </c>
      <c r="AM107" s="269">
        <f t="shared" ca="1" si="60"/>
        <v>0</v>
      </c>
      <c r="AN107" s="422">
        <f t="shared" ca="1" si="63"/>
        <v>18.189999999999998</v>
      </c>
      <c r="AO107" s="423">
        <f t="shared" ca="1" si="63"/>
        <v>30526306.859062586</v>
      </c>
      <c r="AP107" s="271">
        <f t="shared" ca="1" si="63"/>
        <v>0</v>
      </c>
      <c r="AQ107" s="271">
        <f t="shared" ca="1" si="62"/>
        <v>0.11849999999999999</v>
      </c>
      <c r="AR107" s="271">
        <f t="shared" ca="1" si="62"/>
        <v>0.11849999999999999</v>
      </c>
      <c r="AS107" s="271">
        <f t="shared" ca="1" si="62"/>
        <v>0.11849999999999999</v>
      </c>
      <c r="AT107" s="271">
        <f t="shared" ca="1" si="62"/>
        <v>1.9E-2</v>
      </c>
      <c r="AU107" s="278">
        <f t="shared" ca="1" si="36"/>
        <v>0.1</v>
      </c>
    </row>
    <row r="108" spans="2:47" ht="13.15" thickBot="1" x14ac:dyDescent="0.4">
      <c r="B108" s="18">
        <f t="shared" si="59"/>
        <v>89</v>
      </c>
      <c r="C108" s="85">
        <f t="shared" ca="1" si="42"/>
        <v>0</v>
      </c>
      <c r="D108" s="85">
        <f t="shared" ca="1" si="39"/>
        <v>0</v>
      </c>
      <c r="E108" s="84">
        <f t="shared" ca="1" si="43"/>
        <v>0</v>
      </c>
      <c r="F108" s="135">
        <f t="shared" ca="1" si="54"/>
        <v>0</v>
      </c>
      <c r="G108" s="409">
        <f t="shared" ca="1" si="40"/>
        <v>0</v>
      </c>
      <c r="H108" s="409">
        <f t="shared" ca="1" si="41"/>
        <v>0</v>
      </c>
      <c r="I108" s="275">
        <f t="shared" ca="1" si="55"/>
        <v>0</v>
      </c>
      <c r="J108" s="275">
        <f t="shared" ca="1" si="44"/>
        <v>0</v>
      </c>
      <c r="K108" s="137">
        <f t="shared" ca="1" si="57"/>
        <v>0</v>
      </c>
      <c r="L108" s="15" t="str">
        <f t="shared" ca="1" si="37"/>
        <v>F</v>
      </c>
      <c r="M108" s="88">
        <f t="shared" ca="1" si="37"/>
        <v>0</v>
      </c>
      <c r="N108" s="88">
        <f t="shared" ca="1" si="37"/>
        <v>0</v>
      </c>
      <c r="O108" s="432">
        <v>1000000000000000</v>
      </c>
      <c r="P108" s="69">
        <v>109575</v>
      </c>
      <c r="Q108" s="3">
        <f t="shared" si="45"/>
        <v>64583</v>
      </c>
      <c r="R108" s="107">
        <f t="shared" ca="1" si="46"/>
        <v>17.97</v>
      </c>
      <c r="S108" s="105">
        <f t="shared" ca="1" si="47"/>
        <v>17716417.870576583</v>
      </c>
      <c r="T108" s="341">
        <v>0</v>
      </c>
      <c r="U108" s="341">
        <v>0.11849999999999999</v>
      </c>
      <c r="V108" s="341">
        <v>0.11849999999999999</v>
      </c>
      <c r="W108" s="341">
        <v>0.11849999999999999</v>
      </c>
      <c r="X108" s="281">
        <f t="shared" si="61"/>
        <v>1.9E-2</v>
      </c>
      <c r="Y108" s="282">
        <f t="shared" si="56"/>
        <v>9.7000000000000003E-2</v>
      </c>
      <c r="AA108" s="391">
        <f t="shared" ca="1" si="48"/>
        <v>0</v>
      </c>
      <c r="AB108" s="400">
        <f t="shared" ca="1" si="48"/>
        <v>0</v>
      </c>
      <c r="AC108" s="258">
        <f t="shared" ca="1" si="48"/>
        <v>0</v>
      </c>
      <c r="AD108" s="258">
        <f t="shared" ca="1" si="48"/>
        <v>0</v>
      </c>
      <c r="AE108" s="402">
        <f t="shared" ca="1" si="48"/>
        <v>0</v>
      </c>
      <c r="AF108" s="402">
        <f t="shared" ca="1" si="48"/>
        <v>0</v>
      </c>
      <c r="AG108" s="404">
        <f t="shared" ca="1" si="49"/>
        <v>0</v>
      </c>
      <c r="AH108" s="415">
        <f t="shared" ca="1" si="50"/>
        <v>0</v>
      </c>
      <c r="AI108" s="415">
        <f t="shared" ca="1" si="51"/>
        <v>0</v>
      </c>
      <c r="AJ108" s="416">
        <f t="shared" ca="1" si="52"/>
        <v>0</v>
      </c>
      <c r="AK108" s="416">
        <f t="shared" ca="1" si="53"/>
        <v>0</v>
      </c>
      <c r="AL108" s="417">
        <f>0</f>
        <v>0</v>
      </c>
      <c r="AM108" s="269">
        <f t="shared" ca="1" si="60"/>
        <v>0</v>
      </c>
      <c r="AN108" s="422">
        <f t="shared" ca="1" si="63"/>
        <v>18.189999999999998</v>
      </c>
      <c r="AO108" s="423">
        <f t="shared" ca="1" si="63"/>
        <v>30526306.859062586</v>
      </c>
      <c r="AP108" s="271">
        <f t="shared" ca="1" si="63"/>
        <v>0</v>
      </c>
      <c r="AQ108" s="271">
        <f t="shared" ca="1" si="62"/>
        <v>0.11849999999999999</v>
      </c>
      <c r="AR108" s="271">
        <f t="shared" ca="1" si="62"/>
        <v>0.11849999999999999</v>
      </c>
      <c r="AS108" s="271">
        <f t="shared" ca="1" si="62"/>
        <v>0.11849999999999999</v>
      </c>
      <c r="AT108" s="271">
        <f t="shared" ca="1" si="62"/>
        <v>1.9E-2</v>
      </c>
      <c r="AU108" s="278">
        <f t="shared" ca="1" si="36"/>
        <v>0.1</v>
      </c>
    </row>
    <row r="109" spans="2:47" ht="13.15" thickBot="1" x14ac:dyDescent="0.4">
      <c r="B109" s="18">
        <f t="shared" si="59"/>
        <v>90</v>
      </c>
      <c r="C109" s="85">
        <f t="shared" ca="1" si="42"/>
        <v>0</v>
      </c>
      <c r="D109" s="85">
        <f t="shared" ca="1" si="39"/>
        <v>0</v>
      </c>
      <c r="E109" s="84">
        <f t="shared" ca="1" si="43"/>
        <v>0</v>
      </c>
      <c r="F109" s="135">
        <f t="shared" ca="1" si="54"/>
        <v>0</v>
      </c>
      <c r="G109" s="409">
        <f t="shared" ca="1" si="40"/>
        <v>0</v>
      </c>
      <c r="H109" s="409">
        <f t="shared" ca="1" si="41"/>
        <v>0</v>
      </c>
      <c r="I109" s="275">
        <f t="shared" ca="1" si="55"/>
        <v>0</v>
      </c>
      <c r="J109" s="275">
        <f t="shared" ca="1" si="44"/>
        <v>0</v>
      </c>
      <c r="K109" s="137">
        <f t="shared" ca="1" si="57"/>
        <v>0</v>
      </c>
      <c r="L109" s="15" t="str">
        <f t="shared" ca="1" si="37"/>
        <v>F</v>
      </c>
      <c r="M109" s="88">
        <f t="shared" ca="1" si="37"/>
        <v>0</v>
      </c>
      <c r="N109" s="88">
        <f t="shared" ca="1" si="37"/>
        <v>0</v>
      </c>
      <c r="O109" s="432">
        <v>1000000000000000</v>
      </c>
      <c r="P109" s="69">
        <v>109575</v>
      </c>
      <c r="Q109" s="3">
        <f t="shared" si="45"/>
        <v>64583</v>
      </c>
      <c r="R109" s="107">
        <f t="shared" ca="1" si="46"/>
        <v>17.97</v>
      </c>
      <c r="S109" s="105">
        <f t="shared" ca="1" si="47"/>
        <v>17716417.870576583</v>
      </c>
      <c r="T109" s="341">
        <v>0</v>
      </c>
      <c r="U109" s="341">
        <v>0.11849999999999999</v>
      </c>
      <c r="V109" s="341">
        <v>0.11849999999999999</v>
      </c>
      <c r="W109" s="341">
        <v>0.11849999999999999</v>
      </c>
      <c r="X109" s="281">
        <f t="shared" si="61"/>
        <v>1.9E-2</v>
      </c>
      <c r="Y109" s="282">
        <f t="shared" si="56"/>
        <v>9.7000000000000003E-2</v>
      </c>
      <c r="AA109" s="391">
        <f t="shared" ca="1" si="48"/>
        <v>0</v>
      </c>
      <c r="AB109" s="400">
        <f t="shared" ca="1" si="48"/>
        <v>0</v>
      </c>
      <c r="AC109" s="258">
        <f t="shared" ca="1" si="48"/>
        <v>0</v>
      </c>
      <c r="AD109" s="258">
        <f t="shared" ca="1" si="48"/>
        <v>0</v>
      </c>
      <c r="AE109" s="402">
        <f t="shared" ca="1" si="48"/>
        <v>0</v>
      </c>
      <c r="AF109" s="402">
        <f t="shared" ca="1" si="48"/>
        <v>0</v>
      </c>
      <c r="AG109" s="404">
        <f t="shared" ca="1" si="49"/>
        <v>0</v>
      </c>
      <c r="AH109" s="415">
        <f t="shared" ca="1" si="50"/>
        <v>0</v>
      </c>
      <c r="AI109" s="415">
        <f t="shared" ca="1" si="51"/>
        <v>0</v>
      </c>
      <c r="AJ109" s="416">
        <f t="shared" ca="1" si="52"/>
        <v>0</v>
      </c>
      <c r="AK109" s="416">
        <f t="shared" ca="1" si="53"/>
        <v>0</v>
      </c>
      <c r="AL109" s="417">
        <f>0</f>
        <v>0</v>
      </c>
      <c r="AM109" s="269">
        <f t="shared" ca="1" si="60"/>
        <v>0</v>
      </c>
      <c r="AN109" s="422">
        <f t="shared" ca="1" si="63"/>
        <v>18.189999999999998</v>
      </c>
      <c r="AO109" s="423">
        <f t="shared" ca="1" si="63"/>
        <v>30526306.859062586</v>
      </c>
      <c r="AP109" s="271">
        <f t="shared" ca="1" si="63"/>
        <v>0</v>
      </c>
      <c r="AQ109" s="271">
        <f t="shared" ca="1" si="62"/>
        <v>0.11849999999999999</v>
      </c>
      <c r="AR109" s="271">
        <f t="shared" ca="1" si="62"/>
        <v>0.11849999999999999</v>
      </c>
      <c r="AS109" s="271">
        <f t="shared" ca="1" si="62"/>
        <v>0.11849999999999999</v>
      </c>
      <c r="AT109" s="271">
        <f t="shared" ca="1" si="62"/>
        <v>1.9E-2</v>
      </c>
      <c r="AU109" s="278">
        <f t="shared" ca="1" si="36"/>
        <v>0.1</v>
      </c>
    </row>
    <row r="110" spans="2:47" x14ac:dyDescent="0.35">
      <c r="B110" s="18">
        <f t="shared" si="59"/>
        <v>91</v>
      </c>
      <c r="C110" s="85">
        <f t="shared" ca="1" si="42"/>
        <v>0</v>
      </c>
      <c r="D110" s="85">
        <f t="shared" ca="1" si="39"/>
        <v>0</v>
      </c>
      <c r="E110" s="84">
        <f t="shared" ca="1" si="43"/>
        <v>0</v>
      </c>
      <c r="F110" s="135">
        <f t="shared" ca="1" si="54"/>
        <v>0</v>
      </c>
      <c r="G110" s="409">
        <f t="shared" ca="1" si="40"/>
        <v>0</v>
      </c>
      <c r="H110" s="409">
        <f t="shared" ca="1" si="41"/>
        <v>0</v>
      </c>
      <c r="I110" s="275">
        <f t="shared" ca="1" si="55"/>
        <v>0</v>
      </c>
      <c r="J110" s="275">
        <f t="shared" ca="1" si="44"/>
        <v>0</v>
      </c>
      <c r="K110" s="137">
        <f t="shared" ca="1" si="57"/>
        <v>0</v>
      </c>
      <c r="L110" s="15" t="str">
        <f t="shared" ca="1" si="37"/>
        <v>F</v>
      </c>
      <c r="M110" s="88">
        <f t="shared" ca="1" si="37"/>
        <v>0</v>
      </c>
      <c r="N110" s="88">
        <f t="shared" ca="1" si="37"/>
        <v>0</v>
      </c>
      <c r="O110" s="432">
        <v>1000000000000000</v>
      </c>
      <c r="P110" s="69">
        <v>109575</v>
      </c>
      <c r="Q110" s="3">
        <f t="shared" si="45"/>
        <v>64583</v>
      </c>
      <c r="R110" s="107">
        <f t="shared" ca="1" si="46"/>
        <v>17.97</v>
      </c>
      <c r="S110" s="105">
        <f t="shared" ca="1" si="47"/>
        <v>17716417.870576583</v>
      </c>
      <c r="T110" s="341">
        <v>0</v>
      </c>
      <c r="U110" s="341">
        <v>0.11849999999999999</v>
      </c>
      <c r="V110" s="341">
        <v>0.11849999999999999</v>
      </c>
      <c r="W110" s="341">
        <v>0.11849999999999999</v>
      </c>
      <c r="X110" s="281">
        <f t="shared" si="61"/>
        <v>1.9E-2</v>
      </c>
      <c r="Y110" s="282">
        <f t="shared" si="56"/>
        <v>9.7000000000000003E-2</v>
      </c>
      <c r="AA110" s="391">
        <f t="shared" ca="1" si="48"/>
        <v>0</v>
      </c>
      <c r="AB110" s="400">
        <f t="shared" ca="1" si="48"/>
        <v>0</v>
      </c>
      <c r="AC110" s="258">
        <f t="shared" ca="1" si="48"/>
        <v>0</v>
      </c>
      <c r="AD110" s="258">
        <f t="shared" ca="1" si="48"/>
        <v>0</v>
      </c>
      <c r="AE110" s="402">
        <f t="shared" ca="1" si="48"/>
        <v>0</v>
      </c>
      <c r="AF110" s="402">
        <f t="shared" ca="1" si="48"/>
        <v>0</v>
      </c>
      <c r="AG110" s="404">
        <f t="shared" ca="1" si="49"/>
        <v>0</v>
      </c>
      <c r="AH110" s="415">
        <f t="shared" ca="1" si="50"/>
        <v>0</v>
      </c>
      <c r="AI110" s="415">
        <f t="shared" ca="1" si="51"/>
        <v>0</v>
      </c>
      <c r="AJ110" s="416">
        <f t="shared" ca="1" si="52"/>
        <v>0</v>
      </c>
      <c r="AK110" s="416">
        <f t="shared" ca="1" si="53"/>
        <v>0</v>
      </c>
      <c r="AL110" s="417">
        <f>0</f>
        <v>0</v>
      </c>
      <c r="AM110" s="269">
        <f t="shared" ca="1" si="60"/>
        <v>0</v>
      </c>
      <c r="AN110" s="422">
        <f t="shared" ca="1" si="63"/>
        <v>18.189999999999998</v>
      </c>
      <c r="AO110" s="423">
        <f t="shared" ca="1" si="63"/>
        <v>30526306.859062586</v>
      </c>
      <c r="AP110" s="271">
        <f t="shared" ca="1" si="63"/>
        <v>0</v>
      </c>
      <c r="AQ110" s="271">
        <f t="shared" ca="1" si="62"/>
        <v>0.11849999999999999</v>
      </c>
      <c r="AR110" s="271">
        <f t="shared" ca="1" si="62"/>
        <v>0.11849999999999999</v>
      </c>
      <c r="AS110" s="271">
        <f t="shared" ca="1" si="62"/>
        <v>0.11849999999999999</v>
      </c>
      <c r="AT110" s="271">
        <f t="shared" ca="1" si="62"/>
        <v>1.9E-2</v>
      </c>
      <c r="AU110" s="278">
        <f t="shared" ca="1" si="36"/>
        <v>0.1</v>
      </c>
    </row>
  </sheetData>
  <mergeCells count="8">
    <mergeCell ref="R17:Y17"/>
    <mergeCell ref="F2:G2"/>
    <mergeCell ref="L2:M2"/>
    <mergeCell ref="F3:G3"/>
    <mergeCell ref="L7:M7"/>
    <mergeCell ref="L12:M12"/>
    <mergeCell ref="E17:K17"/>
    <mergeCell ref="L17:Q17"/>
  </mergeCells>
  <pageMargins left="0.75" right="0.75" top="1" bottom="1" header="0.5" footer="0.5"/>
  <pageSetup orientation="portrait" horizontalDpi="1200" verticalDpi="9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E3544-863B-4054-B6D0-86E83AE9A8D7}">
  <sheetPr codeName="Sheet19"/>
  <dimension ref="A1:AU110"/>
  <sheetViews>
    <sheetView topLeftCell="Y1" zoomScale="70" zoomScaleNormal="136" workbookViewId="0">
      <selection activeCell="AM31" sqref="AG18:AM31"/>
    </sheetView>
  </sheetViews>
  <sheetFormatPr defaultRowHeight="12.75" x14ac:dyDescent="0.35"/>
  <cols>
    <col min="1" max="1" width="4.3984375" customWidth="1"/>
    <col min="2" max="5" width="14.265625" customWidth="1"/>
    <col min="6" max="7" width="10" customWidth="1"/>
    <col min="8" max="8" width="10.3984375" bestFit="1" customWidth="1"/>
    <col min="9" max="25" width="10" customWidth="1"/>
    <col min="26" max="26" width="4.265625" customWidth="1"/>
    <col min="27" max="27" width="14.265625" customWidth="1"/>
    <col min="28" max="29" width="10" customWidth="1"/>
    <col min="30" max="32" width="9" customWidth="1"/>
    <col min="33" max="39" width="14.265625" customWidth="1"/>
    <col min="40" max="47" width="10" customWidth="1"/>
  </cols>
  <sheetData>
    <row r="1" spans="3:37" ht="13.15" thickBot="1" x14ac:dyDescent="0.4"/>
    <row r="2" spans="3:37" ht="13.15" thickBot="1" x14ac:dyDescent="0.4">
      <c r="F2" s="557" t="s">
        <v>38</v>
      </c>
      <c r="G2" s="558"/>
      <c r="H2" s="378">
        <v>44987</v>
      </c>
      <c r="K2" s="46" t="s">
        <v>57</v>
      </c>
      <c r="L2" s="559" t="s">
        <v>157</v>
      </c>
      <c r="M2" s="560"/>
      <c r="O2" s="41" t="s">
        <v>54</v>
      </c>
      <c r="P2" s="41" t="s">
        <v>35</v>
      </c>
      <c r="Q2" s="41" t="s">
        <v>51</v>
      </c>
      <c r="R2" s="41" t="s">
        <v>53</v>
      </c>
      <c r="S2" s="41" t="s">
        <v>3</v>
      </c>
      <c r="T2" s="41"/>
    </row>
    <row r="3" spans="3:37" ht="13.15" thickBot="1" x14ac:dyDescent="0.4">
      <c r="F3" s="561" t="s">
        <v>61</v>
      </c>
      <c r="G3" s="562"/>
      <c r="H3" s="379">
        <v>44985</v>
      </c>
      <c r="K3" s="259" t="s">
        <v>47</v>
      </c>
      <c r="L3" s="485">
        <v>0.127</v>
      </c>
      <c r="M3" s="486">
        <v>0.129</v>
      </c>
      <c r="O3" s="48" t="s">
        <v>32</v>
      </c>
      <c r="P3" s="330">
        <f>AVERAGE($L$3:$M$3)</f>
        <v>0.128</v>
      </c>
      <c r="Q3" s="331">
        <f>AVERAGE($L$4:$M$4)</f>
        <v>-1.7500000000000002E-2</v>
      </c>
      <c r="R3" s="332">
        <f>AVERAGE($L$5:$M$5)</f>
        <v>3.5000000000000003E-2</v>
      </c>
      <c r="S3" s="354">
        <f>$I$6*EXP(-($I$10-$I$11)*365/365)</f>
        <v>19.724706608549369</v>
      </c>
    </row>
    <row r="4" spans="3:37" ht="13.15" thickBot="1" x14ac:dyDescent="0.4">
      <c r="K4" s="262" t="s">
        <v>48</v>
      </c>
      <c r="L4" s="263">
        <v>-0.02</v>
      </c>
      <c r="M4" s="264">
        <v>-1.4999999999999999E-2</v>
      </c>
      <c r="O4" s="344" t="s">
        <v>33</v>
      </c>
      <c r="P4" s="345">
        <f>AVERAGE($L$8:$M$8)</f>
        <v>0.121</v>
      </c>
      <c r="Q4" s="346">
        <f>AVERAGE($L$9:$M$9)</f>
        <v>-7.4999999999999997E-3</v>
      </c>
      <c r="R4" s="347">
        <f>AVERAGE($L$10:$M$10)</f>
        <v>1.7500000000000002E-2</v>
      </c>
      <c r="S4" s="355">
        <f>$I$6*EXP(-($I$10-$I$11)*5*365/365)</f>
        <v>27.272312476032589</v>
      </c>
    </row>
    <row r="5" spans="3:37" ht="13.15" thickBot="1" x14ac:dyDescent="0.4">
      <c r="F5" s="46" t="s">
        <v>60</v>
      </c>
      <c r="G5" s="45" t="s">
        <v>40</v>
      </c>
      <c r="H5" s="47" t="s">
        <v>41</v>
      </c>
      <c r="I5" s="48" t="s">
        <v>44</v>
      </c>
      <c r="K5" s="265" t="s">
        <v>49</v>
      </c>
      <c r="L5" s="386">
        <v>0.03</v>
      </c>
      <c r="M5" s="387">
        <v>0.04</v>
      </c>
      <c r="O5" s="348" t="s">
        <v>34</v>
      </c>
      <c r="P5" s="349">
        <f>AVERAGE($L$13:$M$13)</f>
        <v>0.121</v>
      </c>
      <c r="Q5" s="350">
        <f>AVERAGE($L$10:$M$10)</f>
        <v>1.7500000000000002E-2</v>
      </c>
      <c r="R5" s="351">
        <f>AVERAGE($L$15:$M$15)</f>
        <v>1.4999999999999999E-2</v>
      </c>
      <c r="S5" s="356">
        <f>$I$6*EXP(-($I$10-$I$11)*10*365/365)</f>
        <v>40.889446277645014</v>
      </c>
    </row>
    <row r="6" spans="3:37" ht="13.15" thickBot="1" x14ac:dyDescent="0.4">
      <c r="F6" s="53" t="s">
        <v>39</v>
      </c>
      <c r="G6" s="146">
        <v>18.09</v>
      </c>
      <c r="H6" s="147">
        <v>18.29</v>
      </c>
      <c r="I6" s="148">
        <f>AVERAGE(G6:H6)</f>
        <v>18.189999999999998</v>
      </c>
      <c r="K6" s="266"/>
      <c r="L6" s="266"/>
      <c r="M6" s="266"/>
      <c r="O6" s="267"/>
      <c r="P6" s="267"/>
      <c r="Q6" s="267"/>
      <c r="R6" s="267"/>
      <c r="S6" s="267"/>
    </row>
    <row r="7" spans="3:37" ht="13.15" thickBot="1" x14ac:dyDescent="0.4">
      <c r="F7" s="54" t="s">
        <v>45</v>
      </c>
      <c r="G7" s="336">
        <v>1.05</v>
      </c>
      <c r="H7" s="62">
        <v>1.07</v>
      </c>
      <c r="I7" s="55">
        <f>AVERAGE(G7:H7)</f>
        <v>1.06</v>
      </c>
      <c r="K7" s="46" t="s">
        <v>58</v>
      </c>
      <c r="L7" s="559" t="s">
        <v>157</v>
      </c>
      <c r="M7" s="560"/>
      <c r="O7" s="41" t="s">
        <v>31</v>
      </c>
      <c r="P7" s="41" t="s">
        <v>36</v>
      </c>
      <c r="Q7" s="41" t="s">
        <v>35</v>
      </c>
      <c r="R7" s="41" t="s">
        <v>55</v>
      </c>
      <c r="S7" s="266"/>
    </row>
    <row r="8" spans="3:37" ht="13.15" thickBot="1" x14ac:dyDescent="0.4">
      <c r="K8" s="259" t="s">
        <v>47</v>
      </c>
      <c r="L8" s="260">
        <v>0.12</v>
      </c>
      <c r="M8" s="261">
        <v>0.122</v>
      </c>
      <c r="O8" s="48" t="str">
        <f>O3</f>
        <v>1Y</v>
      </c>
      <c r="P8" s="330">
        <f>P3-Q3/2+R3</f>
        <v>0.17175000000000001</v>
      </c>
      <c r="Q8" s="331">
        <f>P3</f>
        <v>0.128</v>
      </c>
      <c r="R8" s="335">
        <f>P3+Q3/2+R3</f>
        <v>0.15425</v>
      </c>
      <c r="S8" s="266"/>
    </row>
    <row r="9" spans="3:37" ht="13.15" thickBot="1" x14ac:dyDescent="0.4">
      <c r="F9" s="46" t="s">
        <v>46</v>
      </c>
      <c r="G9" s="45" t="s">
        <v>40</v>
      </c>
      <c r="H9" s="47" t="s">
        <v>41</v>
      </c>
      <c r="I9" s="48" t="s">
        <v>44</v>
      </c>
      <c r="K9" s="262" t="s">
        <v>48</v>
      </c>
      <c r="L9" s="263">
        <v>-5.0000000000000001E-3</v>
      </c>
      <c r="M9" s="264">
        <v>-0.01</v>
      </c>
      <c r="O9" s="344" t="str">
        <f>O4</f>
        <v>5Y</v>
      </c>
      <c r="P9" s="345">
        <f>P4-Q4/2+R4</f>
        <v>0.14224999999999999</v>
      </c>
      <c r="Q9" s="346">
        <f>P4</f>
        <v>0.121</v>
      </c>
      <c r="R9" s="352">
        <f>P4+Q4/2+R4</f>
        <v>0.13474999999999998</v>
      </c>
      <c r="S9" s="266"/>
    </row>
    <row r="10" spans="3:37" ht="13.15" thickBot="1" x14ac:dyDescent="0.4">
      <c r="F10" s="56" t="s">
        <v>42</v>
      </c>
      <c r="G10" s="63">
        <v>1.7999999999999999E-2</v>
      </c>
      <c r="H10" s="64">
        <v>0.02</v>
      </c>
      <c r="I10" s="57">
        <f>AVERAGE(G10:H10)</f>
        <v>1.9E-2</v>
      </c>
      <c r="K10" s="265" t="s">
        <v>49</v>
      </c>
      <c r="L10" s="386">
        <v>1.4999999999999999E-2</v>
      </c>
      <c r="M10" s="387">
        <v>0.02</v>
      </c>
      <c r="O10" s="348" t="str">
        <f>O5</f>
        <v>10Y</v>
      </c>
      <c r="P10" s="349">
        <f>P5-Q5/2+R5</f>
        <v>0.12724999999999997</v>
      </c>
      <c r="Q10" s="350">
        <f>P5</f>
        <v>0.121</v>
      </c>
      <c r="R10" s="353">
        <f>P5+Q5/2+R5</f>
        <v>0.14474999999999999</v>
      </c>
      <c r="S10" s="266"/>
    </row>
    <row r="11" spans="3:37" ht="13.15" thickBot="1" x14ac:dyDescent="0.4">
      <c r="F11" s="58" t="s">
        <v>43</v>
      </c>
      <c r="G11" s="65">
        <v>9.9000000000000005E-2</v>
      </c>
      <c r="H11" s="66">
        <v>0.10100000000000001</v>
      </c>
      <c r="I11" s="59">
        <f>AVERAGE(G11:H11)</f>
        <v>0.1</v>
      </c>
      <c r="K11" s="266"/>
      <c r="L11" s="266"/>
      <c r="M11" s="266"/>
      <c r="O11" s="267"/>
      <c r="P11" s="267"/>
      <c r="Q11" s="267"/>
      <c r="R11" s="267"/>
      <c r="S11" s="266"/>
    </row>
    <row r="12" spans="3:37" ht="13.15" thickBot="1" x14ac:dyDescent="0.4">
      <c r="F12" s="50"/>
      <c r="G12" s="51"/>
      <c r="H12" s="52"/>
      <c r="I12" s="1"/>
      <c r="K12" s="46" t="s">
        <v>59</v>
      </c>
      <c r="L12" s="559" t="s">
        <v>157</v>
      </c>
      <c r="M12" s="560"/>
      <c r="O12" s="41" t="s">
        <v>56</v>
      </c>
      <c r="P12" s="41" t="s">
        <v>36</v>
      </c>
      <c r="Q12" s="41" t="s">
        <v>35</v>
      </c>
      <c r="R12" s="41" t="s">
        <v>55</v>
      </c>
      <c r="S12" s="266"/>
    </row>
    <row r="13" spans="3:37" x14ac:dyDescent="0.35">
      <c r="F13" s="50"/>
      <c r="G13" s="51"/>
      <c r="H13" s="52"/>
      <c r="I13" s="1"/>
      <c r="K13" s="259" t="s">
        <v>47</v>
      </c>
      <c r="L13" s="260">
        <v>0.12</v>
      </c>
      <c r="M13" s="261">
        <v>0.122</v>
      </c>
      <c r="O13" s="48" t="str">
        <f>O8</f>
        <v>1Y</v>
      </c>
      <c r="P13" s="357">
        <v>17.7961406391323</v>
      </c>
      <c r="Q13" s="358">
        <f>S3</f>
        <v>19.724706608549369</v>
      </c>
      <c r="R13" s="359">
        <v>21.571140639132299</v>
      </c>
      <c r="S13" s="266"/>
    </row>
    <row r="14" spans="3:37" x14ac:dyDescent="0.35">
      <c r="F14" s="50"/>
      <c r="G14" s="51"/>
      <c r="H14" s="76"/>
      <c r="I14" s="77"/>
      <c r="K14" s="262" t="s">
        <v>48</v>
      </c>
      <c r="L14" s="263">
        <v>-0.01</v>
      </c>
      <c r="M14" s="264">
        <v>-1.4999999999999999E-2</v>
      </c>
      <c r="O14" s="344" t="str">
        <f>O9</f>
        <v>5Y</v>
      </c>
      <c r="P14" s="380">
        <v>23.94</v>
      </c>
      <c r="Q14" s="381">
        <f>S4</f>
        <v>27.272312476032589</v>
      </c>
      <c r="R14" s="382">
        <v>29.786000000000001</v>
      </c>
      <c r="S14" s="266"/>
    </row>
    <row r="15" spans="3:37" ht="13.15" thickBot="1" x14ac:dyDescent="0.4">
      <c r="E15" s="39"/>
      <c r="F15" s="50"/>
      <c r="G15" s="51"/>
      <c r="H15" s="157"/>
      <c r="I15" s="75"/>
      <c r="K15" s="265" t="s">
        <v>49</v>
      </c>
      <c r="L15" s="386">
        <v>0.01</v>
      </c>
      <c r="M15" s="387">
        <v>0.02</v>
      </c>
      <c r="O15" s="348" t="str">
        <f>O10</f>
        <v>10Y</v>
      </c>
      <c r="P15" s="383">
        <v>35.298999999999999</v>
      </c>
      <c r="Q15" s="384">
        <f>S5</f>
        <v>40.889446277645014</v>
      </c>
      <c r="R15" s="385">
        <v>43.604999999999997</v>
      </c>
      <c r="S15" s="266"/>
      <c r="AG15" s="71"/>
    </row>
    <row r="16" spans="3:37" ht="13.15" thickBot="1" x14ac:dyDescent="0.4">
      <c r="C16" s="360" t="s">
        <v>142</v>
      </c>
      <c r="D16" s="361" t="s">
        <v>143</v>
      </c>
      <c r="I16" s="110"/>
      <c r="N16" s="285"/>
      <c r="AA16" s="40" t="s">
        <v>62</v>
      </c>
      <c r="AB16" s="82" t="str">
        <f>TEXT(H3,"mmm-dd")</f>
        <v>Feb-28</v>
      </c>
      <c r="AI16" s="40"/>
      <c r="AJ16" s="40"/>
      <c r="AK16" s="40"/>
    </row>
    <row r="17" spans="1:47" ht="13.15" thickBot="1" x14ac:dyDescent="0.4">
      <c r="B17" s="1"/>
      <c r="C17" s="328">
        <f ca="1">D19-C19-D17</f>
        <v>-7035.6167151974514</v>
      </c>
      <c r="D17" s="489">
        <f ca="1">SUM(D32:D37)</f>
        <v>6188045.9053218532</v>
      </c>
      <c r="E17" s="563" t="s">
        <v>16</v>
      </c>
      <c r="F17" s="563"/>
      <c r="G17" s="563"/>
      <c r="H17" s="563"/>
      <c r="I17" s="563"/>
      <c r="J17" s="563"/>
      <c r="K17" s="564"/>
      <c r="L17" s="565" t="s">
        <v>15</v>
      </c>
      <c r="M17" s="566"/>
      <c r="N17" s="566"/>
      <c r="O17" s="566"/>
      <c r="P17" s="566"/>
      <c r="Q17" s="567"/>
      <c r="R17" s="554" t="s">
        <v>37</v>
      </c>
      <c r="S17" s="555"/>
      <c r="T17" s="555"/>
      <c r="U17" s="555"/>
      <c r="V17" s="555"/>
      <c r="W17" s="555"/>
      <c r="X17" s="555"/>
      <c r="Y17" s="556"/>
      <c r="AA17" t="s">
        <v>17</v>
      </c>
      <c r="AH17" s="23"/>
      <c r="AN17" s="82"/>
    </row>
    <row r="18" spans="1:47" ht="27" customHeight="1" thickBot="1" x14ac:dyDescent="0.4">
      <c r="B18" s="362" t="s">
        <v>19</v>
      </c>
      <c r="C18" s="362" t="s">
        <v>137</v>
      </c>
      <c r="D18" s="488" t="s">
        <v>12</v>
      </c>
      <c r="E18" s="363" t="s">
        <v>4</v>
      </c>
      <c r="F18" s="373" t="s">
        <v>159</v>
      </c>
      <c r="G18" s="377" t="s">
        <v>25</v>
      </c>
      <c r="H18" s="377" t="s">
        <v>27</v>
      </c>
      <c r="I18" s="365" t="s">
        <v>140</v>
      </c>
      <c r="J18" s="365" t="s">
        <v>141</v>
      </c>
      <c r="K18" s="366" t="s">
        <v>68</v>
      </c>
      <c r="L18" s="374" t="s">
        <v>160</v>
      </c>
      <c r="M18" s="374" t="s">
        <v>161</v>
      </c>
      <c r="N18" s="374" t="s">
        <v>155</v>
      </c>
      <c r="O18" s="367" t="s">
        <v>2</v>
      </c>
      <c r="P18" s="367" t="s">
        <v>5</v>
      </c>
      <c r="Q18" s="374" t="s">
        <v>162</v>
      </c>
      <c r="R18" s="368" t="s">
        <v>13</v>
      </c>
      <c r="S18" s="369" t="s">
        <v>3</v>
      </c>
      <c r="T18" s="375" t="s">
        <v>163</v>
      </c>
      <c r="U18" s="370" t="s">
        <v>35</v>
      </c>
      <c r="V18" s="370" t="s">
        <v>51</v>
      </c>
      <c r="W18" s="370" t="s">
        <v>52</v>
      </c>
      <c r="X18" s="369" t="s">
        <v>7</v>
      </c>
      <c r="Y18" s="371" t="s">
        <v>138</v>
      </c>
      <c r="AA18" s="392" t="s">
        <v>11</v>
      </c>
      <c r="AB18" s="393" t="s">
        <v>164</v>
      </c>
      <c r="AC18" s="397" t="s">
        <v>165</v>
      </c>
      <c r="AD18" s="397" t="s">
        <v>166</v>
      </c>
      <c r="AE18" s="393" t="s">
        <v>167</v>
      </c>
      <c r="AF18" s="393" t="s">
        <v>168</v>
      </c>
      <c r="AG18" s="403" t="s">
        <v>169</v>
      </c>
      <c r="AH18" s="397" t="s">
        <v>170</v>
      </c>
      <c r="AI18" s="397" t="s">
        <v>171</v>
      </c>
      <c r="AJ18" s="393" t="s">
        <v>172</v>
      </c>
      <c r="AK18" s="393" t="s">
        <v>173</v>
      </c>
      <c r="AL18" s="394" t="s">
        <v>22</v>
      </c>
      <c r="AM18" s="395" t="s">
        <v>21</v>
      </c>
      <c r="AN18" s="396" t="s">
        <v>13</v>
      </c>
      <c r="AO18" s="396" t="s">
        <v>3</v>
      </c>
      <c r="AP18" s="419" t="s">
        <v>163</v>
      </c>
      <c r="AQ18" s="396" t="s">
        <v>35</v>
      </c>
      <c r="AR18" s="396" t="s">
        <v>51</v>
      </c>
      <c r="AS18" s="396" t="s">
        <v>52</v>
      </c>
      <c r="AT18" s="396" t="s">
        <v>7</v>
      </c>
      <c r="AU18" s="418" t="s">
        <v>138</v>
      </c>
    </row>
    <row r="19" spans="1:47" ht="13.5" thickBot="1" x14ac:dyDescent="0.45">
      <c r="B19" s="8"/>
      <c r="C19" s="86">
        <f ca="1">SUM(C20:C158)</f>
        <v>-12623.443240719615</v>
      </c>
      <c r="D19" s="86">
        <f ca="1">SUM(D20:D331)</f>
        <v>6168386.8453659359</v>
      </c>
      <c r="E19" s="87">
        <f ca="1">SUM(E20:E331)</f>
        <v>6472507.7496659365</v>
      </c>
      <c r="F19" s="274">
        <f t="shared" ref="F19:K19" ca="1" si="0">SUM(F20:F331)</f>
        <v>20.074286707293368</v>
      </c>
      <c r="G19" s="405">
        <f t="shared" ca="1" si="0"/>
        <v>186079.4364163549</v>
      </c>
      <c r="H19" s="405">
        <f t="shared" ca="1" si="0"/>
        <v>538937.93446079898</v>
      </c>
      <c r="I19" s="129">
        <f t="shared" ca="1" si="0"/>
        <v>-471.40630321218214</v>
      </c>
      <c r="J19" s="129">
        <f t="shared" ca="1" si="0"/>
        <v>-105.78551841531907</v>
      </c>
      <c r="K19" s="129">
        <f t="shared" ca="1" si="0"/>
        <v>-12186.730399238961</v>
      </c>
      <c r="L19" s="2"/>
      <c r="M19" s="2"/>
      <c r="N19" s="2"/>
      <c r="O19" s="2"/>
      <c r="P19" s="2"/>
      <c r="Q19" s="2"/>
      <c r="S19" s="2"/>
      <c r="T19" s="339"/>
      <c r="U19" s="339"/>
      <c r="V19" s="339"/>
      <c r="W19" s="339"/>
      <c r="X19" s="2"/>
      <c r="Y19" s="2"/>
      <c r="AA19" s="389">
        <f t="shared" ref="AA19:AM19" ca="1" si="1">SUM(AA20:AA239)</f>
        <v>304120.90430000646</v>
      </c>
      <c r="AB19" s="398">
        <f t="shared" ca="1" si="1"/>
        <v>-24.461730992434241</v>
      </c>
      <c r="AC19" s="120">
        <f t="shared" ca="1" si="1"/>
        <v>55973.815443953703</v>
      </c>
      <c r="AD19" s="120">
        <f t="shared" ca="1" si="1"/>
        <v>35159.954139504676</v>
      </c>
      <c r="AE19" s="272">
        <f t="shared" ca="1" si="1"/>
        <v>-15.605494826625318</v>
      </c>
      <c r="AF19" s="272">
        <f t="shared" ca="1" si="1"/>
        <v>54.282764090164619</v>
      </c>
      <c r="AG19" s="388">
        <f t="shared" ca="1" si="1"/>
        <v>-7352.59731581097</v>
      </c>
      <c r="AH19" s="414">
        <f t="shared" ca="1" si="1"/>
        <v>2528.4950442451973</v>
      </c>
      <c r="AI19" s="414">
        <f t="shared" ca="1" si="1"/>
        <v>-70.319908279009411</v>
      </c>
      <c r="AJ19" s="388">
        <f t="shared" ca="1" si="1"/>
        <v>156.05494826624636</v>
      </c>
      <c r="AK19" s="388">
        <f t="shared" ca="1" si="1"/>
        <v>0</v>
      </c>
      <c r="AL19" s="388">
        <f t="shared" ca="1" si="1"/>
        <v>-7885.0760091410266</v>
      </c>
      <c r="AM19" s="129">
        <f t="shared" ca="1" si="1"/>
        <v>-12623.443240719615</v>
      </c>
      <c r="AU19" s="20"/>
    </row>
    <row r="20" spans="1:47" ht="13.15" thickBot="1" x14ac:dyDescent="0.4">
      <c r="B20" s="293">
        <v>1</v>
      </c>
      <c r="C20" s="295">
        <f ca="1">AM20</f>
        <v>107473.47764699247</v>
      </c>
      <c r="D20" s="295">
        <f t="shared" ref="D20:D83" ca="1" si="2">E20-AA20</f>
        <v>107519.73867377639</v>
      </c>
      <c r="E20" s="295">
        <f ca="1">N20*BSPrice(L20,1/S20,1/O20,Q20,X20,Y20,T20)*1000000</f>
        <v>100167811.87968548</v>
      </c>
      <c r="F20" s="296">
        <f t="shared" ref="F20" ca="1" si="3">N20*BSDelta(L20,1/S20,1/O20,Q20,X20,Y20,T20)</f>
        <v>0</v>
      </c>
      <c r="G20" s="406">
        <f t="shared" ref="G20:G83" ca="1" si="4">BSGamma(L20,1/S20,1/O20,Q20,X20,Y20,T20)*N20</f>
        <v>0</v>
      </c>
      <c r="H20" s="406">
        <f t="shared" ref="H20:H83" ca="1" si="5">BSVega(L20,1/S20,1/O20,Q20,X20,Y20,T20)*N20*1000000</f>
        <v>0</v>
      </c>
      <c r="I20" s="297">
        <f ca="1">N20*BSDailyRhoUSD(L20,1/S20,1/O20,Q20,X20,Y20,T20)*1000000</f>
        <v>-9660.0191182600793</v>
      </c>
      <c r="J20" s="297">
        <f ca="1">N20*BSDailyRhoExt(L20,1/S20,1/O20,Q20,X20,Y20,T20)*1000000</f>
        <v>0</v>
      </c>
      <c r="K20" s="298">
        <f ca="1">N20*BSDailyTheta(L20,1/S20,1/O20,Q20,X20,Y20,T20)*1000000</f>
        <v>5214.3505797727139</v>
      </c>
      <c r="L20" s="299" t="str">
        <f t="shared" ref="L20:P33" ca="1" si="6">INDIRECT("'"&amp; $AB$16 &amp;"'!"&amp; ADDRESS(ROW(L20),COLUMN(L20),4))</f>
        <v>D</v>
      </c>
      <c r="M20" s="300">
        <f t="shared" ca="1" si="6"/>
        <v>100</v>
      </c>
      <c r="N20" s="300">
        <f t="shared" ca="1" si="6"/>
        <v>102.02013400267558</v>
      </c>
      <c r="O20" s="430">
        <f t="shared" ca="1" si="6"/>
        <v>1000000000000000</v>
      </c>
      <c r="P20" s="307">
        <f t="shared" ca="1" si="6"/>
        <v>45339</v>
      </c>
      <c r="Q20" s="301">
        <f ca="1">(P20-$H$2)</f>
        <v>352</v>
      </c>
      <c r="R20" s="106">
        <f ca="1">IF(L20="D",1,$I$6)</f>
        <v>1</v>
      </c>
      <c r="S20" s="104">
        <f ca="1">IF(L20="D",1,R20*EXP(-($I$10-$I$11)*Q20/365))</f>
        <v>1</v>
      </c>
      <c r="T20" s="340">
        <v>0</v>
      </c>
      <c r="U20" s="340">
        <v>0.13</v>
      </c>
      <c r="V20" s="340">
        <v>0.13</v>
      </c>
      <c r="W20" s="340">
        <v>0.13</v>
      </c>
      <c r="X20" s="279">
        <f t="shared" ref="X20:X30" si="7">$I$10</f>
        <v>1.9E-2</v>
      </c>
      <c r="Y20" s="280">
        <f>$I$11</f>
        <v>0.1</v>
      </c>
      <c r="AA20" s="390">
        <f ca="1">INDIRECT("'"&amp; $AB$16 &amp;"'!"&amp; ADDRESS(ROW(E20),COLUMN(E20),4))</f>
        <v>100060292.1410117</v>
      </c>
      <c r="AB20" s="399">
        <f t="shared" ref="AB20:AF70" ca="1" si="8">INDIRECT("'"&amp; $AB$16 &amp;"'!"&amp; ADDRESS(ROW(F20),COLUMN(F20),4))</f>
        <v>0</v>
      </c>
      <c r="AC20" s="257">
        <f t="shared" ca="1" si="8"/>
        <v>0</v>
      </c>
      <c r="AD20" s="257">
        <f t="shared" ca="1" si="8"/>
        <v>0</v>
      </c>
      <c r="AE20" s="401">
        <f t="shared" ca="1" si="8"/>
        <v>-9704.4776487446961</v>
      </c>
      <c r="AF20" s="401">
        <f t="shared" ca="1" si="8"/>
        <v>0</v>
      </c>
      <c r="AG20" s="404">
        <f ca="1">AB20*((1/R20)-(1/AN20))*1000000</f>
        <v>0</v>
      </c>
      <c r="AH20" s="415">
        <f ca="1">0.5*AC20*((1/R20)-(1/AN20))^2*1000000</f>
        <v>0</v>
      </c>
      <c r="AI20" s="415">
        <f ca="1">AD20*(T20-AP20)</f>
        <v>0</v>
      </c>
      <c r="AJ20" s="416">
        <f ca="1">(AE20*(X20-AT20))/0.01%</f>
        <v>97044.776487447045</v>
      </c>
      <c r="AK20" s="416">
        <f ca="1">(AF20*(Y20-AU20))/0.01%</f>
        <v>0</v>
      </c>
      <c r="AL20" s="416">
        <f ca="1">K20*(Today-$H$3)</f>
        <v>10428.701159545428</v>
      </c>
      <c r="AM20" s="268">
        <f ca="1">SUM(AG20:AL20)</f>
        <v>107473.47764699247</v>
      </c>
      <c r="AN20" s="420">
        <f ca="1">INDIRECT("'"&amp; $AB$16 &amp;"'!"&amp; ADDRESS(ROW(R20),COLUMN(R20),4))</f>
        <v>1</v>
      </c>
      <c r="AO20" s="421">
        <f t="shared" ref="AO20:AU35" ca="1" si="9">INDIRECT("'"&amp; $AB$16 &amp;"'!"&amp; ADDRESS(ROW(S20),COLUMN(S20),4))</f>
        <v>1</v>
      </c>
      <c r="AP20" s="270">
        <f t="shared" ca="1" si="9"/>
        <v>0</v>
      </c>
      <c r="AQ20" s="270">
        <f t="shared" ca="1" si="9"/>
        <v>0.13</v>
      </c>
      <c r="AR20" s="270">
        <f t="shared" ca="1" si="9"/>
        <v>0.13</v>
      </c>
      <c r="AS20" s="270">
        <f t="shared" ca="1" si="9"/>
        <v>0.13</v>
      </c>
      <c r="AT20" s="270">
        <f t="shared" ca="1" si="9"/>
        <v>0.02</v>
      </c>
      <c r="AU20" s="277">
        <f t="shared" ca="1" si="9"/>
        <v>0.1</v>
      </c>
    </row>
    <row r="21" spans="1:47" ht="13.15" thickBot="1" x14ac:dyDescent="0.4">
      <c r="B21" s="144">
        <f>B20+1</f>
        <v>2</v>
      </c>
      <c r="C21" s="92">
        <f t="shared" ref="C21:C84" ca="1" si="10">AM21</f>
        <v>-622302.54563969246</v>
      </c>
      <c r="D21" s="92">
        <f t="shared" ca="1" si="2"/>
        <v>-622279.24097788334</v>
      </c>
      <c r="E21" s="92">
        <f t="shared" ref="E21:E84" ca="1" si="11">N21*BSPrice(L21,1/S21,1/O21,Q21,X21,Y21,T21)*1000000</f>
        <v>-103501569.91711968</v>
      </c>
      <c r="F21" s="134">
        <f ca="1">N21*BSDelta(L21,1/S21,1/O21,Q21,X21,Y21,T21)</f>
        <v>-1882.693556792444</v>
      </c>
      <c r="G21" s="407">
        <f t="shared" ca="1" si="4"/>
        <v>0</v>
      </c>
      <c r="H21" s="407">
        <f t="shared" ca="1" si="5"/>
        <v>0</v>
      </c>
      <c r="I21" s="276">
        <f ca="1">N21*BSDailyRhoUSD(L21,1/S21,1/O21,Q21,X21,Y21,T21)*1000000</f>
        <v>-1.4386413187891214E-8</v>
      </c>
      <c r="J21" s="276">
        <f t="shared" ref="J21:J84" ca="1" si="12">N21*BSDailyRhoExt(L21,1/S21,1/O21,Q21,X21,Y21,T21)*1000000</f>
        <v>9981.0399779647687</v>
      </c>
      <c r="K21" s="136">
        <f ca="1">N21*BSDailyTheta(L21,1/S21,1/O21,Q21,X21,Y21,T21)*1000000</f>
        <v>-28360.479317594563</v>
      </c>
      <c r="L21" s="72" t="str">
        <f t="shared" ca="1" si="6"/>
        <v>F</v>
      </c>
      <c r="M21" s="89">
        <f t="shared" ca="1" si="6"/>
        <v>-1876.0000000000002</v>
      </c>
      <c r="N21" s="89">
        <f t="shared" ca="1" si="6"/>
        <v>-2073.3006423099155</v>
      </c>
      <c r="O21" s="429">
        <f t="shared" ca="1" si="6"/>
        <v>1000000000000000</v>
      </c>
      <c r="P21" s="308">
        <f t="shared" ca="1" si="6"/>
        <v>45339</v>
      </c>
      <c r="Q21" s="73">
        <f t="shared" ref="Q21:Q84" ca="1" si="13">(P21-$H$2)</f>
        <v>352</v>
      </c>
      <c r="R21" s="107">
        <f t="shared" ref="R21:R84" ca="1" si="14">IF(L21="D",1,$I$6)</f>
        <v>18.189999999999998</v>
      </c>
      <c r="S21" s="105">
        <f t="shared" ref="S21:S84" ca="1" si="15">IF(L21="D",1,R21*EXP(-($I$10-$I$11)*Q21/365))</f>
        <v>19.667884184801565</v>
      </c>
      <c r="T21" s="341">
        <v>0</v>
      </c>
      <c r="U21" s="341">
        <v>9.9199999999999997E-2</v>
      </c>
      <c r="V21" s="341">
        <v>9.9199999999999997E-2</v>
      </c>
      <c r="W21" s="341">
        <v>9.9199999999999997E-2</v>
      </c>
      <c r="X21" s="281">
        <f t="shared" si="7"/>
        <v>1.9E-2</v>
      </c>
      <c r="Y21" s="282">
        <f>Y20</f>
        <v>0.1</v>
      </c>
      <c r="AA21" s="391">
        <f t="shared" ref="AA21:AF84" ca="1" si="16">INDIRECT("'"&amp; $AB$16 &amp;"'!"&amp; ADDRESS(ROW(E21),COLUMN(E21),4))</f>
        <v>-102879290.6761418</v>
      </c>
      <c r="AB21" s="400">
        <f t="shared" ca="1" si="8"/>
        <v>-1881.6622264666705</v>
      </c>
      <c r="AC21" s="258">
        <f t="shared" ca="1" si="8"/>
        <v>0</v>
      </c>
      <c r="AD21" s="258">
        <f t="shared" ca="1" si="8"/>
        <v>0</v>
      </c>
      <c r="AE21" s="402">
        <f t="shared" ca="1" si="8"/>
        <v>-1.4386413187891214E-8</v>
      </c>
      <c r="AF21" s="402">
        <f t="shared" ca="1" si="8"/>
        <v>9977.3980469497856</v>
      </c>
      <c r="AG21" s="404">
        <f t="shared" ref="AG21:AG84" ca="1" si="17">AB21*((1/R21)-(1/AN21))*1000000</f>
        <v>-565581.58700464724</v>
      </c>
      <c r="AH21" s="415">
        <f t="shared" ref="AH21:AH84" ca="1" si="18">0.5*AC21*((1/R21)-(1/AN21))^2*1000000</f>
        <v>0</v>
      </c>
      <c r="AI21" s="415">
        <f t="shared" ref="AI21:AI84" ca="1" si="19">AD21*(T21-AP21)</f>
        <v>0</v>
      </c>
      <c r="AJ21" s="416">
        <f t="shared" ref="AJ21:AJ84" ca="1" si="20">(AE21*(X21-AT21))/0.01%</f>
        <v>1.4386413187891227E-7</v>
      </c>
      <c r="AK21" s="416">
        <f t="shared" ref="AK21:AK84" ca="1" si="21">(AF21*(Y21-AU21))/0.01%</f>
        <v>0</v>
      </c>
      <c r="AL21" s="417">
        <f t="shared" ref="AL21:AL31" ca="1" si="22">K21*(Today-$H$3)</f>
        <v>-56720.958635189127</v>
      </c>
      <c r="AM21" s="269">
        <f ca="1">SUM(AG21:AL21)</f>
        <v>-622302.54563969246</v>
      </c>
      <c r="AN21" s="422">
        <f t="shared" ref="AN21:AU36" ca="1" si="23">INDIRECT("'"&amp; $AB$16 &amp;"'!"&amp; ADDRESS(ROW(R21),COLUMN(R21),4))</f>
        <v>18.29</v>
      </c>
      <c r="AO21" s="423">
        <f t="shared" ca="1" si="9"/>
        <v>19.765608904793204</v>
      </c>
      <c r="AP21" s="271">
        <f t="shared" ca="1" si="9"/>
        <v>0</v>
      </c>
      <c r="AQ21" s="271">
        <f t="shared" ca="1" si="9"/>
        <v>9.9199999999999997E-2</v>
      </c>
      <c r="AR21" s="271">
        <f t="shared" ca="1" si="9"/>
        <v>9.9199999999999997E-2</v>
      </c>
      <c r="AS21" s="271">
        <f t="shared" ca="1" si="9"/>
        <v>9.9199999999999997E-2</v>
      </c>
      <c r="AT21" s="271">
        <f t="shared" ca="1" si="9"/>
        <v>0.02</v>
      </c>
      <c r="AU21" s="278">
        <f t="shared" ca="1" si="9"/>
        <v>0.1</v>
      </c>
    </row>
    <row r="22" spans="1:47" ht="13.15" thickBot="1" x14ac:dyDescent="0.4">
      <c r="B22" s="318">
        <f t="shared" ref="B22:B28" si="24">B21+1</f>
        <v>3</v>
      </c>
      <c r="C22" s="309">
        <f t="shared" ca="1" si="10"/>
        <v>511442.07742030843</v>
      </c>
      <c r="D22" s="309">
        <f t="shared" ca="1" si="2"/>
        <v>511367.94374550926</v>
      </c>
      <c r="E22" s="309">
        <f t="shared" ca="1" si="11"/>
        <v>2785890.8417238812</v>
      </c>
      <c r="F22" s="310">
        <f t="shared" ref="F22:F85" ca="1" si="25">N22*BSDelta(L22,1/S22,1/O22,Q22,X22,Y22,T22)</f>
        <v>1872.3682645619747</v>
      </c>
      <c r="G22" s="408">
        <f t="shared" ca="1" si="4"/>
        <v>0</v>
      </c>
      <c r="H22" s="408">
        <f t="shared" ca="1" si="5"/>
        <v>0</v>
      </c>
      <c r="I22" s="311">
        <f t="shared" ref="I22:I85" ca="1" si="26">N22*BSDailyRhoUSD(L22,1/S22,1/O22,Q22,X22,Y22,T22)*1000000</f>
        <v>9657.6469910450705</v>
      </c>
      <c r="J22" s="311">
        <f t="shared" ca="1" si="12"/>
        <v>-9926.3007697800349</v>
      </c>
      <c r="K22" s="312">
        <f ca="1">N22*BSDailyTheta(L22,1/S22,1/O22,Q22,X22,Y22,T22)*1000000</f>
        <v>22991.619888377296</v>
      </c>
      <c r="L22" s="313" t="str">
        <f t="shared" ca="1" si="6"/>
        <v>F</v>
      </c>
      <c r="M22" s="314">
        <f t="shared" ca="1" si="6"/>
        <v>102</v>
      </c>
      <c r="N22" s="314">
        <f t="shared" ca="1" si="6"/>
        <v>2061.9299999999998</v>
      </c>
      <c r="O22" s="470">
        <f t="shared" ca="1" si="6"/>
        <v>20.215</v>
      </c>
      <c r="P22" s="315">
        <f t="shared" ca="1" si="6"/>
        <v>45339</v>
      </c>
      <c r="Q22" s="481">
        <f ca="1">(P22-$H$2)</f>
        <v>352</v>
      </c>
      <c r="R22" s="303">
        <f t="shared" ca="1" si="14"/>
        <v>18.189999999999998</v>
      </c>
      <c r="S22" s="304">
        <f t="shared" ca="1" si="15"/>
        <v>19.667884184801565</v>
      </c>
      <c r="T22" s="342">
        <v>0</v>
      </c>
      <c r="U22" s="342">
        <v>9.1899999999999996E-2</v>
      </c>
      <c r="V22" s="342">
        <v>9.1899999999999996E-2</v>
      </c>
      <c r="W22" s="342">
        <v>9.1899999999999996E-2</v>
      </c>
      <c r="X22" s="305">
        <f t="shared" si="7"/>
        <v>1.9E-2</v>
      </c>
      <c r="Y22" s="306">
        <f t="shared" ref="Y22:Y85" si="27">Y21</f>
        <v>0.1</v>
      </c>
      <c r="AA22" s="391">
        <f t="shared" ca="1" si="16"/>
        <v>2274522.8979783719</v>
      </c>
      <c r="AB22" s="400">
        <f t="shared" ca="1" si="8"/>
        <v>1871.3425903808038</v>
      </c>
      <c r="AC22" s="258">
        <f t="shared" ca="1" si="8"/>
        <v>0</v>
      </c>
      <c r="AD22" s="258">
        <f t="shared" ca="1" si="8"/>
        <v>0</v>
      </c>
      <c r="AE22" s="402">
        <f t="shared" ca="1" si="8"/>
        <v>9702.0919461624744</v>
      </c>
      <c r="AF22" s="402">
        <f t="shared" ca="1" si="8"/>
        <v>-9922.678812286711</v>
      </c>
      <c r="AG22" s="404">
        <f t="shared" ca="1" si="17"/>
        <v>562479.75710517867</v>
      </c>
      <c r="AH22" s="415">
        <f t="shared" ca="1" si="18"/>
        <v>0</v>
      </c>
      <c r="AI22" s="415">
        <f t="shared" ca="1" si="19"/>
        <v>0</v>
      </c>
      <c r="AJ22" s="416">
        <f t="shared" ca="1" si="20"/>
        <v>-97020.919461624828</v>
      </c>
      <c r="AK22" s="416">
        <f t="shared" ca="1" si="21"/>
        <v>0</v>
      </c>
      <c r="AL22" s="417">
        <f t="shared" ca="1" si="22"/>
        <v>45983.239776754592</v>
      </c>
      <c r="AM22" s="269">
        <f ca="1">SUM(AG22:AL22)</f>
        <v>511442.07742030843</v>
      </c>
      <c r="AN22" s="422">
        <f t="shared" ca="1" si="23"/>
        <v>18.29</v>
      </c>
      <c r="AO22" s="423">
        <f t="shared" ca="1" si="9"/>
        <v>19.765608904793204</v>
      </c>
      <c r="AP22" s="271">
        <f t="shared" ca="1" si="9"/>
        <v>0</v>
      </c>
      <c r="AQ22" s="271">
        <f t="shared" ca="1" si="9"/>
        <v>9.1899999999999996E-2</v>
      </c>
      <c r="AR22" s="271">
        <f t="shared" ca="1" si="9"/>
        <v>9.1899999999999996E-2</v>
      </c>
      <c r="AS22" s="271">
        <f t="shared" ca="1" si="9"/>
        <v>9.1899999999999996E-2</v>
      </c>
      <c r="AT22" s="271">
        <f t="shared" ca="1" si="9"/>
        <v>0.02</v>
      </c>
      <c r="AU22" s="278">
        <f t="shared" ca="1" si="9"/>
        <v>0.1</v>
      </c>
    </row>
    <row r="23" spans="1:47" ht="13.15" thickBot="1" x14ac:dyDescent="0.4">
      <c r="B23" s="471">
        <f t="shared" si="24"/>
        <v>4</v>
      </c>
      <c r="C23" s="472">
        <f t="shared" ca="1" si="10"/>
        <v>-71089.714450957108</v>
      </c>
      <c r="D23" s="472">
        <f t="shared" ca="1" si="2"/>
        <v>-71108.64301109314</v>
      </c>
      <c r="E23" s="472">
        <f t="shared" ca="1" si="11"/>
        <v>-95107553.988246948</v>
      </c>
      <c r="F23" s="473">
        <f t="shared" ca="1" si="25"/>
        <v>0</v>
      </c>
      <c r="G23" s="474">
        <f t="shared" ca="1" si="4"/>
        <v>0</v>
      </c>
      <c r="H23" s="474">
        <f t="shared" ca="1" si="5"/>
        <v>0</v>
      </c>
      <c r="I23" s="475">
        <f t="shared" ca="1" si="26"/>
        <v>6071.2493367839834</v>
      </c>
      <c r="J23" s="475">
        <f t="shared" ca="1" si="12"/>
        <v>0</v>
      </c>
      <c r="K23" s="476">
        <f t="shared" ref="K23:K86" ca="1" si="28">N23*BSDailyTheta(L23,1/S23,1/O23,Q23,X23,Y23,T23)*1000000</f>
        <v>-4950.9330389984934</v>
      </c>
      <c r="L23" s="477" t="str">
        <f ca="1">INDIRECT("'"&amp; $AB$16 &amp;"'!"&amp; ADDRESS(ROW(L23),COLUMN(L23),4))</f>
        <v>D</v>
      </c>
      <c r="M23" s="478">
        <f ca="1">INDIRECT("'"&amp; $AB$16 &amp;"'!"&amp; ADDRESS(ROW(M23),COLUMN(M23),4))</f>
        <v>-95</v>
      </c>
      <c r="N23" s="478">
        <f ca="1">INDIRECT("'"&amp; $AB$16 &amp;"'!"&amp; ADDRESS(ROW(N23),COLUMN(N23),4))</f>
        <v>-96.268115223525598</v>
      </c>
      <c r="O23" s="479">
        <v>1000000000000000</v>
      </c>
      <c r="P23" s="480">
        <v>45220</v>
      </c>
      <c r="Q23" s="482">
        <f t="shared" si="13"/>
        <v>233</v>
      </c>
      <c r="R23" s="107">
        <f t="shared" ca="1" si="14"/>
        <v>1</v>
      </c>
      <c r="S23" s="105">
        <f t="shared" ca="1" si="15"/>
        <v>1</v>
      </c>
      <c r="T23" s="341">
        <v>0</v>
      </c>
      <c r="U23" s="341">
        <v>9.4200000000000006E-2</v>
      </c>
      <c r="V23" s="341">
        <v>9.4200000000000006E-2</v>
      </c>
      <c r="W23" s="341">
        <v>9.4200000000000006E-2</v>
      </c>
      <c r="X23" s="281">
        <f t="shared" si="7"/>
        <v>1.9E-2</v>
      </c>
      <c r="Y23" s="282">
        <f t="shared" si="27"/>
        <v>0.1</v>
      </c>
      <c r="AA23" s="391">
        <f t="shared" ca="1" si="16"/>
        <v>-95036445.345235854</v>
      </c>
      <c r="AB23" s="400">
        <f t="shared" ca="1" si="8"/>
        <v>0</v>
      </c>
      <c r="AC23" s="258">
        <f t="shared" ca="1" si="8"/>
        <v>0</v>
      </c>
      <c r="AD23" s="258">
        <f t="shared" ca="1" si="8"/>
        <v>0</v>
      </c>
      <c r="AE23" s="402">
        <f t="shared" ca="1" si="8"/>
        <v>6118.784837296007</v>
      </c>
      <c r="AF23" s="402">
        <f t="shared" ca="1" si="8"/>
        <v>0</v>
      </c>
      <c r="AG23" s="404">
        <f t="shared" ca="1" si="17"/>
        <v>0</v>
      </c>
      <c r="AH23" s="415">
        <f t="shared" ca="1" si="18"/>
        <v>0</v>
      </c>
      <c r="AI23" s="415">
        <f t="shared" ca="1" si="19"/>
        <v>0</v>
      </c>
      <c r="AJ23" s="416">
        <f t="shared" ca="1" si="20"/>
        <v>-61187.848372960121</v>
      </c>
      <c r="AK23" s="416">
        <f t="shared" ca="1" si="21"/>
        <v>0</v>
      </c>
      <c r="AL23" s="417">
        <f t="shared" ca="1" si="22"/>
        <v>-9901.8660779969869</v>
      </c>
      <c r="AM23" s="269">
        <f t="shared" ref="AM23:AM86" ca="1" si="29">SUM(AG23:AL23)</f>
        <v>-71089.714450957108</v>
      </c>
      <c r="AN23" s="422">
        <f t="shared" ca="1" si="23"/>
        <v>1</v>
      </c>
      <c r="AO23" s="423">
        <f t="shared" ca="1" si="9"/>
        <v>1</v>
      </c>
      <c r="AP23" s="271">
        <f t="shared" ca="1" si="9"/>
        <v>0</v>
      </c>
      <c r="AQ23" s="271">
        <f t="shared" ca="1" si="9"/>
        <v>9.4200000000000006E-2</v>
      </c>
      <c r="AR23" s="271">
        <f t="shared" ca="1" si="9"/>
        <v>9.4200000000000006E-2</v>
      </c>
      <c r="AS23" s="271">
        <f t="shared" ca="1" si="9"/>
        <v>9.4200000000000006E-2</v>
      </c>
      <c r="AT23" s="271">
        <f t="shared" ca="1" si="9"/>
        <v>0.02</v>
      </c>
      <c r="AU23" s="278">
        <f t="shared" ca="1" si="9"/>
        <v>0.1</v>
      </c>
    </row>
    <row r="24" spans="1:47" ht="13.15" thickBot="1" x14ac:dyDescent="0.4">
      <c r="B24" s="317">
        <f t="shared" si="24"/>
        <v>5</v>
      </c>
      <c r="C24" s="92">
        <f t="shared" ca="1" si="10"/>
        <v>575430.13379329129</v>
      </c>
      <c r="D24" s="92">
        <f t="shared" ca="1" si="2"/>
        <v>575408.58446037769</v>
      </c>
      <c r="E24" s="92">
        <f t="shared" ca="1" si="11"/>
        <v>95705734.521761492</v>
      </c>
      <c r="F24" s="134">
        <f t="shared" ca="1" si="25"/>
        <v>1740.8873109508743</v>
      </c>
      <c r="G24" s="407">
        <f t="shared" ca="1" si="4"/>
        <v>0</v>
      </c>
      <c r="H24" s="407">
        <f t="shared" ca="1" si="5"/>
        <v>0</v>
      </c>
      <c r="I24" s="276">
        <f t="shared" ca="1" si="26"/>
        <v>1.2876100652687992E-8</v>
      </c>
      <c r="J24" s="276">
        <f t="shared" ca="1" si="12"/>
        <v>-6109.2395642788906</v>
      </c>
      <c r="K24" s="136">
        <f t="shared" ca="1" si="28"/>
        <v>26224.341395534298</v>
      </c>
      <c r="L24" s="72" t="str">
        <f t="shared" ca="1" si="6"/>
        <v>F</v>
      </c>
      <c r="M24" s="89">
        <f t="shared" ca="1" si="6"/>
        <v>1736.6000000000001</v>
      </c>
      <c r="N24" s="89">
        <f t="shared" ca="1" si="6"/>
        <v>1855.6416672457804</v>
      </c>
      <c r="O24" s="429">
        <v>1000000000000000</v>
      </c>
      <c r="P24" s="308">
        <v>45220</v>
      </c>
      <c r="Q24" s="483">
        <f t="shared" si="13"/>
        <v>233</v>
      </c>
      <c r="R24" s="107">
        <f t="shared" ca="1" si="14"/>
        <v>18.189999999999998</v>
      </c>
      <c r="S24" s="105">
        <f t="shared" ca="1" si="15"/>
        <v>19.155288547202872</v>
      </c>
      <c r="T24" s="341">
        <v>0</v>
      </c>
      <c r="U24" s="341">
        <v>9.9699999999999997E-2</v>
      </c>
      <c r="V24" s="341">
        <v>9.9699999999999997E-2</v>
      </c>
      <c r="W24" s="341">
        <v>9.9699999999999997E-2</v>
      </c>
      <c r="X24" s="281">
        <f t="shared" si="7"/>
        <v>1.9E-2</v>
      </c>
      <c r="Y24" s="282">
        <f t="shared" si="27"/>
        <v>0.1</v>
      </c>
      <c r="AA24" s="391">
        <f t="shared" ca="1" si="16"/>
        <v>95130325.937301114</v>
      </c>
      <c r="AB24" s="400">
        <f t="shared" ca="1" si="8"/>
        <v>1739.9336613932705</v>
      </c>
      <c r="AC24" s="258">
        <f t="shared" ca="1" si="8"/>
        <v>0</v>
      </c>
      <c r="AD24" s="258">
        <f t="shared" ca="1" si="8"/>
        <v>0</v>
      </c>
      <c r="AE24" s="402">
        <f t="shared" ca="1" si="8"/>
        <v>0</v>
      </c>
      <c r="AF24" s="402">
        <f t="shared" ca="1" si="8"/>
        <v>-6124.6320392605858</v>
      </c>
      <c r="AG24" s="404">
        <f t="shared" ca="1" si="17"/>
        <v>522981.45100222272</v>
      </c>
      <c r="AH24" s="415">
        <f t="shared" ca="1" si="18"/>
        <v>0</v>
      </c>
      <c r="AI24" s="415">
        <f t="shared" ca="1" si="19"/>
        <v>0</v>
      </c>
      <c r="AJ24" s="416">
        <f t="shared" ca="1" si="20"/>
        <v>0</v>
      </c>
      <c r="AK24" s="416">
        <f t="shared" ca="1" si="21"/>
        <v>0</v>
      </c>
      <c r="AL24" s="417">
        <f t="shared" ca="1" si="22"/>
        <v>52448.682791068597</v>
      </c>
      <c r="AM24" s="269">
        <f t="shared" ca="1" si="29"/>
        <v>575430.13379329129</v>
      </c>
      <c r="AN24" s="422">
        <f t="shared" ca="1" si="23"/>
        <v>18.29</v>
      </c>
      <c r="AO24" s="423">
        <f t="shared" ca="1" si="9"/>
        <v>19.256743512334932</v>
      </c>
      <c r="AP24" s="271">
        <f t="shared" ca="1" si="9"/>
        <v>0</v>
      </c>
      <c r="AQ24" s="271">
        <f t="shared" ca="1" si="9"/>
        <v>9.9699999999999997E-2</v>
      </c>
      <c r="AR24" s="271">
        <f t="shared" ca="1" si="9"/>
        <v>9.9699999999999997E-2</v>
      </c>
      <c r="AS24" s="271">
        <f t="shared" ca="1" si="9"/>
        <v>9.9699999999999997E-2</v>
      </c>
      <c r="AT24" s="271">
        <f t="shared" ca="1" si="9"/>
        <v>0.02</v>
      </c>
      <c r="AU24" s="278">
        <f t="shared" ca="1" si="9"/>
        <v>0.1</v>
      </c>
    </row>
    <row r="25" spans="1:47" ht="13.15" thickBot="1" x14ac:dyDescent="0.4">
      <c r="B25" s="317">
        <f t="shared" si="24"/>
        <v>6</v>
      </c>
      <c r="C25" s="92">
        <f t="shared" ca="1" si="10"/>
        <v>-502914.94597512705</v>
      </c>
      <c r="D25" s="459">
        <f t="shared" ca="1" si="2"/>
        <v>-502872.61745290662</v>
      </c>
      <c r="E25" s="459">
        <f t="shared" ca="1" si="11"/>
        <v>-592721.63445848203</v>
      </c>
      <c r="F25" s="460">
        <f t="shared" ca="1" si="25"/>
        <v>-1735.9697925757075</v>
      </c>
      <c r="G25" s="407">
        <f t="shared" ca="1" si="4"/>
        <v>0</v>
      </c>
      <c r="H25" s="407">
        <f t="shared" ca="1" si="5"/>
        <v>0</v>
      </c>
      <c r="I25" s="442">
        <f t="shared" ca="1" si="26"/>
        <v>-6054.1471327413992</v>
      </c>
      <c r="J25" s="442">
        <f t="shared" ca="1" si="12"/>
        <v>6091.9826760044361</v>
      </c>
      <c r="K25" s="136">
        <f t="shared" ca="1" si="28"/>
        <v>-21213.120734233918</v>
      </c>
      <c r="L25" s="463" t="str">
        <f t="shared" ca="1" si="6"/>
        <v>F</v>
      </c>
      <c r="M25" s="445">
        <f t="shared" ca="1" si="6"/>
        <v>-96</v>
      </c>
      <c r="N25" s="89">
        <f t="shared" ca="1" si="6"/>
        <v>-1850.3999999999999</v>
      </c>
      <c r="O25" s="428">
        <f ca="1">INDIRECT("'"&amp; $AB$16 &amp;"'!"&amp; ADDRESS(ROW(O25),COLUMN(O25),4))</f>
        <v>19.274999999999999</v>
      </c>
      <c r="P25" s="308">
        <v>45220</v>
      </c>
      <c r="Q25" s="73">
        <f t="shared" si="13"/>
        <v>233</v>
      </c>
      <c r="R25" s="450">
        <f t="shared" ca="1" si="14"/>
        <v>18.189999999999998</v>
      </c>
      <c r="S25" s="451">
        <f t="shared" ca="1" si="15"/>
        <v>19.155288547202872</v>
      </c>
      <c r="T25" s="452">
        <v>0</v>
      </c>
      <c r="U25" s="452">
        <v>0.11219999999999999</v>
      </c>
      <c r="V25" s="452">
        <v>0.11219999999999999</v>
      </c>
      <c r="W25" s="452">
        <v>0.11219999999999999</v>
      </c>
      <c r="X25" s="454">
        <f t="shared" si="7"/>
        <v>1.9E-2</v>
      </c>
      <c r="Y25" s="466">
        <f t="shared" si="27"/>
        <v>0.1</v>
      </c>
      <c r="AA25" s="391">
        <f t="shared" ca="1" si="16"/>
        <v>-89849.017005575399</v>
      </c>
      <c r="AB25" s="400">
        <f t="shared" ca="1" si="8"/>
        <v>-1735.0188368106278</v>
      </c>
      <c r="AC25" s="258">
        <f t="shared" ca="1" si="8"/>
        <v>0</v>
      </c>
      <c r="AD25" s="258">
        <f t="shared" ca="1" si="8"/>
        <v>0</v>
      </c>
      <c r="AE25" s="402">
        <f t="shared" ca="1" si="8"/>
        <v>-6101.5470580576211</v>
      </c>
      <c r="AF25" s="402">
        <f t="shared" ca="1" si="8"/>
        <v>6107.3316715613619</v>
      </c>
      <c r="AG25" s="404">
        <f t="shared" ca="1" si="17"/>
        <v>-521504.17508723546</v>
      </c>
      <c r="AH25" s="415">
        <f t="shared" ca="1" si="18"/>
        <v>0</v>
      </c>
      <c r="AI25" s="415">
        <f t="shared" ca="1" si="19"/>
        <v>0</v>
      </c>
      <c r="AJ25" s="416">
        <f t="shared" ca="1" si="20"/>
        <v>61015.470580576257</v>
      </c>
      <c r="AK25" s="416">
        <f t="shared" ca="1" si="21"/>
        <v>0</v>
      </c>
      <c r="AL25" s="417">
        <f t="shared" ca="1" si="22"/>
        <v>-42426.241468467837</v>
      </c>
      <c r="AM25" s="269">
        <f t="shared" ca="1" si="29"/>
        <v>-502914.94597512705</v>
      </c>
      <c r="AN25" s="422">
        <f t="shared" ca="1" si="23"/>
        <v>18.29</v>
      </c>
      <c r="AO25" s="423">
        <f t="shared" ca="1" si="9"/>
        <v>19.256743512334932</v>
      </c>
      <c r="AP25" s="271">
        <f t="shared" ca="1" si="9"/>
        <v>0</v>
      </c>
      <c r="AQ25" s="271">
        <f t="shared" ca="1" si="9"/>
        <v>0.11219999999999999</v>
      </c>
      <c r="AR25" s="271">
        <f t="shared" ca="1" si="9"/>
        <v>0.11219999999999999</v>
      </c>
      <c r="AS25" s="271">
        <f t="shared" ca="1" si="9"/>
        <v>0.11219999999999999</v>
      </c>
      <c r="AT25" s="271">
        <f t="shared" ca="1" si="9"/>
        <v>0.02</v>
      </c>
      <c r="AU25" s="278">
        <f t="shared" ca="1" si="9"/>
        <v>0.1</v>
      </c>
    </row>
    <row r="26" spans="1:47" ht="13.15" thickBot="1" x14ac:dyDescent="0.4">
      <c r="B26" s="457">
        <f t="shared" si="24"/>
        <v>7</v>
      </c>
      <c r="C26" s="458">
        <f t="shared" ca="1" si="10"/>
        <v>2657.8380628293789</v>
      </c>
      <c r="D26" s="92">
        <f t="shared" ca="1" si="2"/>
        <v>2657.8874022737145</v>
      </c>
      <c r="E26" s="92">
        <f t="shared" ca="1" si="11"/>
        <v>10002657.887402272</v>
      </c>
      <c r="F26" s="134">
        <f t="shared" ca="1" si="25"/>
        <v>0</v>
      </c>
      <c r="G26" s="461">
        <f t="shared" ca="1" si="4"/>
        <v>0</v>
      </c>
      <c r="H26" s="461">
        <f t="shared" ca="1" si="5"/>
        <v>0</v>
      </c>
      <c r="I26" s="276">
        <f t="shared" ca="1" si="26"/>
        <v>-156.20589029641903</v>
      </c>
      <c r="J26" s="276">
        <f t="shared" ca="1" si="12"/>
        <v>0</v>
      </c>
      <c r="K26" s="462">
        <f t="shared" ca="1" si="28"/>
        <v>520.69985333249724</v>
      </c>
      <c r="L26" s="72" t="s">
        <v>139</v>
      </c>
      <c r="M26" s="89">
        <f t="shared" ca="1" si="6"/>
        <v>10</v>
      </c>
      <c r="N26" s="478">
        <f t="shared" ca="1" si="6"/>
        <v>10.03238108094199</v>
      </c>
      <c r="O26" s="465">
        <v>1000000000000000</v>
      </c>
      <c r="P26" s="480">
        <v>45044</v>
      </c>
      <c r="Q26" s="457">
        <f>(P26-$H$2)</f>
        <v>57</v>
      </c>
      <c r="R26" s="107">
        <f t="shared" si="14"/>
        <v>1</v>
      </c>
      <c r="S26" s="105">
        <f t="shared" si="15"/>
        <v>1</v>
      </c>
      <c r="T26" s="341">
        <v>0</v>
      </c>
      <c r="U26" s="341">
        <v>0.1036</v>
      </c>
      <c r="V26" s="341">
        <v>0.1036</v>
      </c>
      <c r="W26" s="341">
        <v>0.1036</v>
      </c>
      <c r="X26" s="281">
        <f t="shared" si="7"/>
        <v>1.9E-2</v>
      </c>
      <c r="Y26" s="282">
        <f t="shared" si="27"/>
        <v>0.1</v>
      </c>
      <c r="AA26" s="391">
        <f t="shared" ca="1" si="16"/>
        <v>9999999.9999999981</v>
      </c>
      <c r="AB26" s="400">
        <f t="shared" ca="1" si="8"/>
        <v>0</v>
      </c>
      <c r="AC26" s="258">
        <f t="shared" ca="1" si="8"/>
        <v>0</v>
      </c>
      <c r="AD26" s="258">
        <f t="shared" ca="1" si="8"/>
        <v>0</v>
      </c>
      <c r="AE26" s="402">
        <f t="shared" ca="1" si="8"/>
        <v>-161.64383561643834</v>
      </c>
      <c r="AF26" s="402">
        <f t="shared" ca="1" si="8"/>
        <v>0</v>
      </c>
      <c r="AG26" s="404">
        <f t="shared" ca="1" si="17"/>
        <v>0</v>
      </c>
      <c r="AH26" s="415">
        <f t="shared" ca="1" si="18"/>
        <v>0</v>
      </c>
      <c r="AI26" s="415">
        <f t="shared" ca="1" si="19"/>
        <v>0</v>
      </c>
      <c r="AJ26" s="416">
        <f t="shared" ca="1" si="20"/>
        <v>1616.4383561643847</v>
      </c>
      <c r="AK26" s="416">
        <f t="shared" ca="1" si="21"/>
        <v>0</v>
      </c>
      <c r="AL26" s="417">
        <f t="shared" ca="1" si="22"/>
        <v>1041.3997066649945</v>
      </c>
      <c r="AM26" s="269">
        <f t="shared" ca="1" si="29"/>
        <v>2657.8380628293789</v>
      </c>
      <c r="AN26" s="422">
        <f t="shared" ca="1" si="23"/>
        <v>1</v>
      </c>
      <c r="AO26" s="423">
        <f t="shared" ca="1" si="9"/>
        <v>1</v>
      </c>
      <c r="AP26" s="271">
        <f t="shared" ca="1" si="9"/>
        <v>0</v>
      </c>
      <c r="AQ26" s="271">
        <f t="shared" ca="1" si="9"/>
        <v>0.1036</v>
      </c>
      <c r="AR26" s="271">
        <f t="shared" ca="1" si="9"/>
        <v>0.1036</v>
      </c>
      <c r="AS26" s="271">
        <f t="shared" ca="1" si="9"/>
        <v>0.1036</v>
      </c>
      <c r="AT26" s="271">
        <f t="shared" ca="1" si="9"/>
        <v>0.02</v>
      </c>
      <c r="AU26" s="278">
        <f t="shared" ca="1" si="9"/>
        <v>0.1</v>
      </c>
    </row>
    <row r="27" spans="1:47" ht="13.15" thickBot="1" x14ac:dyDescent="0.4">
      <c r="B27" s="317">
        <f t="shared" si="24"/>
        <v>8</v>
      </c>
      <c r="C27" s="92">
        <f t="shared" ca="1" si="10"/>
        <v>-60323.251818607634</v>
      </c>
      <c r="D27" s="92">
        <f ca="1">E27-AA27</f>
        <v>-60320.992767920718</v>
      </c>
      <c r="E27" s="92">
        <f t="shared" ca="1" si="11"/>
        <v>-10032983.649957458</v>
      </c>
      <c r="F27" s="134">
        <f t="shared" ca="1" si="25"/>
        <v>-182.49997259272953</v>
      </c>
      <c r="G27" s="407">
        <f t="shared" ca="1" si="4"/>
        <v>0</v>
      </c>
      <c r="H27" s="407">
        <f t="shared" ca="1" si="5"/>
        <v>0</v>
      </c>
      <c r="I27" s="276">
        <f t="shared" ca="1" si="26"/>
        <v>0</v>
      </c>
      <c r="J27" s="276">
        <f t="shared" ca="1" si="12"/>
        <v>156.67824731744173</v>
      </c>
      <c r="K27" s="136">
        <f t="shared" ca="1" si="28"/>
        <v>-2749.1392210414037</v>
      </c>
      <c r="L27" s="72" t="str">
        <f t="shared" ca="1" si="6"/>
        <v>F</v>
      </c>
      <c r="M27" s="89">
        <f t="shared" ca="1" si="6"/>
        <v>-182.39999999999998</v>
      </c>
      <c r="N27" s="89">
        <f t="shared" ca="1" si="6"/>
        <v>-185.37234187943574</v>
      </c>
      <c r="O27" s="425">
        <v>1000000000000000</v>
      </c>
      <c r="P27" s="308">
        <v>45044</v>
      </c>
      <c r="Q27" s="73">
        <f t="shared" si="13"/>
        <v>57</v>
      </c>
      <c r="R27" s="107">
        <f t="shared" ca="1" si="14"/>
        <v>18.189999999999998</v>
      </c>
      <c r="S27" s="105">
        <f t="shared" ca="1" si="15"/>
        <v>18.421552443545057</v>
      </c>
      <c r="T27" s="341">
        <v>0</v>
      </c>
      <c r="U27" s="341">
        <v>8.5699999999999998E-2</v>
      </c>
      <c r="V27" s="341">
        <v>8.5699999999999998E-2</v>
      </c>
      <c r="W27" s="341">
        <v>8.5699999999999998E-2</v>
      </c>
      <c r="X27" s="281">
        <f t="shared" si="7"/>
        <v>1.9E-2</v>
      </c>
      <c r="Y27" s="282">
        <f t="shared" si="27"/>
        <v>0.1</v>
      </c>
      <c r="AA27" s="391">
        <f t="shared" ca="1" si="16"/>
        <v>-9972662.6571895368</v>
      </c>
      <c r="AB27" s="400">
        <f t="shared" ca="1" si="8"/>
        <v>-182.39999999999998</v>
      </c>
      <c r="AC27" s="258">
        <f t="shared" ca="1" si="8"/>
        <v>0</v>
      </c>
      <c r="AD27" s="258">
        <f t="shared" ca="1" si="8"/>
        <v>0</v>
      </c>
      <c r="AE27" s="402">
        <f t="shared" ca="1" si="8"/>
        <v>0</v>
      </c>
      <c r="AF27" s="402">
        <f t="shared" ca="1" si="8"/>
        <v>161.2006414650036</v>
      </c>
      <c r="AG27" s="404">
        <f t="shared" ca="1" si="17"/>
        <v>-54824.973376524824</v>
      </c>
      <c r="AH27" s="415">
        <f t="shared" ca="1" si="18"/>
        <v>0</v>
      </c>
      <c r="AI27" s="415">
        <f t="shared" ca="1" si="19"/>
        <v>0</v>
      </c>
      <c r="AJ27" s="416">
        <f t="shared" ca="1" si="20"/>
        <v>0</v>
      </c>
      <c r="AK27" s="416">
        <f t="shared" ca="1" si="21"/>
        <v>0</v>
      </c>
      <c r="AL27" s="417">
        <f t="shared" ca="1" si="22"/>
        <v>-5498.2784420828075</v>
      </c>
      <c r="AM27" s="269">
        <f t="shared" ca="1" si="29"/>
        <v>-60323.251818607634</v>
      </c>
      <c r="AN27" s="422">
        <f t="shared" ca="1" si="23"/>
        <v>18.29</v>
      </c>
      <c r="AO27" s="423">
        <f t="shared" ca="1" si="9"/>
        <v>18.528053135814151</v>
      </c>
      <c r="AP27" s="271">
        <f t="shared" ca="1" si="9"/>
        <v>0</v>
      </c>
      <c r="AQ27" s="271">
        <f t="shared" ca="1" si="9"/>
        <v>8.5699999999999998E-2</v>
      </c>
      <c r="AR27" s="271">
        <f t="shared" ca="1" si="9"/>
        <v>8.5699999999999998E-2</v>
      </c>
      <c r="AS27" s="271">
        <f t="shared" ca="1" si="9"/>
        <v>8.5699999999999998E-2</v>
      </c>
      <c r="AT27" s="271">
        <f t="shared" ca="1" si="9"/>
        <v>0.02</v>
      </c>
      <c r="AU27" s="278">
        <f t="shared" ca="1" si="9"/>
        <v>0.1</v>
      </c>
    </row>
    <row r="28" spans="1:47" ht="13.15" thickBot="1" x14ac:dyDescent="0.4">
      <c r="B28" s="144">
        <f t="shared" si="24"/>
        <v>9</v>
      </c>
      <c r="C28" s="92">
        <f ca="1">AM28</f>
        <v>59991.372268748986</v>
      </c>
      <c r="D28" s="92">
        <f t="shared" ca="1" si="2"/>
        <v>52955.478929568257</v>
      </c>
      <c r="E28" s="92">
        <f t="shared" ca="1" si="11"/>
        <v>510151.26727709826</v>
      </c>
      <c r="F28" s="134">
        <f t="shared" ca="1" si="25"/>
        <v>222.8731231612727</v>
      </c>
      <c r="G28" s="407">
        <f t="shared" ca="1" si="4"/>
        <v>57016.575037819086</v>
      </c>
      <c r="H28" s="407">
        <f t="shared" ca="1" si="5"/>
        <v>34460.449622454296</v>
      </c>
      <c r="I28" s="276">
        <f t="shared" ca="1" si="26"/>
        <v>183.39337222408759</v>
      </c>
      <c r="J28" s="276">
        <f t="shared" ca="1" si="12"/>
        <v>-191.31803194359449</v>
      </c>
      <c r="K28" s="136">
        <f t="shared" ca="1" si="28"/>
        <v>-1132.7656660712094</v>
      </c>
      <c r="L28" s="72" t="s">
        <v>1</v>
      </c>
      <c r="M28" s="89">
        <f t="shared" ca="1" si="6"/>
        <v>22</v>
      </c>
      <c r="N28" s="89">
        <f t="shared" ca="1" si="6"/>
        <v>407.61716898791241</v>
      </c>
      <c r="O28" s="425">
        <f ca="1">INDIRECT("'"&amp; $AB$16 &amp;"'!"&amp; ADDRESS(ROW(O28),COLUMN(O28),4))</f>
        <v>18.528053135814201</v>
      </c>
      <c r="P28" s="308">
        <v>45044</v>
      </c>
      <c r="Q28" s="456">
        <f t="shared" si="13"/>
        <v>57</v>
      </c>
      <c r="R28" s="107">
        <f t="shared" si="14"/>
        <v>18.189999999999998</v>
      </c>
      <c r="S28" s="105">
        <f t="shared" si="15"/>
        <v>18.421552443545057</v>
      </c>
      <c r="T28" s="484">
        <v>0.128</v>
      </c>
      <c r="U28" s="341">
        <v>0.1099</v>
      </c>
      <c r="V28" s="341">
        <v>0.1099</v>
      </c>
      <c r="W28" s="341">
        <v>0.1099</v>
      </c>
      <c r="X28" s="281">
        <f t="shared" si="7"/>
        <v>1.9E-2</v>
      </c>
      <c r="Y28" s="282">
        <f t="shared" si="27"/>
        <v>0.1</v>
      </c>
      <c r="AA28" s="391">
        <f t="shared" ca="1" si="16"/>
        <v>457195.78834753</v>
      </c>
      <c r="AB28" s="400">
        <f t="shared" ca="1" si="8"/>
        <v>204.72168325444878</v>
      </c>
      <c r="AC28" s="258">
        <f t="shared" ca="1" si="8"/>
        <v>55973.815443953703</v>
      </c>
      <c r="AD28" s="258">
        <f t="shared" ca="1" si="8"/>
        <v>35159.954139504676</v>
      </c>
      <c r="AE28" s="402">
        <f t="shared" ca="1" si="8"/>
        <v>173.55962830051726</v>
      </c>
      <c r="AF28" s="402">
        <f t="shared" ca="1" si="8"/>
        <v>-180.90613744912443</v>
      </c>
      <c r="AG28" s="404">
        <f t="shared" ca="1" si="17"/>
        <v>61534.32474793039</v>
      </c>
      <c r="AH28" s="415">
        <f t="shared" ca="1" si="18"/>
        <v>2528.4950442451973</v>
      </c>
      <c r="AI28" s="415">
        <f t="shared" ca="1" si="19"/>
        <v>-70.319908279009411</v>
      </c>
      <c r="AJ28" s="416">
        <f t="shared" ca="1" si="20"/>
        <v>-1735.596283005174</v>
      </c>
      <c r="AK28" s="416">
        <f t="shared" ca="1" si="21"/>
        <v>0</v>
      </c>
      <c r="AL28" s="417">
        <f t="shared" ca="1" si="22"/>
        <v>-2265.5313321424187</v>
      </c>
      <c r="AM28" s="269">
        <f t="shared" ca="1" si="29"/>
        <v>59991.372268748986</v>
      </c>
      <c r="AN28" s="422">
        <f t="shared" ca="1" si="23"/>
        <v>18.29</v>
      </c>
      <c r="AO28" s="423">
        <f t="shared" ca="1" si="9"/>
        <v>18.528053135814151</v>
      </c>
      <c r="AP28" s="271">
        <f t="shared" ca="1" si="9"/>
        <v>0.13</v>
      </c>
      <c r="AQ28" s="271">
        <f t="shared" ca="1" si="9"/>
        <v>0.1099</v>
      </c>
      <c r="AR28" s="271">
        <f t="shared" ca="1" si="9"/>
        <v>0.1099</v>
      </c>
      <c r="AS28" s="271">
        <f t="shared" ca="1" si="9"/>
        <v>0.1099</v>
      </c>
      <c r="AT28" s="271">
        <f t="shared" ca="1" si="9"/>
        <v>0.02</v>
      </c>
      <c r="AU28" s="278">
        <f t="shared" ca="1" si="9"/>
        <v>0.1</v>
      </c>
    </row>
    <row r="29" spans="1:47" ht="13.15" thickBot="1" x14ac:dyDescent="0.4">
      <c r="B29" s="144">
        <f>B28+1</f>
        <v>10</v>
      </c>
      <c r="C29" s="92">
        <f t="shared" ca="1" si="10"/>
        <v>-31888.90169293862</v>
      </c>
      <c r="D29" s="92">
        <f t="shared" ca="1" si="2"/>
        <v>-31889.493670552969</v>
      </c>
      <c r="E29" s="92">
        <f t="shared" ca="1" si="11"/>
        <v>-120012493.80103588</v>
      </c>
      <c r="F29" s="134">
        <f t="shared" ca="1" si="25"/>
        <v>0</v>
      </c>
      <c r="G29" s="407">
        <f t="shared" ca="1" si="4"/>
        <v>0</v>
      </c>
      <c r="H29" s="407">
        <f t="shared" ca="1" si="5"/>
        <v>0</v>
      </c>
      <c r="I29" s="276">
        <f t="shared" ca="1" si="26"/>
        <v>1874.1677114134372</v>
      </c>
      <c r="J29" s="276">
        <f t="shared" ca="1" si="12"/>
        <v>0</v>
      </c>
      <c r="K29" s="136">
        <f t="shared" ca="1" si="28"/>
        <v>-6247.3883065589516</v>
      </c>
      <c r="L29" s="72" t="s">
        <v>139</v>
      </c>
      <c r="M29" s="89">
        <f t="shared" ca="1" si="6"/>
        <v>-120</v>
      </c>
      <c r="N29" s="89">
        <f t="shared" ca="1" si="6"/>
        <v>-120.36911447331991</v>
      </c>
      <c r="O29" s="429">
        <v>1000000000000000</v>
      </c>
      <c r="P29" s="308">
        <v>45044</v>
      </c>
      <c r="Q29" s="144">
        <f t="shared" si="13"/>
        <v>57</v>
      </c>
      <c r="R29" s="107">
        <f t="shared" si="14"/>
        <v>1</v>
      </c>
      <c r="S29" s="105">
        <f t="shared" si="15"/>
        <v>1</v>
      </c>
      <c r="T29" s="341">
        <v>0</v>
      </c>
      <c r="U29" s="341">
        <v>0.11849999999999999</v>
      </c>
      <c r="V29" s="341">
        <v>0.11849999999999999</v>
      </c>
      <c r="W29" s="341">
        <v>0.11849999999999999</v>
      </c>
      <c r="X29" s="281">
        <f t="shared" si="7"/>
        <v>1.9E-2</v>
      </c>
      <c r="Y29" s="282">
        <f t="shared" si="27"/>
        <v>0.1</v>
      </c>
      <c r="AA29" s="391">
        <f t="shared" ca="1" si="16"/>
        <v>-119980604.30736533</v>
      </c>
      <c r="AB29" s="400">
        <f t="shared" ca="1" si="8"/>
        <v>0</v>
      </c>
      <c r="AC29" s="258">
        <f t="shared" ca="1" si="8"/>
        <v>0</v>
      </c>
      <c r="AD29" s="258">
        <f t="shared" ca="1" si="8"/>
        <v>0</v>
      </c>
      <c r="AE29" s="402">
        <f t="shared" ca="1" si="8"/>
        <v>1939.4125079820699</v>
      </c>
      <c r="AF29" s="402">
        <f t="shared" ca="1" si="8"/>
        <v>0</v>
      </c>
      <c r="AG29" s="404">
        <f t="shared" ca="1" si="17"/>
        <v>0</v>
      </c>
      <c r="AH29" s="415">
        <f t="shared" ca="1" si="18"/>
        <v>0</v>
      </c>
      <c r="AI29" s="415">
        <f t="shared" ca="1" si="19"/>
        <v>0</v>
      </c>
      <c r="AJ29" s="416">
        <f t="shared" ca="1" si="20"/>
        <v>-19394.125079820715</v>
      </c>
      <c r="AK29" s="416">
        <f t="shared" ca="1" si="21"/>
        <v>0</v>
      </c>
      <c r="AL29" s="417">
        <f t="shared" ca="1" si="22"/>
        <v>-12494.776613117903</v>
      </c>
      <c r="AM29" s="269">
        <f t="shared" ca="1" si="29"/>
        <v>-31888.90169293862</v>
      </c>
      <c r="AN29" s="422">
        <f t="shared" ca="1" si="23"/>
        <v>1</v>
      </c>
      <c r="AO29" s="423">
        <f t="shared" ca="1" si="9"/>
        <v>1</v>
      </c>
      <c r="AP29" s="271">
        <f t="shared" ca="1" si="9"/>
        <v>0</v>
      </c>
      <c r="AQ29" s="271">
        <f t="shared" ca="1" si="9"/>
        <v>0.11849999999999999</v>
      </c>
      <c r="AR29" s="271">
        <f t="shared" ca="1" si="9"/>
        <v>0.11849999999999999</v>
      </c>
      <c r="AS29" s="271">
        <f t="shared" ca="1" si="9"/>
        <v>0.11849999999999999</v>
      </c>
      <c r="AT29" s="271">
        <f t="shared" ca="1" si="9"/>
        <v>0.02</v>
      </c>
      <c r="AU29" s="278">
        <f t="shared" ca="1" si="9"/>
        <v>0.1</v>
      </c>
    </row>
    <row r="30" spans="1:47" ht="13.15" thickBot="1" x14ac:dyDescent="0.4">
      <c r="B30" s="144">
        <f t="shared" ref="B30:B93" si="30">B29+1</f>
        <v>11</v>
      </c>
      <c r="C30" s="92">
        <f t="shared" ca="1" si="10"/>
        <v>723879.02182329178</v>
      </c>
      <c r="D30" s="92">
        <f t="shared" ca="1" si="2"/>
        <v>723851.91321507096</v>
      </c>
      <c r="E30" s="92">
        <f t="shared" ca="1" si="11"/>
        <v>120395803.79948951</v>
      </c>
      <c r="F30" s="134">
        <f ca="1">N30*BSDelta(L30,1/S30,1/O30,Q30,X30,Y30,T30)</f>
        <v>2189.9996711127546</v>
      </c>
      <c r="G30" s="407">
        <f t="shared" ca="1" si="4"/>
        <v>0</v>
      </c>
      <c r="H30" s="407">
        <f t="shared" ca="1" si="5"/>
        <v>0</v>
      </c>
      <c r="I30" s="276">
        <f t="shared" ca="1" si="26"/>
        <v>0</v>
      </c>
      <c r="J30" s="276">
        <f t="shared" ca="1" si="12"/>
        <v>-1880.138967809301</v>
      </c>
      <c r="K30" s="136">
        <f t="shared" ca="1" si="28"/>
        <v>32989.670652496847</v>
      </c>
      <c r="L30" s="72" t="str">
        <f t="shared" ca="1" si="6"/>
        <v>F</v>
      </c>
      <c r="M30" s="89">
        <f t="shared" ca="1" si="6"/>
        <v>2188.7999999999997</v>
      </c>
      <c r="N30" s="89">
        <f ca="1">INDIRECT("'"&amp; $AB$16 &amp;"'!"&amp; ADDRESS(ROW(N30),COLUMN(N30),4))</f>
        <v>2224.4681025532291</v>
      </c>
      <c r="O30" s="429">
        <v>1000000000000000</v>
      </c>
      <c r="P30" s="308">
        <v>45044</v>
      </c>
      <c r="Q30" s="73">
        <f t="shared" si="13"/>
        <v>57</v>
      </c>
      <c r="R30" s="107">
        <f t="shared" ca="1" si="14"/>
        <v>18.189999999999998</v>
      </c>
      <c r="S30" s="105">
        <f t="shared" ca="1" si="15"/>
        <v>18.421552443545057</v>
      </c>
      <c r="T30" s="341">
        <v>0</v>
      </c>
      <c r="U30" s="341">
        <v>0.11849999999999999</v>
      </c>
      <c r="V30" s="341">
        <v>0.11849999999999999</v>
      </c>
      <c r="W30" s="341">
        <v>0.11849999999999999</v>
      </c>
      <c r="X30" s="281">
        <f t="shared" si="7"/>
        <v>1.9E-2</v>
      </c>
      <c r="Y30" s="282">
        <f t="shared" si="27"/>
        <v>0.1</v>
      </c>
      <c r="AA30" s="391">
        <f t="shared" ca="1" si="16"/>
        <v>119671951.88627444</v>
      </c>
      <c r="AB30" s="400">
        <f t="shared" ca="1" si="8"/>
        <v>2188.8000000000002</v>
      </c>
      <c r="AC30" s="258">
        <f t="shared" ca="1" si="8"/>
        <v>0</v>
      </c>
      <c r="AD30" s="258">
        <f t="shared" ca="1" si="8"/>
        <v>0</v>
      </c>
      <c r="AE30" s="402">
        <f t="shared" ca="1" si="8"/>
        <v>0</v>
      </c>
      <c r="AF30" s="402">
        <f t="shared" ca="1" si="8"/>
        <v>-1934.4076975800433</v>
      </c>
      <c r="AG30" s="404">
        <f t="shared" ca="1" si="17"/>
        <v>657899.68051829806</v>
      </c>
      <c r="AH30" s="415">
        <f t="shared" ca="1" si="18"/>
        <v>0</v>
      </c>
      <c r="AI30" s="415">
        <f t="shared" ca="1" si="19"/>
        <v>0</v>
      </c>
      <c r="AJ30" s="416">
        <f t="shared" ca="1" si="20"/>
        <v>0</v>
      </c>
      <c r="AK30" s="416">
        <f t="shared" ca="1" si="21"/>
        <v>0</v>
      </c>
      <c r="AL30" s="417">
        <f t="shared" ca="1" si="22"/>
        <v>65979.341304993693</v>
      </c>
      <c r="AM30" s="269">
        <f t="shared" ca="1" si="29"/>
        <v>723879.02182329178</v>
      </c>
      <c r="AN30" s="422">
        <f t="shared" ca="1" si="23"/>
        <v>18.29</v>
      </c>
      <c r="AO30" s="423">
        <f t="shared" ca="1" si="9"/>
        <v>18.528053135814151</v>
      </c>
      <c r="AP30" s="271">
        <f t="shared" ca="1" si="9"/>
        <v>0</v>
      </c>
      <c r="AQ30" s="271">
        <f t="shared" ca="1" si="9"/>
        <v>0.11849999999999999</v>
      </c>
      <c r="AR30" s="271">
        <f t="shared" ca="1" si="9"/>
        <v>0.11849999999999999</v>
      </c>
      <c r="AS30" s="271">
        <f t="shared" ca="1" si="9"/>
        <v>0.11849999999999999</v>
      </c>
      <c r="AT30" s="271">
        <f t="shared" ca="1" si="9"/>
        <v>0.02</v>
      </c>
      <c r="AU30" s="278">
        <f t="shared" ca="1" si="9"/>
        <v>0.1</v>
      </c>
    </row>
    <row r="31" spans="1:47" ht="13.15" thickBot="1" x14ac:dyDescent="0.4">
      <c r="B31" s="144">
        <f t="shared" si="30"/>
        <v>12</v>
      </c>
      <c r="C31" s="92">
        <f ca="1">AM31</f>
        <v>-704978.00467885903</v>
      </c>
      <c r="D31" s="92">
        <f t="shared" ca="1" si="2"/>
        <v>-704949.61850213713</v>
      </c>
      <c r="E31" s="92">
        <f t="shared" ca="1" si="11"/>
        <v>-36265.362177188013</v>
      </c>
      <c r="F31" s="134">
        <f t="shared" ca="1" si="25"/>
        <v>-2231.4009532763689</v>
      </c>
      <c r="G31" s="467">
        <f t="shared" ca="1" si="4"/>
        <v>0</v>
      </c>
      <c r="H31" s="467">
        <f t="shared" ca="1" si="5"/>
        <v>0</v>
      </c>
      <c r="I31" s="442">
        <f t="shared" ca="1" si="26"/>
        <v>-1915.116095608189</v>
      </c>
      <c r="J31" s="276">
        <f t="shared" ca="1" si="12"/>
        <v>1915.6824269855949</v>
      </c>
      <c r="K31" s="136">
        <f t="shared" ca="1" si="28"/>
        <v>-27229.394089585629</v>
      </c>
      <c r="L31" s="72" t="str">
        <f t="shared" ca="1" si="6"/>
        <v>F</v>
      </c>
      <c r="M31" s="445">
        <f t="shared" ca="1" si="6"/>
        <v>-123</v>
      </c>
      <c r="N31" s="314">
        <f t="shared" ca="1" si="6"/>
        <v>-2266.5209999999997</v>
      </c>
      <c r="O31" s="487">
        <f ca="1">INDIRECT("'"&amp; $AB$16 &amp;"'!"&amp; ADDRESS(ROW(O31),COLUMN(O31),4))</f>
        <v>18.427</v>
      </c>
      <c r="P31" s="448">
        <v>45044</v>
      </c>
      <c r="Q31" s="449">
        <f t="shared" si="13"/>
        <v>57</v>
      </c>
      <c r="R31" s="450">
        <f t="shared" ca="1" si="14"/>
        <v>18.189999999999998</v>
      </c>
      <c r="S31" s="451">
        <f t="shared" ca="1" si="15"/>
        <v>18.421552443545057</v>
      </c>
      <c r="T31" s="452">
        <v>0</v>
      </c>
      <c r="U31" s="452">
        <v>0.11849999999999999</v>
      </c>
      <c r="V31" s="452">
        <v>0.11849999999999999</v>
      </c>
      <c r="W31" s="452">
        <v>0.11849999999999999</v>
      </c>
      <c r="X31" s="454">
        <f>$I$10</f>
        <v>1.9E-2</v>
      </c>
      <c r="Y31" s="466">
        <f t="shared" si="27"/>
        <v>0.1</v>
      </c>
      <c r="AA31" s="391">
        <f t="shared" ca="1" si="16"/>
        <v>668684.25632494909</v>
      </c>
      <c r="AB31" s="400">
        <f t="shared" ca="1" si="8"/>
        <v>-2230.1786027436592</v>
      </c>
      <c r="AC31" s="258">
        <f t="shared" ca="1" si="8"/>
        <v>0</v>
      </c>
      <c r="AD31" s="258">
        <f t="shared" ca="1" si="8"/>
        <v>0</v>
      </c>
      <c r="AE31" s="402">
        <f t="shared" ca="1" si="8"/>
        <v>-1981.7858721345519</v>
      </c>
      <c r="AF31" s="402">
        <f t="shared" ca="1" si="8"/>
        <v>1970.9770906904782</v>
      </c>
      <c r="AG31" s="404">
        <f t="shared" ca="1" si="17"/>
        <v>-670337.0752210333</v>
      </c>
      <c r="AH31" s="415">
        <f t="shared" ca="1" si="18"/>
        <v>0</v>
      </c>
      <c r="AI31" s="415">
        <f t="shared" ca="1" si="19"/>
        <v>0</v>
      </c>
      <c r="AJ31" s="416">
        <f t="shared" ca="1" si="20"/>
        <v>19817.858721345536</v>
      </c>
      <c r="AK31" s="416">
        <f t="shared" ca="1" si="21"/>
        <v>0</v>
      </c>
      <c r="AL31" s="417">
        <f t="shared" ca="1" si="22"/>
        <v>-54458.788179171257</v>
      </c>
      <c r="AM31" s="269">
        <f t="shared" ca="1" si="29"/>
        <v>-704978.00467885903</v>
      </c>
      <c r="AN31" s="422">
        <f t="shared" ca="1" si="23"/>
        <v>18.29</v>
      </c>
      <c r="AO31" s="423">
        <f t="shared" ca="1" si="9"/>
        <v>18.528053135814151</v>
      </c>
      <c r="AP31" s="271">
        <f t="shared" ca="1" si="9"/>
        <v>0</v>
      </c>
      <c r="AQ31" s="271">
        <f t="shared" ca="1" si="9"/>
        <v>0.11849999999999999</v>
      </c>
      <c r="AR31" s="271">
        <f t="shared" ca="1" si="9"/>
        <v>0.11849999999999999</v>
      </c>
      <c r="AS31" s="271">
        <f t="shared" ca="1" si="9"/>
        <v>0.11849999999999999</v>
      </c>
      <c r="AT31" s="271">
        <f t="shared" ca="1" si="9"/>
        <v>0.02</v>
      </c>
      <c r="AU31" s="278">
        <f t="shared" ca="1" si="9"/>
        <v>0.1</v>
      </c>
    </row>
    <row r="32" spans="1:47" ht="13.15" thickBot="1" x14ac:dyDescent="0.4">
      <c r="A32" s="504"/>
      <c r="B32" s="505">
        <f t="shared" si="30"/>
        <v>13</v>
      </c>
      <c r="C32" s="458">
        <f t="shared" ca="1" si="10"/>
        <v>0</v>
      </c>
      <c r="D32" s="458">
        <f t="shared" ca="1" si="2"/>
        <v>-30000000</v>
      </c>
      <c r="E32" s="458">
        <f t="shared" si="11"/>
        <v>-30000000</v>
      </c>
      <c r="F32" s="490">
        <f t="shared" si="25"/>
        <v>0</v>
      </c>
      <c r="G32" s="407">
        <f t="shared" si="4"/>
        <v>0</v>
      </c>
      <c r="H32" s="407">
        <f t="shared" si="5"/>
        <v>0</v>
      </c>
      <c r="I32" s="276">
        <f t="shared" si="26"/>
        <v>3008.2191780821922</v>
      </c>
      <c r="J32" s="491">
        <f t="shared" si="12"/>
        <v>0</v>
      </c>
      <c r="K32" s="462">
        <f t="shared" si="28"/>
        <v>-1561.6844818458037</v>
      </c>
      <c r="L32" s="492" t="s">
        <v>139</v>
      </c>
      <c r="M32" s="464">
        <v>-30</v>
      </c>
      <c r="N32" s="89">
        <f>M32*EXP(I10*Q32/365)</f>
        <v>-30.577041098687069</v>
      </c>
      <c r="O32" s="493">
        <v>1000000000000000</v>
      </c>
      <c r="P32" s="308">
        <v>45353</v>
      </c>
      <c r="Q32" s="73">
        <f>(P32-$H$2)</f>
        <v>366</v>
      </c>
      <c r="R32" s="107">
        <f t="shared" si="14"/>
        <v>1</v>
      </c>
      <c r="S32" s="105">
        <f t="shared" si="15"/>
        <v>1</v>
      </c>
      <c r="T32" s="341">
        <v>0</v>
      </c>
      <c r="U32" s="341">
        <v>0.11849999999999999</v>
      </c>
      <c r="V32" s="341">
        <v>0.11849999999999999</v>
      </c>
      <c r="W32" s="341">
        <v>0.11849999999999999</v>
      </c>
      <c r="X32" s="281">
        <f>$I$10</f>
        <v>1.9E-2</v>
      </c>
      <c r="Y32" s="282">
        <f t="shared" si="27"/>
        <v>0.1</v>
      </c>
      <c r="AA32" s="391">
        <f t="shared" ca="1" si="16"/>
        <v>0</v>
      </c>
      <c r="AB32" s="400">
        <f t="shared" ca="1" si="8"/>
        <v>0</v>
      </c>
      <c r="AC32" s="258">
        <f t="shared" ca="1" si="8"/>
        <v>0</v>
      </c>
      <c r="AD32" s="258">
        <f t="shared" ca="1" si="8"/>
        <v>0</v>
      </c>
      <c r="AE32" s="402">
        <f t="shared" ca="1" si="8"/>
        <v>0</v>
      </c>
      <c r="AF32" s="402">
        <f t="shared" ca="1" si="8"/>
        <v>0</v>
      </c>
      <c r="AG32" s="404">
        <f t="shared" ca="1" si="17"/>
        <v>0</v>
      </c>
      <c r="AH32" s="415">
        <f t="shared" ca="1" si="18"/>
        <v>0</v>
      </c>
      <c r="AI32" s="415">
        <f t="shared" ca="1" si="19"/>
        <v>0</v>
      </c>
      <c r="AJ32" s="416">
        <f t="shared" ca="1" si="20"/>
        <v>0</v>
      </c>
      <c r="AK32" s="416">
        <f t="shared" ca="1" si="21"/>
        <v>0</v>
      </c>
      <c r="AL32" s="417">
        <v>0</v>
      </c>
      <c r="AM32" s="269">
        <f t="shared" ca="1" si="29"/>
        <v>0</v>
      </c>
      <c r="AN32" s="422">
        <f t="shared" ca="1" si="23"/>
        <v>18.29</v>
      </c>
      <c r="AO32" s="423">
        <f t="shared" ca="1" si="9"/>
        <v>25727391.2880999</v>
      </c>
      <c r="AP32" s="271">
        <f t="shared" ca="1" si="9"/>
        <v>0</v>
      </c>
      <c r="AQ32" s="271">
        <f t="shared" ca="1" si="9"/>
        <v>0.11849999999999999</v>
      </c>
      <c r="AR32" s="271">
        <f t="shared" ca="1" si="9"/>
        <v>0.11849999999999999</v>
      </c>
      <c r="AS32" s="271">
        <f t="shared" ca="1" si="9"/>
        <v>0.11849999999999999</v>
      </c>
      <c r="AT32" s="271">
        <f t="shared" ca="1" si="9"/>
        <v>0.02</v>
      </c>
      <c r="AU32" s="278">
        <f t="shared" ca="1" si="9"/>
        <v>0.1</v>
      </c>
    </row>
    <row r="33" spans="1:47" ht="13.15" thickBot="1" x14ac:dyDescent="0.4">
      <c r="B33" s="144">
        <f t="shared" si="30"/>
        <v>14</v>
      </c>
      <c r="C33" s="136">
        <f t="shared" ca="1" si="10"/>
        <v>0</v>
      </c>
      <c r="D33" s="92">
        <f t="shared" ca="1" si="2"/>
        <v>29835074.216601945</v>
      </c>
      <c r="E33" s="92">
        <f t="shared" ca="1" si="11"/>
        <v>29835074.216601945</v>
      </c>
      <c r="F33" s="134">
        <f t="shared" ca="1" si="25"/>
        <v>542.70000000000016</v>
      </c>
      <c r="G33" s="407">
        <f t="shared" ca="1" si="4"/>
        <v>0</v>
      </c>
      <c r="H33" s="407">
        <f t="shared" ca="1" si="5"/>
        <v>0</v>
      </c>
      <c r="I33" s="276">
        <f t="shared" ca="1" si="26"/>
        <v>4.1629241860204496E-9</v>
      </c>
      <c r="J33" s="276">
        <f t="shared" ca="1" si="12"/>
        <v>-2991.5314257206651</v>
      </c>
      <c r="K33" s="136">
        <f t="shared" ca="1" si="28"/>
        <v>8175.1127633762962</v>
      </c>
      <c r="L33" s="72" t="str">
        <f t="shared" ca="1" si="6"/>
        <v>F</v>
      </c>
      <c r="M33" s="89">
        <f>-M32*G6</f>
        <v>542.70000000000005</v>
      </c>
      <c r="N33" s="89">
        <f>M33*EXP(I11*Q33/365)</f>
        <v>599.94060201386628</v>
      </c>
      <c r="O33" s="493">
        <v>1000000000000000</v>
      </c>
      <c r="P33" s="308">
        <v>45353</v>
      </c>
      <c r="Q33" s="73">
        <f t="shared" si="13"/>
        <v>366</v>
      </c>
      <c r="R33" s="107">
        <f t="shared" ca="1" si="14"/>
        <v>18.189999999999998</v>
      </c>
      <c r="S33" s="105">
        <f t="shared" ca="1" si="15"/>
        <v>19.729084357940014</v>
      </c>
      <c r="T33" s="341">
        <v>0</v>
      </c>
      <c r="U33" s="341">
        <v>0.11849999999999999</v>
      </c>
      <c r="V33" s="341">
        <v>0.11849999999999999</v>
      </c>
      <c r="W33" s="341">
        <v>0.11849999999999999</v>
      </c>
      <c r="X33" s="281">
        <f t="shared" ref="X33:X36" si="31">$I$10</f>
        <v>1.9E-2</v>
      </c>
      <c r="Y33" s="282">
        <f t="shared" si="27"/>
        <v>0.1</v>
      </c>
      <c r="AA33" s="391">
        <f t="shared" ca="1" si="16"/>
        <v>0</v>
      </c>
      <c r="AB33" s="400">
        <f t="shared" ca="1" si="8"/>
        <v>0</v>
      </c>
      <c r="AC33" s="258">
        <f t="shared" ca="1" si="8"/>
        <v>0</v>
      </c>
      <c r="AD33" s="258">
        <f t="shared" ca="1" si="8"/>
        <v>0</v>
      </c>
      <c r="AE33" s="402">
        <f t="shared" ca="1" si="8"/>
        <v>0</v>
      </c>
      <c r="AF33" s="402">
        <f t="shared" ca="1" si="8"/>
        <v>0</v>
      </c>
      <c r="AG33" s="404">
        <f t="shared" ca="1" si="17"/>
        <v>0</v>
      </c>
      <c r="AH33" s="415">
        <f t="shared" ca="1" si="18"/>
        <v>0</v>
      </c>
      <c r="AI33" s="415">
        <f t="shared" ca="1" si="19"/>
        <v>0</v>
      </c>
      <c r="AJ33" s="416">
        <f t="shared" ca="1" si="20"/>
        <v>0</v>
      </c>
      <c r="AK33" s="416">
        <f t="shared" ca="1" si="21"/>
        <v>0</v>
      </c>
      <c r="AL33" s="417">
        <v>0</v>
      </c>
      <c r="AM33" s="269">
        <f t="shared" ca="1" si="29"/>
        <v>0</v>
      </c>
      <c r="AN33" s="422">
        <f t="shared" ca="1" si="23"/>
        <v>18.29</v>
      </c>
      <c r="AO33" s="423">
        <f t="shared" ca="1" si="9"/>
        <v>25727391.2880999</v>
      </c>
      <c r="AP33" s="271">
        <f t="shared" ca="1" si="9"/>
        <v>0</v>
      </c>
      <c r="AQ33" s="271">
        <f t="shared" ca="1" si="9"/>
        <v>0.11849999999999999</v>
      </c>
      <c r="AR33" s="271">
        <f t="shared" ca="1" si="9"/>
        <v>0.11849999999999999</v>
      </c>
      <c r="AS33" s="271">
        <f t="shared" ca="1" si="9"/>
        <v>0.11849999999999999</v>
      </c>
      <c r="AT33" s="271">
        <f t="shared" ca="1" si="9"/>
        <v>0.02</v>
      </c>
      <c r="AU33" s="278">
        <f t="shared" ca="1" si="9"/>
        <v>0.1</v>
      </c>
    </row>
    <row r="34" spans="1:47" ht="13.15" thickBot="1" x14ac:dyDescent="0.4">
      <c r="A34" s="504"/>
      <c r="B34" s="73">
        <f t="shared" si="30"/>
        <v>15</v>
      </c>
      <c r="C34" s="92">
        <f t="shared" ca="1" si="10"/>
        <v>0</v>
      </c>
      <c r="D34" s="92">
        <f t="shared" ca="1" si="2"/>
        <v>3334738.2415481322</v>
      </c>
      <c r="E34" s="92">
        <f t="shared" si="11"/>
        <v>3334738.2415481322</v>
      </c>
      <c r="F34" s="134">
        <f t="shared" si="25"/>
        <v>-558.61243342023931</v>
      </c>
      <c r="G34" s="407">
        <f t="shared" si="4"/>
        <v>66032.161635529948</v>
      </c>
      <c r="H34" s="407">
        <f t="shared" si="5"/>
        <v>258104.7596847344</v>
      </c>
      <c r="I34" s="276">
        <f t="shared" si="26"/>
        <v>-3412.6131382443295</v>
      </c>
      <c r="J34" s="276">
        <f t="shared" si="12"/>
        <v>3080.248977638601</v>
      </c>
      <c r="K34" s="136">
        <f t="shared" si="28"/>
        <v>-11190.850443887592</v>
      </c>
      <c r="L34" s="72" t="s">
        <v>8</v>
      </c>
      <c r="M34" s="89">
        <v>66</v>
      </c>
      <c r="N34" s="89">
        <f>M34*O34</f>
        <v>1302.11956762404</v>
      </c>
      <c r="O34" s="425">
        <v>19.72908435794</v>
      </c>
      <c r="P34" s="308">
        <v>45353</v>
      </c>
      <c r="Q34" s="73">
        <f t="shared" si="13"/>
        <v>366</v>
      </c>
      <c r="R34" s="107">
        <f t="shared" si="14"/>
        <v>18.189999999999998</v>
      </c>
      <c r="S34" s="105">
        <f t="shared" si="15"/>
        <v>19.729084357940014</v>
      </c>
      <c r="T34" s="484">
        <v>0.129</v>
      </c>
      <c r="U34" s="341">
        <v>0.11849999999999999</v>
      </c>
      <c r="V34" s="341">
        <v>0.11849999999999999</v>
      </c>
      <c r="W34" s="341">
        <v>0.11849999999999999</v>
      </c>
      <c r="X34" s="281">
        <f t="shared" si="31"/>
        <v>1.9E-2</v>
      </c>
      <c r="Y34" s="282">
        <f t="shared" si="27"/>
        <v>0.1</v>
      </c>
      <c r="AA34" s="391">
        <f t="shared" ca="1" si="16"/>
        <v>0</v>
      </c>
      <c r="AB34" s="400">
        <f t="shared" ca="1" si="8"/>
        <v>0</v>
      </c>
      <c r="AC34" s="258">
        <f t="shared" ca="1" si="8"/>
        <v>0</v>
      </c>
      <c r="AD34" s="258">
        <f t="shared" ca="1" si="8"/>
        <v>0</v>
      </c>
      <c r="AE34" s="402">
        <f t="shared" ca="1" si="8"/>
        <v>0</v>
      </c>
      <c r="AF34" s="402">
        <f t="shared" ca="1" si="8"/>
        <v>0</v>
      </c>
      <c r="AG34" s="404">
        <f t="shared" ca="1" si="17"/>
        <v>0</v>
      </c>
      <c r="AH34" s="415">
        <f t="shared" ca="1" si="18"/>
        <v>0</v>
      </c>
      <c r="AI34" s="415">
        <f t="shared" ca="1" si="19"/>
        <v>0</v>
      </c>
      <c r="AJ34" s="416">
        <f t="shared" ca="1" si="20"/>
        <v>0</v>
      </c>
      <c r="AK34" s="416">
        <f t="shared" ca="1" si="21"/>
        <v>0</v>
      </c>
      <c r="AL34" s="417">
        <v>0</v>
      </c>
      <c r="AM34" s="269">
        <f t="shared" ca="1" si="29"/>
        <v>0</v>
      </c>
      <c r="AN34" s="422">
        <f t="shared" ca="1" si="23"/>
        <v>18.29</v>
      </c>
      <c r="AO34" s="423">
        <f t="shared" ca="1" si="9"/>
        <v>25727391.2880999</v>
      </c>
      <c r="AP34" s="271">
        <f t="shared" ca="1" si="9"/>
        <v>0</v>
      </c>
      <c r="AQ34" s="271">
        <f t="shared" ca="1" si="9"/>
        <v>0.11849999999999999</v>
      </c>
      <c r="AR34" s="271">
        <f t="shared" ca="1" si="9"/>
        <v>0.11849999999999999</v>
      </c>
      <c r="AS34" s="271">
        <f t="shared" ca="1" si="9"/>
        <v>0.11849999999999999</v>
      </c>
      <c r="AT34" s="271">
        <f t="shared" ca="1" si="9"/>
        <v>0.02</v>
      </c>
      <c r="AU34" s="278">
        <f t="shared" ca="1" si="9"/>
        <v>0.1</v>
      </c>
    </row>
    <row r="35" spans="1:47" ht="13.15" thickBot="1" x14ac:dyDescent="0.4">
      <c r="B35" s="506">
        <f t="shared" si="30"/>
        <v>16</v>
      </c>
      <c r="C35" s="92">
        <f t="shared" ca="1" si="10"/>
        <v>0</v>
      </c>
      <c r="D35" s="92">
        <f t="shared" ca="1" si="2"/>
        <v>30000000</v>
      </c>
      <c r="E35" s="92">
        <f t="shared" si="11"/>
        <v>30000000</v>
      </c>
      <c r="F35" s="134">
        <f t="shared" si="25"/>
        <v>0</v>
      </c>
      <c r="G35" s="407">
        <f t="shared" si="4"/>
        <v>0</v>
      </c>
      <c r="H35" s="407">
        <f t="shared" si="5"/>
        <v>0</v>
      </c>
      <c r="I35" s="276">
        <f t="shared" si="26"/>
        <v>-3008.2191780821922</v>
      </c>
      <c r="J35" s="276">
        <f t="shared" si="12"/>
        <v>0</v>
      </c>
      <c r="K35" s="136">
        <f t="shared" si="28"/>
        <v>1561.6844818458037</v>
      </c>
      <c r="L35" s="72" t="s">
        <v>139</v>
      </c>
      <c r="M35" s="89">
        <f>30</f>
        <v>30</v>
      </c>
      <c r="N35" s="89">
        <f>M35*EXP(I10*Q35/365)</f>
        <v>30.577041098687069</v>
      </c>
      <c r="O35" s="493">
        <v>1000000000000000</v>
      </c>
      <c r="P35" s="308">
        <v>45353</v>
      </c>
      <c r="Q35" s="73">
        <f t="shared" si="13"/>
        <v>366</v>
      </c>
      <c r="R35" s="107">
        <f t="shared" si="14"/>
        <v>1</v>
      </c>
      <c r="S35" s="105">
        <f t="shared" si="15"/>
        <v>1</v>
      </c>
      <c r="T35" s="341">
        <v>0</v>
      </c>
      <c r="U35" s="341">
        <v>0.11849999999999999</v>
      </c>
      <c r="V35" s="341">
        <v>0.11849999999999999</v>
      </c>
      <c r="W35" s="341">
        <v>0.11849999999999999</v>
      </c>
      <c r="X35" s="281">
        <f t="shared" si="31"/>
        <v>1.9E-2</v>
      </c>
      <c r="Y35" s="282">
        <f t="shared" si="27"/>
        <v>0.1</v>
      </c>
      <c r="AA35" s="391">
        <f t="shared" ca="1" si="16"/>
        <v>0</v>
      </c>
      <c r="AB35" s="400">
        <f t="shared" ca="1" si="8"/>
        <v>0</v>
      </c>
      <c r="AC35" s="258">
        <f t="shared" ca="1" si="8"/>
        <v>0</v>
      </c>
      <c r="AD35" s="258">
        <f t="shared" ca="1" si="8"/>
        <v>0</v>
      </c>
      <c r="AE35" s="402">
        <f t="shared" ca="1" si="8"/>
        <v>0</v>
      </c>
      <c r="AF35" s="402">
        <f t="shared" ca="1" si="8"/>
        <v>0</v>
      </c>
      <c r="AG35" s="404">
        <f t="shared" ca="1" si="17"/>
        <v>0</v>
      </c>
      <c r="AH35" s="415">
        <f t="shared" ca="1" si="18"/>
        <v>0</v>
      </c>
      <c r="AI35" s="415">
        <f t="shared" ca="1" si="19"/>
        <v>0</v>
      </c>
      <c r="AJ35" s="416">
        <f t="shared" ca="1" si="20"/>
        <v>0</v>
      </c>
      <c r="AK35" s="416">
        <f t="shared" ca="1" si="21"/>
        <v>0</v>
      </c>
      <c r="AL35" s="417">
        <v>0</v>
      </c>
      <c r="AM35" s="269">
        <f t="shared" ca="1" si="29"/>
        <v>0</v>
      </c>
      <c r="AN35" s="422">
        <f t="shared" ca="1" si="23"/>
        <v>18.29</v>
      </c>
      <c r="AO35" s="423">
        <f t="shared" ca="1" si="9"/>
        <v>25727391.2880999</v>
      </c>
      <c r="AP35" s="271">
        <f t="shared" ca="1" si="9"/>
        <v>0</v>
      </c>
      <c r="AQ35" s="271">
        <f t="shared" ca="1" si="9"/>
        <v>0.11849999999999999</v>
      </c>
      <c r="AR35" s="271">
        <f t="shared" ca="1" si="9"/>
        <v>0.11849999999999999</v>
      </c>
      <c r="AS35" s="271">
        <f t="shared" ca="1" si="9"/>
        <v>0.11849999999999999</v>
      </c>
      <c r="AT35" s="271">
        <f t="shared" ca="1" si="9"/>
        <v>0.02</v>
      </c>
      <c r="AU35" s="278">
        <f t="shared" ca="1" si="9"/>
        <v>0.1</v>
      </c>
    </row>
    <row r="36" spans="1:47" ht="13.15" thickBot="1" x14ac:dyDescent="0.4">
      <c r="B36" s="506">
        <f t="shared" si="30"/>
        <v>17</v>
      </c>
      <c r="C36" s="92">
        <f t="shared" ca="1" si="10"/>
        <v>0</v>
      </c>
      <c r="D36" s="92">
        <f t="shared" ca="1" si="2"/>
        <v>-30164925.783396877</v>
      </c>
      <c r="E36" s="92">
        <f t="shared" ca="1" si="11"/>
        <v>-30164925.783396877</v>
      </c>
      <c r="F36" s="134">
        <f t="shared" ca="1" si="25"/>
        <v>-548.70000000000005</v>
      </c>
      <c r="G36" s="407">
        <f t="shared" ca="1" si="4"/>
        <v>0</v>
      </c>
      <c r="H36" s="407">
        <f t="shared" ca="1" si="5"/>
        <v>0</v>
      </c>
      <c r="I36" s="276">
        <f t="shared" ca="1" si="26"/>
        <v>-4.2089487762473193E-9</v>
      </c>
      <c r="J36" s="276">
        <f t="shared" ca="1" si="12"/>
        <v>3024.6052944406283</v>
      </c>
      <c r="K36" s="136">
        <f t="shared" ca="1" si="28"/>
        <v>-8265.4954362715562</v>
      </c>
      <c r="L36" s="72" t="str">
        <f t="shared" ref="L36:N51" ca="1" si="32">INDIRECT("'"&amp; $AB$16 &amp;"'!"&amp; ADDRESS(ROW(L36),COLUMN(L36),4))</f>
        <v>F</v>
      </c>
      <c r="M36" s="89">
        <f>-M35*H6</f>
        <v>-548.69999999999993</v>
      </c>
      <c r="N36" s="89">
        <f>M36*EXP(I11*Q36/365)</f>
        <v>-606.57344449052584</v>
      </c>
      <c r="O36" s="493">
        <v>1000000000000000</v>
      </c>
      <c r="P36" s="308">
        <v>45353</v>
      </c>
      <c r="Q36" s="73">
        <f t="shared" si="13"/>
        <v>366</v>
      </c>
      <c r="R36" s="107">
        <f t="shared" ca="1" si="14"/>
        <v>18.189999999999998</v>
      </c>
      <c r="S36" s="105">
        <f t="shared" ca="1" si="15"/>
        <v>19.729084357940014</v>
      </c>
      <c r="T36" s="341">
        <v>0</v>
      </c>
      <c r="U36" s="341">
        <v>0.11849999999999999</v>
      </c>
      <c r="V36" s="341">
        <v>0.11849999999999999</v>
      </c>
      <c r="W36" s="341">
        <v>0.11849999999999999</v>
      </c>
      <c r="X36" s="281">
        <f t="shared" si="31"/>
        <v>1.9E-2</v>
      </c>
      <c r="Y36" s="282">
        <f t="shared" si="27"/>
        <v>0.1</v>
      </c>
      <c r="AA36" s="391">
        <f t="shared" ca="1" si="16"/>
        <v>0</v>
      </c>
      <c r="AB36" s="400">
        <f t="shared" ca="1" si="8"/>
        <v>0</v>
      </c>
      <c r="AC36" s="258">
        <f t="shared" ca="1" si="8"/>
        <v>0</v>
      </c>
      <c r="AD36" s="258">
        <f t="shared" ca="1" si="8"/>
        <v>0</v>
      </c>
      <c r="AE36" s="402">
        <f t="shared" ca="1" si="8"/>
        <v>0</v>
      </c>
      <c r="AF36" s="402">
        <f t="shared" ca="1" si="8"/>
        <v>0</v>
      </c>
      <c r="AG36" s="404">
        <f t="shared" ca="1" si="17"/>
        <v>0</v>
      </c>
      <c r="AH36" s="415">
        <f t="shared" ca="1" si="18"/>
        <v>0</v>
      </c>
      <c r="AI36" s="415">
        <f t="shared" ca="1" si="19"/>
        <v>0</v>
      </c>
      <c r="AJ36" s="416">
        <f t="shared" ca="1" si="20"/>
        <v>0</v>
      </c>
      <c r="AK36" s="416">
        <f t="shared" ca="1" si="21"/>
        <v>0</v>
      </c>
      <c r="AL36" s="417">
        <v>0</v>
      </c>
      <c r="AM36" s="269">
        <f t="shared" ca="1" si="29"/>
        <v>0</v>
      </c>
      <c r="AN36" s="422">
        <f t="shared" ca="1" si="23"/>
        <v>18.29</v>
      </c>
      <c r="AO36" s="423">
        <f t="shared" ca="1" si="23"/>
        <v>25727391.2880999</v>
      </c>
      <c r="AP36" s="271">
        <f t="shared" ca="1" si="23"/>
        <v>0</v>
      </c>
      <c r="AQ36" s="271">
        <f t="shared" ca="1" si="23"/>
        <v>0.11849999999999999</v>
      </c>
      <c r="AR36" s="271">
        <f t="shared" ca="1" si="23"/>
        <v>0.11849999999999999</v>
      </c>
      <c r="AS36" s="271">
        <f t="shared" ca="1" si="23"/>
        <v>0.11849999999999999</v>
      </c>
      <c r="AT36" s="271">
        <f t="shared" ca="1" si="23"/>
        <v>0.02</v>
      </c>
      <c r="AU36" s="278">
        <f t="shared" ca="1" si="23"/>
        <v>0.1</v>
      </c>
    </row>
    <row r="37" spans="1:47" ht="13.15" thickBot="1" x14ac:dyDescent="0.4">
      <c r="B37" s="318">
        <f t="shared" si="30"/>
        <v>18</v>
      </c>
      <c r="C37" s="136">
        <f t="shared" ca="1" si="10"/>
        <v>0</v>
      </c>
      <c r="D37" s="92">
        <f t="shared" ca="1" si="2"/>
        <v>3183159.2305686525</v>
      </c>
      <c r="E37" s="309">
        <f t="shared" si="11"/>
        <v>3183159.2305686525</v>
      </c>
      <c r="F37" s="134">
        <f t="shared" si="25"/>
        <v>591.12262557790643</v>
      </c>
      <c r="G37" s="407">
        <f t="shared" si="4"/>
        <v>63030.699743005869</v>
      </c>
      <c r="H37" s="408">
        <f t="shared" si="5"/>
        <v>246372.72515361028</v>
      </c>
      <c r="I37" s="311">
        <f t="shared" si="26"/>
        <v>2940.2376604732121</v>
      </c>
      <c r="J37" s="311">
        <f t="shared" si="12"/>
        <v>-3257.4943592343038</v>
      </c>
      <c r="K37" s="136">
        <f t="shared" si="28"/>
        <v>3037.0407221144055</v>
      </c>
      <c r="L37" s="72" t="s">
        <v>1</v>
      </c>
      <c r="M37" s="89">
        <v>63</v>
      </c>
      <c r="N37" s="89">
        <f>M37*O37</f>
        <v>1242.9323145502208</v>
      </c>
      <c r="O37" s="470">
        <v>19.729084357940014</v>
      </c>
      <c r="P37" s="308">
        <v>45353</v>
      </c>
      <c r="Q37" s="73">
        <f t="shared" si="13"/>
        <v>366</v>
      </c>
      <c r="R37" s="303">
        <f t="shared" si="14"/>
        <v>18.189999999999998</v>
      </c>
      <c r="S37" s="304">
        <f>IF(L37="D",1,R37*EXP(-($I$10-$I$11)*Q37/365))</f>
        <v>19.729084357940014</v>
      </c>
      <c r="T37" s="503">
        <v>0.129</v>
      </c>
      <c r="U37" s="341">
        <v>0.11849999999999999</v>
      </c>
      <c r="V37" s="342">
        <v>0.11849999999999999</v>
      </c>
      <c r="W37" s="342">
        <v>0.11849999999999999</v>
      </c>
      <c r="X37" s="305">
        <f>$I$10</f>
        <v>1.9E-2</v>
      </c>
      <c r="Y37" s="306">
        <f t="shared" si="27"/>
        <v>0.1</v>
      </c>
      <c r="AA37" s="391">
        <f t="shared" ca="1" si="16"/>
        <v>0</v>
      </c>
      <c r="AB37" s="400">
        <f t="shared" ca="1" si="8"/>
        <v>0</v>
      </c>
      <c r="AC37" s="258">
        <f t="shared" ca="1" si="8"/>
        <v>0</v>
      </c>
      <c r="AD37" s="258">
        <f t="shared" ca="1" si="8"/>
        <v>0</v>
      </c>
      <c r="AE37" s="402">
        <f t="shared" ca="1" si="8"/>
        <v>0</v>
      </c>
      <c r="AF37" s="402">
        <f t="shared" ca="1" si="8"/>
        <v>0</v>
      </c>
      <c r="AG37" s="404">
        <f t="shared" ca="1" si="17"/>
        <v>0</v>
      </c>
      <c r="AH37" s="415">
        <f t="shared" ca="1" si="18"/>
        <v>0</v>
      </c>
      <c r="AI37" s="415">
        <f t="shared" ca="1" si="19"/>
        <v>0</v>
      </c>
      <c r="AJ37" s="416">
        <f t="shared" ca="1" si="20"/>
        <v>0</v>
      </c>
      <c r="AK37" s="416">
        <f t="shared" ca="1" si="21"/>
        <v>0</v>
      </c>
      <c r="AL37" s="417">
        <v>0</v>
      </c>
      <c r="AM37" s="269">
        <f t="shared" ca="1" si="29"/>
        <v>0</v>
      </c>
      <c r="AN37" s="422">
        <f t="shared" ref="AN37:AU68" ca="1" si="33">INDIRECT("'"&amp; $AB$16 &amp;"'!"&amp; ADDRESS(ROW(R37),COLUMN(R37),4))</f>
        <v>18.29</v>
      </c>
      <c r="AO37" s="423">
        <f t="shared" ca="1" si="33"/>
        <v>25727391.2880999</v>
      </c>
      <c r="AP37" s="271">
        <f t="shared" ca="1" si="33"/>
        <v>0</v>
      </c>
      <c r="AQ37" s="271">
        <f t="shared" ca="1" si="33"/>
        <v>0.11849999999999999</v>
      </c>
      <c r="AR37" s="271">
        <f t="shared" ca="1" si="33"/>
        <v>0.11849999999999999</v>
      </c>
      <c r="AS37" s="271">
        <f t="shared" ca="1" si="33"/>
        <v>0.11849999999999999</v>
      </c>
      <c r="AT37" s="271">
        <f t="shared" ca="1" si="33"/>
        <v>0.02</v>
      </c>
      <c r="AU37" s="278">
        <f t="shared" ca="1" si="33"/>
        <v>0.1</v>
      </c>
    </row>
    <row r="38" spans="1:47" ht="13.15" thickBot="1" x14ac:dyDescent="0.4">
      <c r="B38" s="18">
        <f t="shared" si="30"/>
        <v>19</v>
      </c>
      <c r="C38" s="494">
        <f t="shared" ca="1" si="10"/>
        <v>0</v>
      </c>
      <c r="D38" s="494">
        <f t="shared" ca="1" si="2"/>
        <v>0</v>
      </c>
      <c r="E38" s="84">
        <f t="shared" ca="1" si="11"/>
        <v>0</v>
      </c>
      <c r="F38" s="495">
        <f t="shared" ca="1" si="25"/>
        <v>0</v>
      </c>
      <c r="G38" s="496">
        <f t="shared" ca="1" si="4"/>
        <v>0</v>
      </c>
      <c r="H38" s="409">
        <f t="shared" ca="1" si="5"/>
        <v>0</v>
      </c>
      <c r="I38" s="275">
        <f t="shared" ca="1" si="26"/>
        <v>0</v>
      </c>
      <c r="J38" s="275">
        <f t="shared" ca="1" si="12"/>
        <v>0</v>
      </c>
      <c r="K38" s="497">
        <f t="shared" ca="1" si="28"/>
        <v>0</v>
      </c>
      <c r="L38" s="498" t="str">
        <f t="shared" ca="1" si="32"/>
        <v>F</v>
      </c>
      <c r="M38" s="499">
        <f t="shared" ca="1" si="32"/>
        <v>0</v>
      </c>
      <c r="N38" s="499">
        <f t="shared" ca="1" si="32"/>
        <v>0</v>
      </c>
      <c r="O38" s="432">
        <v>1000000000000000</v>
      </c>
      <c r="P38" s="500">
        <v>109575</v>
      </c>
      <c r="Q38" s="501">
        <f t="shared" si="13"/>
        <v>64588</v>
      </c>
      <c r="R38" s="107">
        <f t="shared" ca="1" si="14"/>
        <v>18.189999999999998</v>
      </c>
      <c r="S38" s="105">
        <f t="shared" ca="1" si="15"/>
        <v>30526306.859062586</v>
      </c>
      <c r="T38" s="341">
        <v>0</v>
      </c>
      <c r="U38" s="502">
        <v>0.11849999999999999</v>
      </c>
      <c r="V38" s="341">
        <v>0.11849999999999999</v>
      </c>
      <c r="W38" s="341">
        <v>0.11849999999999999</v>
      </c>
      <c r="X38" s="281">
        <f>$I$10</f>
        <v>1.9E-2</v>
      </c>
      <c r="Y38" s="282">
        <f t="shared" si="27"/>
        <v>0.1</v>
      </c>
      <c r="AA38" s="391">
        <f t="shared" ca="1" si="16"/>
        <v>0</v>
      </c>
      <c r="AB38" s="400">
        <f t="shared" ca="1" si="8"/>
        <v>0</v>
      </c>
      <c r="AC38" s="258">
        <f t="shared" ca="1" si="8"/>
        <v>0</v>
      </c>
      <c r="AD38" s="258">
        <f t="shared" ca="1" si="8"/>
        <v>0</v>
      </c>
      <c r="AE38" s="402">
        <f t="shared" ca="1" si="8"/>
        <v>0</v>
      </c>
      <c r="AF38" s="402">
        <f t="shared" ca="1" si="8"/>
        <v>0</v>
      </c>
      <c r="AG38" s="404">
        <f t="shared" ca="1" si="17"/>
        <v>0</v>
      </c>
      <c r="AH38" s="415">
        <f t="shared" ca="1" si="18"/>
        <v>0</v>
      </c>
      <c r="AI38" s="415">
        <f t="shared" ca="1" si="19"/>
        <v>0</v>
      </c>
      <c r="AJ38" s="416">
        <f t="shared" ca="1" si="20"/>
        <v>0</v>
      </c>
      <c r="AK38" s="416">
        <f t="shared" ca="1" si="21"/>
        <v>0</v>
      </c>
      <c r="AL38" s="417">
        <v>0</v>
      </c>
      <c r="AM38" s="269">
        <f t="shared" ca="1" si="29"/>
        <v>0</v>
      </c>
      <c r="AN38" s="422">
        <f t="shared" ca="1" si="33"/>
        <v>18.29</v>
      </c>
      <c r="AO38" s="423">
        <f t="shared" ca="1" si="33"/>
        <v>25727391.2880999</v>
      </c>
      <c r="AP38" s="271">
        <f t="shared" ca="1" si="33"/>
        <v>0</v>
      </c>
      <c r="AQ38" s="271">
        <f t="shared" ca="1" si="33"/>
        <v>0.11849999999999999</v>
      </c>
      <c r="AR38" s="271">
        <f t="shared" ca="1" si="33"/>
        <v>0.11849999999999999</v>
      </c>
      <c r="AS38" s="271">
        <f t="shared" ca="1" si="33"/>
        <v>0.11849999999999999</v>
      </c>
      <c r="AT38" s="271">
        <f t="shared" ca="1" si="33"/>
        <v>0.02</v>
      </c>
      <c r="AU38" s="278">
        <f t="shared" ca="1" si="33"/>
        <v>0.1</v>
      </c>
    </row>
    <row r="39" spans="1:47" ht="13.15" thickBot="1" x14ac:dyDescent="0.4">
      <c r="B39" s="18">
        <f t="shared" si="30"/>
        <v>20</v>
      </c>
      <c r="C39" s="85">
        <f t="shared" ca="1" si="10"/>
        <v>0</v>
      </c>
      <c r="D39" s="85">
        <f t="shared" ca="1" si="2"/>
        <v>0</v>
      </c>
      <c r="E39" s="84">
        <f t="shared" ca="1" si="11"/>
        <v>0</v>
      </c>
      <c r="F39" s="135">
        <f t="shared" ca="1" si="25"/>
        <v>0</v>
      </c>
      <c r="G39" s="409">
        <f t="shared" ca="1" si="4"/>
        <v>0</v>
      </c>
      <c r="H39" s="409">
        <f t="shared" ca="1" si="5"/>
        <v>0</v>
      </c>
      <c r="I39" s="275">
        <f t="shared" ca="1" si="26"/>
        <v>0</v>
      </c>
      <c r="J39" s="275">
        <f t="shared" ca="1" si="12"/>
        <v>0</v>
      </c>
      <c r="K39" s="137">
        <f t="shared" ca="1" si="28"/>
        <v>0</v>
      </c>
      <c r="L39" s="15" t="str">
        <f t="shared" ca="1" si="32"/>
        <v>F</v>
      </c>
      <c r="M39" s="88">
        <f t="shared" ca="1" si="32"/>
        <v>0</v>
      </c>
      <c r="N39" s="88">
        <f t="shared" ca="1" si="32"/>
        <v>0</v>
      </c>
      <c r="O39" s="432">
        <v>1000000000000000</v>
      </c>
      <c r="P39" s="69">
        <v>109575</v>
      </c>
      <c r="Q39" s="3">
        <f t="shared" si="13"/>
        <v>64588</v>
      </c>
      <c r="R39" s="107">
        <f t="shared" ca="1" si="14"/>
        <v>18.189999999999998</v>
      </c>
      <c r="S39" s="105">
        <f t="shared" ca="1" si="15"/>
        <v>30526306.859062586</v>
      </c>
      <c r="T39" s="341">
        <v>0</v>
      </c>
      <c r="U39" s="341">
        <v>0.11849999999999999</v>
      </c>
      <c r="V39" s="341">
        <v>0.11849999999999999</v>
      </c>
      <c r="W39" s="341">
        <v>0.11849999999999999</v>
      </c>
      <c r="X39" s="281">
        <f t="shared" ref="X39:X102" si="34">$I$10</f>
        <v>1.9E-2</v>
      </c>
      <c r="Y39" s="282">
        <f t="shared" si="27"/>
        <v>0.1</v>
      </c>
      <c r="AA39" s="391">
        <f t="shared" ca="1" si="16"/>
        <v>0</v>
      </c>
      <c r="AB39" s="400">
        <f t="shared" ca="1" si="8"/>
        <v>0</v>
      </c>
      <c r="AC39" s="258">
        <f t="shared" ca="1" si="8"/>
        <v>0</v>
      </c>
      <c r="AD39" s="258">
        <f t="shared" ca="1" si="8"/>
        <v>0</v>
      </c>
      <c r="AE39" s="402">
        <f t="shared" ca="1" si="8"/>
        <v>0</v>
      </c>
      <c r="AF39" s="402">
        <f t="shared" ca="1" si="8"/>
        <v>0</v>
      </c>
      <c r="AG39" s="404">
        <f t="shared" ca="1" si="17"/>
        <v>0</v>
      </c>
      <c r="AH39" s="415">
        <f t="shared" ca="1" si="18"/>
        <v>0</v>
      </c>
      <c r="AI39" s="415">
        <f t="shared" ca="1" si="19"/>
        <v>0</v>
      </c>
      <c r="AJ39" s="416">
        <f t="shared" ca="1" si="20"/>
        <v>0</v>
      </c>
      <c r="AK39" s="416">
        <f t="shared" ca="1" si="21"/>
        <v>0</v>
      </c>
      <c r="AL39" s="417">
        <v>0</v>
      </c>
      <c r="AM39" s="269">
        <f t="shared" ca="1" si="29"/>
        <v>0</v>
      </c>
      <c r="AN39" s="422">
        <f t="shared" ca="1" si="33"/>
        <v>18.29</v>
      </c>
      <c r="AO39" s="423">
        <f t="shared" ca="1" si="33"/>
        <v>25727391.2880999</v>
      </c>
      <c r="AP39" s="271">
        <f t="shared" ca="1" si="33"/>
        <v>0</v>
      </c>
      <c r="AQ39" s="271">
        <f t="shared" ca="1" si="33"/>
        <v>0.11849999999999999</v>
      </c>
      <c r="AR39" s="271">
        <f t="shared" ca="1" si="33"/>
        <v>0.11849999999999999</v>
      </c>
      <c r="AS39" s="271">
        <f t="shared" ca="1" si="33"/>
        <v>0.11849999999999999</v>
      </c>
      <c r="AT39" s="271">
        <f t="shared" ca="1" si="33"/>
        <v>0.02</v>
      </c>
      <c r="AU39" s="278">
        <f t="shared" ca="1" si="33"/>
        <v>0.1</v>
      </c>
    </row>
    <row r="40" spans="1:47" ht="13.15" thickBot="1" x14ac:dyDescent="0.4">
      <c r="B40" s="18">
        <f t="shared" si="30"/>
        <v>21</v>
      </c>
      <c r="C40" s="85">
        <f t="shared" ca="1" si="10"/>
        <v>0</v>
      </c>
      <c r="D40" s="85">
        <f t="shared" ca="1" si="2"/>
        <v>0</v>
      </c>
      <c r="E40" s="84">
        <f t="shared" ca="1" si="11"/>
        <v>0</v>
      </c>
      <c r="F40" s="135">
        <f t="shared" ca="1" si="25"/>
        <v>0</v>
      </c>
      <c r="G40" s="409">
        <f t="shared" ca="1" si="4"/>
        <v>0</v>
      </c>
      <c r="H40" s="409">
        <f t="shared" ca="1" si="5"/>
        <v>0</v>
      </c>
      <c r="I40" s="275">
        <f t="shared" ca="1" si="26"/>
        <v>0</v>
      </c>
      <c r="J40" s="275">
        <f t="shared" ca="1" si="12"/>
        <v>0</v>
      </c>
      <c r="K40" s="137">
        <f t="shared" ca="1" si="28"/>
        <v>0</v>
      </c>
      <c r="L40" s="15" t="str">
        <f t="shared" ca="1" si="32"/>
        <v>F</v>
      </c>
      <c r="M40" s="88">
        <f t="shared" ca="1" si="32"/>
        <v>0</v>
      </c>
      <c r="N40" s="88">
        <f t="shared" ca="1" si="32"/>
        <v>0</v>
      </c>
      <c r="O40" s="432">
        <v>1000000000000000</v>
      </c>
      <c r="P40" s="69">
        <v>109575</v>
      </c>
      <c r="Q40" s="3">
        <f t="shared" si="13"/>
        <v>64588</v>
      </c>
      <c r="R40" s="107">
        <f t="shared" ca="1" si="14"/>
        <v>18.189999999999998</v>
      </c>
      <c r="S40" s="105">
        <f t="shared" ca="1" si="15"/>
        <v>30526306.859062586</v>
      </c>
      <c r="T40" s="341">
        <v>0</v>
      </c>
      <c r="U40" s="341">
        <v>0.11849999999999999</v>
      </c>
      <c r="V40" s="341">
        <v>0.11849999999999999</v>
      </c>
      <c r="W40" s="341">
        <v>0.11849999999999999</v>
      </c>
      <c r="X40" s="281">
        <f t="shared" si="34"/>
        <v>1.9E-2</v>
      </c>
      <c r="Y40" s="282">
        <f t="shared" si="27"/>
        <v>0.1</v>
      </c>
      <c r="AA40" s="391">
        <f t="shared" ca="1" si="16"/>
        <v>0</v>
      </c>
      <c r="AB40" s="400">
        <f t="shared" ca="1" si="8"/>
        <v>0</v>
      </c>
      <c r="AC40" s="258">
        <f t="shared" ca="1" si="8"/>
        <v>0</v>
      </c>
      <c r="AD40" s="258">
        <f t="shared" ca="1" si="8"/>
        <v>0</v>
      </c>
      <c r="AE40" s="402">
        <f t="shared" ca="1" si="8"/>
        <v>0</v>
      </c>
      <c r="AF40" s="402">
        <f t="shared" ca="1" si="8"/>
        <v>0</v>
      </c>
      <c r="AG40" s="404">
        <f t="shared" ca="1" si="17"/>
        <v>0</v>
      </c>
      <c r="AH40" s="415">
        <f t="shared" ca="1" si="18"/>
        <v>0</v>
      </c>
      <c r="AI40" s="415">
        <f t="shared" ca="1" si="19"/>
        <v>0</v>
      </c>
      <c r="AJ40" s="416">
        <f t="shared" ca="1" si="20"/>
        <v>0</v>
      </c>
      <c r="AK40" s="416">
        <f t="shared" ca="1" si="21"/>
        <v>0</v>
      </c>
      <c r="AL40" s="417">
        <v>0</v>
      </c>
      <c r="AM40" s="269">
        <f t="shared" ca="1" si="29"/>
        <v>0</v>
      </c>
      <c r="AN40" s="422">
        <f t="shared" ca="1" si="33"/>
        <v>18.29</v>
      </c>
      <c r="AO40" s="423">
        <f t="shared" ca="1" si="33"/>
        <v>25727391.2880999</v>
      </c>
      <c r="AP40" s="271">
        <f t="shared" ca="1" si="33"/>
        <v>0</v>
      </c>
      <c r="AQ40" s="271">
        <f t="shared" ca="1" si="33"/>
        <v>0.11849999999999999</v>
      </c>
      <c r="AR40" s="271">
        <f t="shared" ca="1" si="33"/>
        <v>0.11849999999999999</v>
      </c>
      <c r="AS40" s="271">
        <f t="shared" ca="1" si="33"/>
        <v>0.11849999999999999</v>
      </c>
      <c r="AT40" s="271">
        <f t="shared" ca="1" si="33"/>
        <v>0.02</v>
      </c>
      <c r="AU40" s="278">
        <f t="shared" ca="1" si="33"/>
        <v>0.1</v>
      </c>
    </row>
    <row r="41" spans="1:47" ht="13.15" thickBot="1" x14ac:dyDescent="0.4">
      <c r="B41" s="18">
        <f t="shared" si="30"/>
        <v>22</v>
      </c>
      <c r="C41" s="85">
        <f t="shared" ca="1" si="10"/>
        <v>0</v>
      </c>
      <c r="D41" s="85">
        <f t="shared" ca="1" si="2"/>
        <v>0</v>
      </c>
      <c r="E41" s="84">
        <f t="shared" ca="1" si="11"/>
        <v>0</v>
      </c>
      <c r="F41" s="135">
        <f t="shared" ca="1" si="25"/>
        <v>0</v>
      </c>
      <c r="G41" s="409">
        <f t="shared" ca="1" si="4"/>
        <v>0</v>
      </c>
      <c r="H41" s="409">
        <f t="shared" ca="1" si="5"/>
        <v>0</v>
      </c>
      <c r="I41" s="275">
        <f t="shared" ca="1" si="26"/>
        <v>0</v>
      </c>
      <c r="J41" s="275">
        <f t="shared" ca="1" si="12"/>
        <v>0</v>
      </c>
      <c r="K41" s="137">
        <f t="shared" ca="1" si="28"/>
        <v>0</v>
      </c>
      <c r="L41" s="15" t="str">
        <f t="shared" ca="1" si="32"/>
        <v>F</v>
      </c>
      <c r="M41" s="88">
        <f t="shared" ca="1" si="32"/>
        <v>0</v>
      </c>
      <c r="N41" s="88">
        <f t="shared" ca="1" si="32"/>
        <v>0</v>
      </c>
      <c r="O41" s="432">
        <v>1000000000000000</v>
      </c>
      <c r="P41" s="69">
        <v>109575</v>
      </c>
      <c r="Q41" s="3">
        <f t="shared" si="13"/>
        <v>64588</v>
      </c>
      <c r="R41" s="107">
        <f t="shared" ca="1" si="14"/>
        <v>18.189999999999998</v>
      </c>
      <c r="S41" s="105">
        <f t="shared" ca="1" si="15"/>
        <v>30526306.859062586</v>
      </c>
      <c r="T41" s="341">
        <v>0</v>
      </c>
      <c r="U41" s="341">
        <v>0.11849999999999999</v>
      </c>
      <c r="V41" s="341">
        <v>0.11849999999999999</v>
      </c>
      <c r="W41" s="341">
        <v>0.11849999999999999</v>
      </c>
      <c r="X41" s="281">
        <f t="shared" si="34"/>
        <v>1.9E-2</v>
      </c>
      <c r="Y41" s="282">
        <f t="shared" si="27"/>
        <v>0.1</v>
      </c>
      <c r="AA41" s="391">
        <f t="shared" ca="1" si="16"/>
        <v>0</v>
      </c>
      <c r="AB41" s="400">
        <f t="shared" ca="1" si="8"/>
        <v>0</v>
      </c>
      <c r="AC41" s="258">
        <f t="shared" ca="1" si="8"/>
        <v>0</v>
      </c>
      <c r="AD41" s="258">
        <f t="shared" ca="1" si="8"/>
        <v>0</v>
      </c>
      <c r="AE41" s="402">
        <f t="shared" ca="1" si="8"/>
        <v>0</v>
      </c>
      <c r="AF41" s="402">
        <f t="shared" ca="1" si="8"/>
        <v>0</v>
      </c>
      <c r="AG41" s="404">
        <f t="shared" ca="1" si="17"/>
        <v>0</v>
      </c>
      <c r="AH41" s="415">
        <f t="shared" ca="1" si="18"/>
        <v>0</v>
      </c>
      <c r="AI41" s="415">
        <f t="shared" ca="1" si="19"/>
        <v>0</v>
      </c>
      <c r="AJ41" s="416">
        <f t="shared" ca="1" si="20"/>
        <v>0</v>
      </c>
      <c r="AK41" s="416">
        <f t="shared" ca="1" si="21"/>
        <v>0</v>
      </c>
      <c r="AL41" s="417">
        <v>0</v>
      </c>
      <c r="AM41" s="269">
        <f t="shared" ca="1" si="29"/>
        <v>0</v>
      </c>
      <c r="AN41" s="422">
        <f t="shared" ca="1" si="33"/>
        <v>18.29</v>
      </c>
      <c r="AO41" s="423">
        <f t="shared" ca="1" si="33"/>
        <v>25727391.2880999</v>
      </c>
      <c r="AP41" s="271">
        <f t="shared" ca="1" si="33"/>
        <v>0</v>
      </c>
      <c r="AQ41" s="271">
        <f t="shared" ca="1" si="33"/>
        <v>0.11849999999999999</v>
      </c>
      <c r="AR41" s="271">
        <f t="shared" ca="1" si="33"/>
        <v>0.11849999999999999</v>
      </c>
      <c r="AS41" s="271">
        <f t="shared" ca="1" si="33"/>
        <v>0.11849999999999999</v>
      </c>
      <c r="AT41" s="271">
        <f t="shared" ca="1" si="33"/>
        <v>0.02</v>
      </c>
      <c r="AU41" s="278">
        <f t="shared" ca="1" si="33"/>
        <v>0.1</v>
      </c>
    </row>
    <row r="42" spans="1:47" ht="13.15" thickBot="1" x14ac:dyDescent="0.4">
      <c r="B42" s="18">
        <f t="shared" si="30"/>
        <v>23</v>
      </c>
      <c r="C42" s="85">
        <f t="shared" ca="1" si="10"/>
        <v>0</v>
      </c>
      <c r="D42" s="85">
        <f t="shared" ca="1" si="2"/>
        <v>0</v>
      </c>
      <c r="E42" s="84">
        <f t="shared" ca="1" si="11"/>
        <v>0</v>
      </c>
      <c r="F42" s="135">
        <f t="shared" ca="1" si="25"/>
        <v>0</v>
      </c>
      <c r="G42" s="409">
        <f ca="1">BSGamma(L42,1/S42,1/O42,Q42,X42,Y42,T42)*N42</f>
        <v>0</v>
      </c>
      <c r="H42" s="409">
        <f t="shared" ca="1" si="5"/>
        <v>0</v>
      </c>
      <c r="I42" s="275">
        <f t="shared" ca="1" si="26"/>
        <v>0</v>
      </c>
      <c r="J42" s="275">
        <f t="shared" ca="1" si="12"/>
        <v>0</v>
      </c>
      <c r="K42" s="137">
        <f t="shared" ca="1" si="28"/>
        <v>0</v>
      </c>
      <c r="L42" s="15" t="str">
        <f t="shared" ca="1" si="32"/>
        <v>F</v>
      </c>
      <c r="M42" s="88">
        <f t="shared" ca="1" si="32"/>
        <v>0</v>
      </c>
      <c r="N42" s="88">
        <f t="shared" ca="1" si="32"/>
        <v>0</v>
      </c>
      <c r="O42" s="432">
        <v>1000000000000000</v>
      </c>
      <c r="P42" s="69">
        <v>109575</v>
      </c>
      <c r="Q42" s="3">
        <f t="shared" si="13"/>
        <v>64588</v>
      </c>
      <c r="R42" s="107">
        <f t="shared" ca="1" si="14"/>
        <v>18.189999999999998</v>
      </c>
      <c r="S42" s="105">
        <f t="shared" ca="1" si="15"/>
        <v>30526306.859062586</v>
      </c>
      <c r="T42" s="341">
        <v>0</v>
      </c>
      <c r="U42" s="341">
        <v>0.11849999999999999</v>
      </c>
      <c r="V42" s="341">
        <v>0.11849999999999999</v>
      </c>
      <c r="W42" s="341">
        <v>0.11849999999999999</v>
      </c>
      <c r="X42" s="281">
        <f t="shared" si="34"/>
        <v>1.9E-2</v>
      </c>
      <c r="Y42" s="282">
        <f t="shared" si="27"/>
        <v>0.1</v>
      </c>
      <c r="AA42" s="391">
        <f t="shared" ca="1" si="16"/>
        <v>0</v>
      </c>
      <c r="AB42" s="400">
        <f t="shared" ca="1" si="8"/>
        <v>0</v>
      </c>
      <c r="AC42" s="258">
        <f t="shared" ca="1" si="8"/>
        <v>0</v>
      </c>
      <c r="AD42" s="258">
        <f t="shared" ca="1" si="8"/>
        <v>0</v>
      </c>
      <c r="AE42" s="402">
        <f t="shared" ca="1" si="8"/>
        <v>0</v>
      </c>
      <c r="AF42" s="402">
        <f t="shared" ca="1" si="8"/>
        <v>0</v>
      </c>
      <c r="AG42" s="404">
        <f t="shared" ca="1" si="17"/>
        <v>0</v>
      </c>
      <c r="AH42" s="415">
        <f t="shared" ca="1" si="18"/>
        <v>0</v>
      </c>
      <c r="AI42" s="415">
        <f t="shared" ca="1" si="19"/>
        <v>0</v>
      </c>
      <c r="AJ42" s="416">
        <f t="shared" ca="1" si="20"/>
        <v>0</v>
      </c>
      <c r="AK42" s="416">
        <f t="shared" ca="1" si="21"/>
        <v>0</v>
      </c>
      <c r="AL42" s="417">
        <v>0</v>
      </c>
      <c r="AM42" s="269">
        <f t="shared" ca="1" si="29"/>
        <v>0</v>
      </c>
      <c r="AN42" s="422">
        <f t="shared" ca="1" si="33"/>
        <v>18.29</v>
      </c>
      <c r="AO42" s="423">
        <f t="shared" ca="1" si="33"/>
        <v>25727391.2880999</v>
      </c>
      <c r="AP42" s="271">
        <f t="shared" ca="1" si="33"/>
        <v>0</v>
      </c>
      <c r="AQ42" s="271">
        <f t="shared" ca="1" si="33"/>
        <v>0.11849999999999999</v>
      </c>
      <c r="AR42" s="271">
        <f t="shared" ca="1" si="33"/>
        <v>0.11849999999999999</v>
      </c>
      <c r="AS42" s="271">
        <f t="shared" ca="1" si="33"/>
        <v>0.11849999999999999</v>
      </c>
      <c r="AT42" s="271">
        <f t="shared" ca="1" si="33"/>
        <v>0.02</v>
      </c>
      <c r="AU42" s="278">
        <f t="shared" ca="1" si="33"/>
        <v>0.1</v>
      </c>
    </row>
    <row r="43" spans="1:47" ht="13.15" thickBot="1" x14ac:dyDescent="0.4">
      <c r="B43" s="18">
        <f t="shared" si="30"/>
        <v>24</v>
      </c>
      <c r="C43" s="85">
        <f t="shared" ca="1" si="10"/>
        <v>0</v>
      </c>
      <c r="D43" s="85">
        <f t="shared" ca="1" si="2"/>
        <v>0</v>
      </c>
      <c r="E43" s="84">
        <f t="shared" ca="1" si="11"/>
        <v>0</v>
      </c>
      <c r="F43" s="135">
        <f t="shared" ca="1" si="25"/>
        <v>0</v>
      </c>
      <c r="G43" s="409">
        <f t="shared" ca="1" si="4"/>
        <v>0</v>
      </c>
      <c r="H43" s="409">
        <f t="shared" ca="1" si="5"/>
        <v>0</v>
      </c>
      <c r="I43" s="275">
        <f t="shared" ca="1" si="26"/>
        <v>0</v>
      </c>
      <c r="J43" s="275">
        <f t="shared" ca="1" si="12"/>
        <v>0</v>
      </c>
      <c r="K43" s="137">
        <f t="shared" ca="1" si="28"/>
        <v>0</v>
      </c>
      <c r="L43" s="15" t="str">
        <f t="shared" ca="1" si="32"/>
        <v>F</v>
      </c>
      <c r="M43" s="88">
        <f t="shared" ca="1" si="32"/>
        <v>0</v>
      </c>
      <c r="N43" s="88">
        <f t="shared" ca="1" si="32"/>
        <v>0</v>
      </c>
      <c r="O43" s="432">
        <v>1000000000000000</v>
      </c>
      <c r="P43" s="69">
        <v>109575</v>
      </c>
      <c r="Q43" s="3">
        <f t="shared" si="13"/>
        <v>64588</v>
      </c>
      <c r="R43" s="107">
        <f t="shared" ca="1" si="14"/>
        <v>18.189999999999998</v>
      </c>
      <c r="S43" s="105">
        <f t="shared" ca="1" si="15"/>
        <v>30526306.859062586</v>
      </c>
      <c r="T43" s="341">
        <v>0</v>
      </c>
      <c r="U43" s="341">
        <v>0.11849999999999999</v>
      </c>
      <c r="V43" s="341">
        <v>0.11849999999999999</v>
      </c>
      <c r="W43" s="341">
        <v>0.11849999999999999</v>
      </c>
      <c r="X43" s="281">
        <f t="shared" si="34"/>
        <v>1.9E-2</v>
      </c>
      <c r="Y43" s="282">
        <f t="shared" si="27"/>
        <v>0.1</v>
      </c>
      <c r="AA43" s="391">
        <f t="shared" ca="1" si="16"/>
        <v>0</v>
      </c>
      <c r="AB43" s="400">
        <f t="shared" ca="1" si="8"/>
        <v>0</v>
      </c>
      <c r="AC43" s="258">
        <f t="shared" ca="1" si="8"/>
        <v>0</v>
      </c>
      <c r="AD43" s="258">
        <f t="shared" ca="1" si="8"/>
        <v>0</v>
      </c>
      <c r="AE43" s="402">
        <f t="shared" ca="1" si="8"/>
        <v>0</v>
      </c>
      <c r="AF43" s="402">
        <f t="shared" ca="1" si="8"/>
        <v>0</v>
      </c>
      <c r="AG43" s="404">
        <f t="shared" ca="1" si="17"/>
        <v>0</v>
      </c>
      <c r="AH43" s="415">
        <f t="shared" ca="1" si="18"/>
        <v>0</v>
      </c>
      <c r="AI43" s="415">
        <f t="shared" ca="1" si="19"/>
        <v>0</v>
      </c>
      <c r="AJ43" s="416">
        <f t="shared" ca="1" si="20"/>
        <v>0</v>
      </c>
      <c r="AK43" s="416">
        <f t="shared" ca="1" si="21"/>
        <v>0</v>
      </c>
      <c r="AL43" s="417">
        <v>0</v>
      </c>
      <c r="AM43" s="269">
        <f t="shared" ca="1" si="29"/>
        <v>0</v>
      </c>
      <c r="AN43" s="422">
        <f t="shared" ca="1" si="33"/>
        <v>18.29</v>
      </c>
      <c r="AO43" s="423">
        <f t="shared" ca="1" si="33"/>
        <v>25727391.2880999</v>
      </c>
      <c r="AP43" s="271">
        <f t="shared" ca="1" si="33"/>
        <v>0</v>
      </c>
      <c r="AQ43" s="271">
        <f t="shared" ca="1" si="33"/>
        <v>0.11849999999999999</v>
      </c>
      <c r="AR43" s="271">
        <f t="shared" ca="1" si="33"/>
        <v>0.11849999999999999</v>
      </c>
      <c r="AS43" s="271">
        <f t="shared" ca="1" si="33"/>
        <v>0.11849999999999999</v>
      </c>
      <c r="AT43" s="271">
        <f t="shared" ca="1" si="33"/>
        <v>0.02</v>
      </c>
      <c r="AU43" s="278">
        <f t="shared" ca="1" si="33"/>
        <v>0.1</v>
      </c>
    </row>
    <row r="44" spans="1:47" ht="13.15" thickBot="1" x14ac:dyDescent="0.4">
      <c r="B44" s="18">
        <f t="shared" si="30"/>
        <v>25</v>
      </c>
      <c r="C44" s="85">
        <f t="shared" ca="1" si="10"/>
        <v>0</v>
      </c>
      <c r="D44" s="85">
        <f t="shared" ca="1" si="2"/>
        <v>0</v>
      </c>
      <c r="E44" s="84">
        <f t="shared" ca="1" si="11"/>
        <v>0</v>
      </c>
      <c r="F44" s="135">
        <f t="shared" ca="1" si="25"/>
        <v>0</v>
      </c>
      <c r="G44" s="409">
        <f t="shared" ca="1" si="4"/>
        <v>0</v>
      </c>
      <c r="H44" s="409">
        <f t="shared" ca="1" si="5"/>
        <v>0</v>
      </c>
      <c r="I44" s="275">
        <f t="shared" ca="1" si="26"/>
        <v>0</v>
      </c>
      <c r="J44" s="275">
        <f t="shared" ca="1" si="12"/>
        <v>0</v>
      </c>
      <c r="K44" s="137">
        <f t="shared" ca="1" si="28"/>
        <v>0</v>
      </c>
      <c r="L44" s="15" t="str">
        <f t="shared" ca="1" si="32"/>
        <v>F</v>
      </c>
      <c r="M44" s="88">
        <f t="shared" ca="1" si="32"/>
        <v>0</v>
      </c>
      <c r="N44" s="88">
        <f t="shared" ca="1" si="32"/>
        <v>0</v>
      </c>
      <c r="O44" s="432">
        <v>1000000000000000</v>
      </c>
      <c r="P44" s="69">
        <v>109575</v>
      </c>
      <c r="Q44" s="3">
        <f t="shared" si="13"/>
        <v>64588</v>
      </c>
      <c r="R44" s="107">
        <f t="shared" ca="1" si="14"/>
        <v>18.189999999999998</v>
      </c>
      <c r="S44" s="105">
        <f t="shared" ca="1" si="15"/>
        <v>30526306.859062586</v>
      </c>
      <c r="T44" s="341">
        <v>0</v>
      </c>
      <c r="U44" s="341">
        <v>0.11849999999999999</v>
      </c>
      <c r="V44" s="341">
        <v>0.11849999999999999</v>
      </c>
      <c r="W44" s="341">
        <v>0.11849999999999999</v>
      </c>
      <c r="X44" s="281">
        <f t="shared" si="34"/>
        <v>1.9E-2</v>
      </c>
      <c r="Y44" s="282">
        <f t="shared" si="27"/>
        <v>0.1</v>
      </c>
      <c r="AA44" s="391">
        <f t="shared" ca="1" si="16"/>
        <v>0</v>
      </c>
      <c r="AB44" s="400">
        <f t="shared" ca="1" si="8"/>
        <v>0</v>
      </c>
      <c r="AC44" s="258">
        <f t="shared" ca="1" si="8"/>
        <v>0</v>
      </c>
      <c r="AD44" s="258">
        <f t="shared" ca="1" si="8"/>
        <v>0</v>
      </c>
      <c r="AE44" s="402">
        <f t="shared" ca="1" si="8"/>
        <v>0</v>
      </c>
      <c r="AF44" s="402">
        <f t="shared" ca="1" si="8"/>
        <v>0</v>
      </c>
      <c r="AG44" s="404">
        <f t="shared" ca="1" si="17"/>
        <v>0</v>
      </c>
      <c r="AH44" s="415">
        <f t="shared" ca="1" si="18"/>
        <v>0</v>
      </c>
      <c r="AI44" s="415">
        <f t="shared" ca="1" si="19"/>
        <v>0</v>
      </c>
      <c r="AJ44" s="416">
        <f t="shared" ca="1" si="20"/>
        <v>0</v>
      </c>
      <c r="AK44" s="416">
        <f t="shared" ca="1" si="21"/>
        <v>0</v>
      </c>
      <c r="AL44" s="417">
        <v>0</v>
      </c>
      <c r="AM44" s="269">
        <f t="shared" ca="1" si="29"/>
        <v>0</v>
      </c>
      <c r="AN44" s="422">
        <f t="shared" ca="1" si="33"/>
        <v>18.29</v>
      </c>
      <c r="AO44" s="423">
        <f t="shared" ca="1" si="33"/>
        <v>25727391.2880999</v>
      </c>
      <c r="AP44" s="271">
        <f t="shared" ca="1" si="33"/>
        <v>0</v>
      </c>
      <c r="AQ44" s="271">
        <f t="shared" ca="1" si="33"/>
        <v>0.11849999999999999</v>
      </c>
      <c r="AR44" s="271">
        <f t="shared" ca="1" si="33"/>
        <v>0.11849999999999999</v>
      </c>
      <c r="AS44" s="271">
        <f t="shared" ca="1" si="33"/>
        <v>0.11849999999999999</v>
      </c>
      <c r="AT44" s="271">
        <f t="shared" ca="1" si="33"/>
        <v>0.02</v>
      </c>
      <c r="AU44" s="278">
        <f t="shared" ca="1" si="33"/>
        <v>0.1</v>
      </c>
    </row>
    <row r="45" spans="1:47" ht="13.15" thickBot="1" x14ac:dyDescent="0.4">
      <c r="B45" s="18">
        <f t="shared" si="30"/>
        <v>26</v>
      </c>
      <c r="C45" s="85">
        <f t="shared" ca="1" si="10"/>
        <v>0</v>
      </c>
      <c r="D45" s="85">
        <f t="shared" ca="1" si="2"/>
        <v>0</v>
      </c>
      <c r="E45" s="84">
        <f t="shared" ca="1" si="11"/>
        <v>0</v>
      </c>
      <c r="F45" s="135">
        <f t="shared" ca="1" si="25"/>
        <v>0</v>
      </c>
      <c r="G45" s="409">
        <f t="shared" ca="1" si="4"/>
        <v>0</v>
      </c>
      <c r="H45" s="409">
        <f t="shared" ca="1" si="5"/>
        <v>0</v>
      </c>
      <c r="I45" s="275">
        <f t="shared" ca="1" si="26"/>
        <v>0</v>
      </c>
      <c r="J45" s="275">
        <f t="shared" ca="1" si="12"/>
        <v>0</v>
      </c>
      <c r="K45" s="137">
        <f t="shared" ca="1" si="28"/>
        <v>0</v>
      </c>
      <c r="L45" s="15" t="str">
        <f t="shared" ca="1" si="32"/>
        <v>F</v>
      </c>
      <c r="M45" s="88">
        <f t="shared" ca="1" si="32"/>
        <v>0</v>
      </c>
      <c r="N45" s="88">
        <f t="shared" ca="1" si="32"/>
        <v>0</v>
      </c>
      <c r="O45" s="432">
        <v>1000000000000000</v>
      </c>
      <c r="P45" s="69">
        <v>109575</v>
      </c>
      <c r="Q45" s="3">
        <f t="shared" si="13"/>
        <v>64588</v>
      </c>
      <c r="R45" s="107">
        <f t="shared" ca="1" si="14"/>
        <v>18.189999999999998</v>
      </c>
      <c r="S45" s="105">
        <f t="shared" ca="1" si="15"/>
        <v>30526306.859062586</v>
      </c>
      <c r="T45" s="341">
        <v>0</v>
      </c>
      <c r="U45" s="341">
        <v>0.11849999999999999</v>
      </c>
      <c r="V45" s="341">
        <v>0.11849999999999999</v>
      </c>
      <c r="W45" s="341">
        <v>0.11849999999999999</v>
      </c>
      <c r="X45" s="281">
        <f t="shared" si="34"/>
        <v>1.9E-2</v>
      </c>
      <c r="Y45" s="282">
        <f t="shared" si="27"/>
        <v>0.1</v>
      </c>
      <c r="AA45" s="391">
        <f t="shared" ca="1" si="16"/>
        <v>0</v>
      </c>
      <c r="AB45" s="400">
        <f t="shared" ca="1" si="8"/>
        <v>0</v>
      </c>
      <c r="AC45" s="258">
        <f t="shared" ca="1" si="8"/>
        <v>0</v>
      </c>
      <c r="AD45" s="258">
        <f t="shared" ca="1" si="8"/>
        <v>0</v>
      </c>
      <c r="AE45" s="402">
        <f t="shared" ca="1" si="8"/>
        <v>0</v>
      </c>
      <c r="AF45" s="402">
        <f t="shared" ca="1" si="8"/>
        <v>0</v>
      </c>
      <c r="AG45" s="404">
        <f t="shared" ca="1" si="17"/>
        <v>0</v>
      </c>
      <c r="AH45" s="415">
        <f t="shared" ca="1" si="18"/>
        <v>0</v>
      </c>
      <c r="AI45" s="415">
        <f t="shared" ca="1" si="19"/>
        <v>0</v>
      </c>
      <c r="AJ45" s="416">
        <f t="shared" ca="1" si="20"/>
        <v>0</v>
      </c>
      <c r="AK45" s="416">
        <f t="shared" ca="1" si="21"/>
        <v>0</v>
      </c>
      <c r="AL45" s="417">
        <v>0</v>
      </c>
      <c r="AM45" s="269">
        <f t="shared" ca="1" si="29"/>
        <v>0</v>
      </c>
      <c r="AN45" s="422">
        <f t="shared" ca="1" si="33"/>
        <v>18.29</v>
      </c>
      <c r="AO45" s="423">
        <f t="shared" ca="1" si="33"/>
        <v>25727391.2880999</v>
      </c>
      <c r="AP45" s="271">
        <f t="shared" ca="1" si="33"/>
        <v>0</v>
      </c>
      <c r="AQ45" s="271">
        <f t="shared" ca="1" si="33"/>
        <v>0.11849999999999999</v>
      </c>
      <c r="AR45" s="271">
        <f t="shared" ca="1" si="33"/>
        <v>0.11849999999999999</v>
      </c>
      <c r="AS45" s="271">
        <f t="shared" ca="1" si="33"/>
        <v>0.11849999999999999</v>
      </c>
      <c r="AT45" s="271">
        <f t="shared" ca="1" si="33"/>
        <v>0.02</v>
      </c>
      <c r="AU45" s="278">
        <f t="shared" ca="1" si="33"/>
        <v>0.1</v>
      </c>
    </row>
    <row r="46" spans="1:47" ht="13.15" thickBot="1" x14ac:dyDescent="0.4">
      <c r="B46" s="18">
        <f t="shared" si="30"/>
        <v>27</v>
      </c>
      <c r="C46" s="85">
        <f t="shared" ca="1" si="10"/>
        <v>0</v>
      </c>
      <c r="D46" s="85">
        <f t="shared" ca="1" si="2"/>
        <v>0</v>
      </c>
      <c r="E46" s="84">
        <f t="shared" ca="1" si="11"/>
        <v>0</v>
      </c>
      <c r="F46" s="135">
        <f t="shared" ca="1" si="25"/>
        <v>0</v>
      </c>
      <c r="G46" s="409">
        <f t="shared" ca="1" si="4"/>
        <v>0</v>
      </c>
      <c r="H46" s="409">
        <f t="shared" ca="1" si="5"/>
        <v>0</v>
      </c>
      <c r="I46" s="275">
        <f t="shared" ca="1" si="26"/>
        <v>0</v>
      </c>
      <c r="J46" s="275">
        <f t="shared" ca="1" si="12"/>
        <v>0</v>
      </c>
      <c r="K46" s="137">
        <f t="shared" ca="1" si="28"/>
        <v>0</v>
      </c>
      <c r="L46" s="15" t="str">
        <f t="shared" ca="1" si="32"/>
        <v>F</v>
      </c>
      <c r="M46" s="88">
        <f t="shared" ca="1" si="32"/>
        <v>0</v>
      </c>
      <c r="N46" s="88">
        <f t="shared" ca="1" si="32"/>
        <v>0</v>
      </c>
      <c r="O46" s="432">
        <v>1000000000000000</v>
      </c>
      <c r="P46" s="69">
        <v>109575</v>
      </c>
      <c r="Q46" s="3">
        <f t="shared" si="13"/>
        <v>64588</v>
      </c>
      <c r="R46" s="107">
        <f t="shared" ca="1" si="14"/>
        <v>18.189999999999998</v>
      </c>
      <c r="S46" s="105">
        <f t="shared" ca="1" si="15"/>
        <v>30526306.859062586</v>
      </c>
      <c r="T46" s="341">
        <v>0</v>
      </c>
      <c r="U46" s="341">
        <v>0.11849999999999999</v>
      </c>
      <c r="V46" s="341">
        <v>0.11849999999999999</v>
      </c>
      <c r="W46" s="341">
        <v>0.11849999999999999</v>
      </c>
      <c r="X46" s="281">
        <f t="shared" si="34"/>
        <v>1.9E-2</v>
      </c>
      <c r="Y46" s="282">
        <f t="shared" si="27"/>
        <v>0.1</v>
      </c>
      <c r="AA46" s="391">
        <f t="shared" ca="1" si="16"/>
        <v>0</v>
      </c>
      <c r="AB46" s="400">
        <f t="shared" ca="1" si="8"/>
        <v>0</v>
      </c>
      <c r="AC46" s="258">
        <f t="shared" ca="1" si="8"/>
        <v>0</v>
      </c>
      <c r="AD46" s="258">
        <f t="shared" ca="1" si="8"/>
        <v>0</v>
      </c>
      <c r="AE46" s="402">
        <f t="shared" ca="1" si="8"/>
        <v>0</v>
      </c>
      <c r="AF46" s="402">
        <f t="shared" ca="1" si="8"/>
        <v>0</v>
      </c>
      <c r="AG46" s="404">
        <f t="shared" ca="1" si="17"/>
        <v>0</v>
      </c>
      <c r="AH46" s="415">
        <f t="shared" ca="1" si="18"/>
        <v>0</v>
      </c>
      <c r="AI46" s="415">
        <f t="shared" ca="1" si="19"/>
        <v>0</v>
      </c>
      <c r="AJ46" s="416">
        <f t="shared" ca="1" si="20"/>
        <v>0</v>
      </c>
      <c r="AK46" s="416">
        <f t="shared" ca="1" si="21"/>
        <v>0</v>
      </c>
      <c r="AL46" s="417">
        <v>0</v>
      </c>
      <c r="AM46" s="269">
        <f t="shared" ca="1" si="29"/>
        <v>0</v>
      </c>
      <c r="AN46" s="422">
        <f t="shared" ca="1" si="33"/>
        <v>18.29</v>
      </c>
      <c r="AO46" s="423">
        <f t="shared" ca="1" si="33"/>
        <v>25727391.2880999</v>
      </c>
      <c r="AP46" s="271">
        <f t="shared" ca="1" si="33"/>
        <v>0</v>
      </c>
      <c r="AQ46" s="271">
        <f t="shared" ca="1" si="33"/>
        <v>0.11849999999999999</v>
      </c>
      <c r="AR46" s="271">
        <f t="shared" ca="1" si="33"/>
        <v>0.11849999999999999</v>
      </c>
      <c r="AS46" s="271">
        <f t="shared" ca="1" si="33"/>
        <v>0.11849999999999999</v>
      </c>
      <c r="AT46" s="271">
        <f t="shared" ca="1" si="33"/>
        <v>0.02</v>
      </c>
      <c r="AU46" s="278">
        <f t="shared" ca="1" si="33"/>
        <v>0.1</v>
      </c>
    </row>
    <row r="47" spans="1:47" ht="13.15" thickBot="1" x14ac:dyDescent="0.4">
      <c r="B47" s="18">
        <f t="shared" si="30"/>
        <v>28</v>
      </c>
      <c r="C47" s="85">
        <f t="shared" ca="1" si="10"/>
        <v>0</v>
      </c>
      <c r="D47" s="85">
        <f t="shared" ca="1" si="2"/>
        <v>0</v>
      </c>
      <c r="E47" s="84">
        <f t="shared" ca="1" si="11"/>
        <v>0</v>
      </c>
      <c r="F47" s="135">
        <f t="shared" ca="1" si="25"/>
        <v>0</v>
      </c>
      <c r="G47" s="409">
        <f t="shared" ca="1" si="4"/>
        <v>0</v>
      </c>
      <c r="H47" s="409">
        <f t="shared" ca="1" si="5"/>
        <v>0</v>
      </c>
      <c r="I47" s="275">
        <f t="shared" ca="1" si="26"/>
        <v>0</v>
      </c>
      <c r="J47" s="275">
        <f t="shared" ca="1" si="12"/>
        <v>0</v>
      </c>
      <c r="K47" s="137">
        <f t="shared" ca="1" si="28"/>
        <v>0</v>
      </c>
      <c r="L47" s="15" t="str">
        <f t="shared" ca="1" si="32"/>
        <v>F</v>
      </c>
      <c r="M47" s="88">
        <f t="shared" ca="1" si="32"/>
        <v>0</v>
      </c>
      <c r="N47" s="88">
        <f t="shared" ca="1" si="32"/>
        <v>0</v>
      </c>
      <c r="O47" s="432">
        <v>1000000000000000</v>
      </c>
      <c r="P47" s="69">
        <v>109575</v>
      </c>
      <c r="Q47" s="3">
        <f t="shared" si="13"/>
        <v>64588</v>
      </c>
      <c r="R47" s="107">
        <f t="shared" ca="1" si="14"/>
        <v>18.189999999999998</v>
      </c>
      <c r="S47" s="105">
        <f t="shared" ca="1" si="15"/>
        <v>30526306.859062586</v>
      </c>
      <c r="T47" s="341">
        <v>0</v>
      </c>
      <c r="U47" s="341">
        <v>0.11849999999999999</v>
      </c>
      <c r="V47" s="341">
        <v>0.11849999999999999</v>
      </c>
      <c r="W47" s="341">
        <v>0.11849999999999999</v>
      </c>
      <c r="X47" s="281">
        <f t="shared" si="34"/>
        <v>1.9E-2</v>
      </c>
      <c r="Y47" s="282">
        <f t="shared" si="27"/>
        <v>0.1</v>
      </c>
      <c r="AA47" s="391">
        <f t="shared" ca="1" si="16"/>
        <v>0</v>
      </c>
      <c r="AB47" s="400">
        <f t="shared" ca="1" si="8"/>
        <v>0</v>
      </c>
      <c r="AC47" s="258">
        <f t="shared" ca="1" si="8"/>
        <v>0</v>
      </c>
      <c r="AD47" s="258">
        <f t="shared" ca="1" si="8"/>
        <v>0</v>
      </c>
      <c r="AE47" s="402">
        <f t="shared" ca="1" si="8"/>
        <v>0</v>
      </c>
      <c r="AF47" s="402">
        <f t="shared" ca="1" si="8"/>
        <v>0</v>
      </c>
      <c r="AG47" s="404">
        <f t="shared" ca="1" si="17"/>
        <v>0</v>
      </c>
      <c r="AH47" s="415">
        <f t="shared" ca="1" si="18"/>
        <v>0</v>
      </c>
      <c r="AI47" s="415">
        <f t="shared" ca="1" si="19"/>
        <v>0</v>
      </c>
      <c r="AJ47" s="416">
        <f t="shared" ca="1" si="20"/>
        <v>0</v>
      </c>
      <c r="AK47" s="416">
        <f t="shared" ca="1" si="21"/>
        <v>0</v>
      </c>
      <c r="AL47" s="417">
        <v>0</v>
      </c>
      <c r="AM47" s="269">
        <f t="shared" ca="1" si="29"/>
        <v>0</v>
      </c>
      <c r="AN47" s="422">
        <f t="shared" ca="1" si="33"/>
        <v>18.29</v>
      </c>
      <c r="AO47" s="423">
        <f t="shared" ca="1" si="33"/>
        <v>25727391.2880999</v>
      </c>
      <c r="AP47" s="271">
        <f t="shared" ca="1" si="33"/>
        <v>0</v>
      </c>
      <c r="AQ47" s="271">
        <f t="shared" ca="1" si="33"/>
        <v>0.11849999999999999</v>
      </c>
      <c r="AR47" s="271">
        <f t="shared" ca="1" si="33"/>
        <v>0.11849999999999999</v>
      </c>
      <c r="AS47" s="271">
        <f t="shared" ca="1" si="33"/>
        <v>0.11849999999999999</v>
      </c>
      <c r="AT47" s="271">
        <f t="shared" ca="1" si="33"/>
        <v>0.02</v>
      </c>
      <c r="AU47" s="278">
        <f t="shared" ca="1" si="33"/>
        <v>0.1</v>
      </c>
    </row>
    <row r="48" spans="1:47" ht="13.15" thickBot="1" x14ac:dyDescent="0.4">
      <c r="B48" s="18">
        <f t="shared" si="30"/>
        <v>29</v>
      </c>
      <c r="C48" s="85">
        <f t="shared" ca="1" si="10"/>
        <v>0</v>
      </c>
      <c r="D48" s="85">
        <f t="shared" ca="1" si="2"/>
        <v>0</v>
      </c>
      <c r="E48" s="84">
        <f t="shared" ca="1" si="11"/>
        <v>0</v>
      </c>
      <c r="F48" s="135">
        <f t="shared" ca="1" si="25"/>
        <v>0</v>
      </c>
      <c r="G48" s="409">
        <f t="shared" ca="1" si="4"/>
        <v>0</v>
      </c>
      <c r="H48" s="409">
        <f t="shared" ca="1" si="5"/>
        <v>0</v>
      </c>
      <c r="I48" s="275">
        <f t="shared" ca="1" si="26"/>
        <v>0</v>
      </c>
      <c r="J48" s="275">
        <f t="shared" ca="1" si="12"/>
        <v>0</v>
      </c>
      <c r="K48" s="137">
        <f t="shared" ca="1" si="28"/>
        <v>0</v>
      </c>
      <c r="L48" s="15" t="str">
        <f t="shared" ca="1" si="32"/>
        <v>F</v>
      </c>
      <c r="M48" s="88">
        <f t="shared" ca="1" si="32"/>
        <v>0</v>
      </c>
      <c r="N48" s="88">
        <f t="shared" ca="1" si="32"/>
        <v>0</v>
      </c>
      <c r="O48" s="432">
        <v>1000000000000000</v>
      </c>
      <c r="P48" s="69">
        <v>109575</v>
      </c>
      <c r="Q48" s="3">
        <f t="shared" si="13"/>
        <v>64588</v>
      </c>
      <c r="R48" s="107">
        <f t="shared" ca="1" si="14"/>
        <v>18.189999999999998</v>
      </c>
      <c r="S48" s="105">
        <f t="shared" ca="1" si="15"/>
        <v>30526306.859062586</v>
      </c>
      <c r="T48" s="341">
        <v>0</v>
      </c>
      <c r="U48" s="341">
        <v>0.11849999999999999</v>
      </c>
      <c r="V48" s="341">
        <v>0.11849999999999999</v>
      </c>
      <c r="W48" s="341">
        <v>0.11849999999999999</v>
      </c>
      <c r="X48" s="281">
        <f t="shared" si="34"/>
        <v>1.9E-2</v>
      </c>
      <c r="Y48" s="282">
        <f t="shared" si="27"/>
        <v>0.1</v>
      </c>
      <c r="AA48" s="391">
        <f t="shared" ca="1" si="16"/>
        <v>0</v>
      </c>
      <c r="AB48" s="400">
        <f t="shared" ca="1" si="8"/>
        <v>0</v>
      </c>
      <c r="AC48" s="258">
        <f t="shared" ca="1" si="8"/>
        <v>0</v>
      </c>
      <c r="AD48" s="258">
        <f t="shared" ca="1" si="8"/>
        <v>0</v>
      </c>
      <c r="AE48" s="402">
        <f t="shared" ca="1" si="8"/>
        <v>0</v>
      </c>
      <c r="AF48" s="402">
        <f t="shared" ca="1" si="8"/>
        <v>0</v>
      </c>
      <c r="AG48" s="404">
        <f t="shared" ca="1" si="17"/>
        <v>0</v>
      </c>
      <c r="AH48" s="415">
        <f t="shared" ca="1" si="18"/>
        <v>0</v>
      </c>
      <c r="AI48" s="415">
        <f t="shared" ca="1" si="19"/>
        <v>0</v>
      </c>
      <c r="AJ48" s="416">
        <f t="shared" ca="1" si="20"/>
        <v>0</v>
      </c>
      <c r="AK48" s="416">
        <f t="shared" ca="1" si="21"/>
        <v>0</v>
      </c>
      <c r="AL48" s="417">
        <v>0</v>
      </c>
      <c r="AM48" s="269">
        <f t="shared" ca="1" si="29"/>
        <v>0</v>
      </c>
      <c r="AN48" s="422">
        <f t="shared" ca="1" si="33"/>
        <v>18.29</v>
      </c>
      <c r="AO48" s="423">
        <f t="shared" ca="1" si="33"/>
        <v>25727391.2880999</v>
      </c>
      <c r="AP48" s="271">
        <f t="shared" ca="1" si="33"/>
        <v>0</v>
      </c>
      <c r="AQ48" s="271">
        <f t="shared" ca="1" si="33"/>
        <v>0.11849999999999999</v>
      </c>
      <c r="AR48" s="271">
        <f t="shared" ca="1" si="33"/>
        <v>0.11849999999999999</v>
      </c>
      <c r="AS48" s="271">
        <f t="shared" ca="1" si="33"/>
        <v>0.11849999999999999</v>
      </c>
      <c r="AT48" s="271">
        <f t="shared" ca="1" si="33"/>
        <v>0.02</v>
      </c>
      <c r="AU48" s="278">
        <f t="shared" ca="1" si="33"/>
        <v>0.1</v>
      </c>
    </row>
    <row r="49" spans="2:47" ht="13.15" thickBot="1" x14ac:dyDescent="0.4">
      <c r="B49" s="18">
        <f t="shared" si="30"/>
        <v>30</v>
      </c>
      <c r="C49" s="85">
        <f t="shared" ca="1" si="10"/>
        <v>0</v>
      </c>
      <c r="D49" s="85">
        <f t="shared" ca="1" si="2"/>
        <v>0</v>
      </c>
      <c r="E49" s="84">
        <f t="shared" ca="1" si="11"/>
        <v>0</v>
      </c>
      <c r="F49" s="135">
        <f t="shared" ca="1" si="25"/>
        <v>0</v>
      </c>
      <c r="G49" s="409">
        <f t="shared" ca="1" si="4"/>
        <v>0</v>
      </c>
      <c r="H49" s="409">
        <f t="shared" ca="1" si="5"/>
        <v>0</v>
      </c>
      <c r="I49" s="275">
        <f t="shared" ca="1" si="26"/>
        <v>0</v>
      </c>
      <c r="J49" s="275">
        <f t="shared" ca="1" si="12"/>
        <v>0</v>
      </c>
      <c r="K49" s="137">
        <f t="shared" ca="1" si="28"/>
        <v>0</v>
      </c>
      <c r="L49" s="15" t="str">
        <f t="shared" ca="1" si="32"/>
        <v>F</v>
      </c>
      <c r="M49" s="88">
        <f t="shared" ca="1" si="32"/>
        <v>0</v>
      </c>
      <c r="N49" s="88">
        <f t="shared" ca="1" si="32"/>
        <v>0</v>
      </c>
      <c r="O49" s="432">
        <v>1000000000000000</v>
      </c>
      <c r="P49" s="69">
        <v>109575</v>
      </c>
      <c r="Q49" s="3">
        <f t="shared" si="13"/>
        <v>64588</v>
      </c>
      <c r="R49" s="107">
        <f t="shared" ca="1" si="14"/>
        <v>18.189999999999998</v>
      </c>
      <c r="S49" s="105">
        <f t="shared" ca="1" si="15"/>
        <v>30526306.859062586</v>
      </c>
      <c r="T49" s="341">
        <v>0</v>
      </c>
      <c r="U49" s="341">
        <v>0.11849999999999999</v>
      </c>
      <c r="V49" s="341">
        <v>0.11849999999999999</v>
      </c>
      <c r="W49" s="341">
        <v>0.11849999999999999</v>
      </c>
      <c r="X49" s="281">
        <f t="shared" si="34"/>
        <v>1.9E-2</v>
      </c>
      <c r="Y49" s="282">
        <f t="shared" si="27"/>
        <v>0.1</v>
      </c>
      <c r="AA49" s="391">
        <f t="shared" ca="1" si="16"/>
        <v>0</v>
      </c>
      <c r="AB49" s="400">
        <f t="shared" ca="1" si="8"/>
        <v>0</v>
      </c>
      <c r="AC49" s="258">
        <f t="shared" ca="1" si="8"/>
        <v>0</v>
      </c>
      <c r="AD49" s="258">
        <f t="shared" ca="1" si="8"/>
        <v>0</v>
      </c>
      <c r="AE49" s="402">
        <f t="shared" ca="1" si="8"/>
        <v>0</v>
      </c>
      <c r="AF49" s="402">
        <f t="shared" ca="1" si="8"/>
        <v>0</v>
      </c>
      <c r="AG49" s="404">
        <f t="shared" ca="1" si="17"/>
        <v>0</v>
      </c>
      <c r="AH49" s="415">
        <f t="shared" ca="1" si="18"/>
        <v>0</v>
      </c>
      <c r="AI49" s="415">
        <f t="shared" ca="1" si="19"/>
        <v>0</v>
      </c>
      <c r="AJ49" s="416">
        <f t="shared" ca="1" si="20"/>
        <v>0</v>
      </c>
      <c r="AK49" s="416">
        <f t="shared" ca="1" si="21"/>
        <v>0</v>
      </c>
      <c r="AL49" s="417">
        <v>0</v>
      </c>
      <c r="AM49" s="269">
        <f t="shared" ca="1" si="29"/>
        <v>0</v>
      </c>
      <c r="AN49" s="422">
        <f t="shared" ca="1" si="33"/>
        <v>18.29</v>
      </c>
      <c r="AO49" s="423">
        <f t="shared" ca="1" si="33"/>
        <v>25727391.2880999</v>
      </c>
      <c r="AP49" s="271">
        <f t="shared" ca="1" si="33"/>
        <v>0</v>
      </c>
      <c r="AQ49" s="271">
        <f t="shared" ca="1" si="33"/>
        <v>0.11849999999999999</v>
      </c>
      <c r="AR49" s="271">
        <f t="shared" ca="1" si="33"/>
        <v>0.11849999999999999</v>
      </c>
      <c r="AS49" s="271">
        <f t="shared" ca="1" si="33"/>
        <v>0.11849999999999999</v>
      </c>
      <c r="AT49" s="271">
        <f t="shared" ca="1" si="33"/>
        <v>0.02</v>
      </c>
      <c r="AU49" s="278">
        <f t="shared" ca="1" si="33"/>
        <v>0.1</v>
      </c>
    </row>
    <row r="50" spans="2:47" ht="13.15" thickBot="1" x14ac:dyDescent="0.4">
      <c r="B50" s="18">
        <f t="shared" si="30"/>
        <v>31</v>
      </c>
      <c r="C50" s="85">
        <f t="shared" ca="1" si="10"/>
        <v>0</v>
      </c>
      <c r="D50" s="85">
        <f t="shared" ca="1" si="2"/>
        <v>0</v>
      </c>
      <c r="E50" s="84">
        <f t="shared" ca="1" si="11"/>
        <v>0</v>
      </c>
      <c r="F50" s="135">
        <f t="shared" ca="1" si="25"/>
        <v>0</v>
      </c>
      <c r="G50" s="409">
        <f t="shared" ca="1" si="4"/>
        <v>0</v>
      </c>
      <c r="H50" s="409">
        <f t="shared" ca="1" si="5"/>
        <v>0</v>
      </c>
      <c r="I50" s="275">
        <f t="shared" ca="1" si="26"/>
        <v>0</v>
      </c>
      <c r="J50" s="275">
        <f t="shared" ca="1" si="12"/>
        <v>0</v>
      </c>
      <c r="K50" s="137">
        <f t="shared" ca="1" si="28"/>
        <v>0</v>
      </c>
      <c r="L50" s="15" t="str">
        <f t="shared" ca="1" si="32"/>
        <v>F</v>
      </c>
      <c r="M50" s="88">
        <f t="shared" ca="1" si="32"/>
        <v>0</v>
      </c>
      <c r="N50" s="88">
        <f t="shared" ca="1" si="32"/>
        <v>0</v>
      </c>
      <c r="O50" s="432">
        <v>1000000000000000</v>
      </c>
      <c r="P50" s="69">
        <v>109575</v>
      </c>
      <c r="Q50" s="3">
        <f t="shared" si="13"/>
        <v>64588</v>
      </c>
      <c r="R50" s="107">
        <f t="shared" ca="1" si="14"/>
        <v>18.189999999999998</v>
      </c>
      <c r="S50" s="105">
        <f t="shared" ca="1" si="15"/>
        <v>30526306.859062586</v>
      </c>
      <c r="T50" s="341">
        <v>0</v>
      </c>
      <c r="U50" s="341">
        <v>0.11849999999999999</v>
      </c>
      <c r="V50" s="341">
        <v>0.11849999999999999</v>
      </c>
      <c r="W50" s="341">
        <v>0.11849999999999999</v>
      </c>
      <c r="X50" s="281">
        <f t="shared" si="34"/>
        <v>1.9E-2</v>
      </c>
      <c r="Y50" s="282">
        <f t="shared" si="27"/>
        <v>0.1</v>
      </c>
      <c r="AA50" s="391">
        <f t="shared" ca="1" si="16"/>
        <v>0</v>
      </c>
      <c r="AB50" s="400">
        <f t="shared" ca="1" si="8"/>
        <v>0</v>
      </c>
      <c r="AC50" s="258">
        <f t="shared" ca="1" si="8"/>
        <v>0</v>
      </c>
      <c r="AD50" s="258">
        <f t="shared" ca="1" si="8"/>
        <v>0</v>
      </c>
      <c r="AE50" s="402">
        <f t="shared" ca="1" si="8"/>
        <v>0</v>
      </c>
      <c r="AF50" s="402">
        <f t="shared" ca="1" si="8"/>
        <v>0</v>
      </c>
      <c r="AG50" s="404">
        <f t="shared" ca="1" si="17"/>
        <v>0</v>
      </c>
      <c r="AH50" s="415">
        <f t="shared" ca="1" si="18"/>
        <v>0</v>
      </c>
      <c r="AI50" s="415">
        <f t="shared" ca="1" si="19"/>
        <v>0</v>
      </c>
      <c r="AJ50" s="416">
        <f t="shared" ca="1" si="20"/>
        <v>0</v>
      </c>
      <c r="AK50" s="416">
        <f t="shared" ca="1" si="21"/>
        <v>0</v>
      </c>
      <c r="AL50" s="417">
        <v>0</v>
      </c>
      <c r="AM50" s="269">
        <f t="shared" ca="1" si="29"/>
        <v>0</v>
      </c>
      <c r="AN50" s="422">
        <f t="shared" ca="1" si="33"/>
        <v>18.29</v>
      </c>
      <c r="AO50" s="423">
        <f t="shared" ca="1" si="33"/>
        <v>25727391.2880999</v>
      </c>
      <c r="AP50" s="271">
        <f t="shared" ca="1" si="33"/>
        <v>0</v>
      </c>
      <c r="AQ50" s="271">
        <f t="shared" ca="1" si="33"/>
        <v>0.11849999999999999</v>
      </c>
      <c r="AR50" s="271">
        <f t="shared" ca="1" si="33"/>
        <v>0.11849999999999999</v>
      </c>
      <c r="AS50" s="271">
        <f t="shared" ca="1" si="33"/>
        <v>0.11849999999999999</v>
      </c>
      <c r="AT50" s="271">
        <f t="shared" ca="1" si="33"/>
        <v>0.02</v>
      </c>
      <c r="AU50" s="278">
        <f t="shared" ca="1" si="33"/>
        <v>0.1</v>
      </c>
    </row>
    <row r="51" spans="2:47" ht="13.15" thickBot="1" x14ac:dyDescent="0.4">
      <c r="B51" s="18">
        <f t="shared" si="30"/>
        <v>32</v>
      </c>
      <c r="C51" s="85">
        <f t="shared" ca="1" si="10"/>
        <v>0</v>
      </c>
      <c r="D51" s="85">
        <f t="shared" ca="1" si="2"/>
        <v>0</v>
      </c>
      <c r="E51" s="84">
        <f t="shared" ca="1" si="11"/>
        <v>0</v>
      </c>
      <c r="F51" s="135">
        <f t="shared" ca="1" si="25"/>
        <v>0</v>
      </c>
      <c r="G51" s="409">
        <f t="shared" ca="1" si="4"/>
        <v>0</v>
      </c>
      <c r="H51" s="409">
        <f t="shared" ca="1" si="5"/>
        <v>0</v>
      </c>
      <c r="I51" s="275">
        <f t="shared" ca="1" si="26"/>
        <v>0</v>
      </c>
      <c r="J51" s="275">
        <f t="shared" ca="1" si="12"/>
        <v>0</v>
      </c>
      <c r="K51" s="137">
        <f t="shared" ca="1" si="28"/>
        <v>0</v>
      </c>
      <c r="L51" s="15" t="str">
        <f t="shared" ca="1" si="32"/>
        <v>F</v>
      </c>
      <c r="M51" s="88">
        <f t="shared" ca="1" si="32"/>
        <v>0</v>
      </c>
      <c r="N51" s="88">
        <f t="shared" ca="1" si="32"/>
        <v>0</v>
      </c>
      <c r="O51" s="432">
        <v>1000000000000000</v>
      </c>
      <c r="P51" s="69">
        <v>109575</v>
      </c>
      <c r="Q51" s="3">
        <f t="shared" si="13"/>
        <v>64588</v>
      </c>
      <c r="R51" s="107">
        <f t="shared" ca="1" si="14"/>
        <v>18.189999999999998</v>
      </c>
      <c r="S51" s="105">
        <f t="shared" ca="1" si="15"/>
        <v>30526306.859062586</v>
      </c>
      <c r="T51" s="341">
        <v>0</v>
      </c>
      <c r="U51" s="341">
        <v>0.11849999999999999</v>
      </c>
      <c r="V51" s="341">
        <v>0.11849999999999999</v>
      </c>
      <c r="W51" s="341">
        <v>0.11849999999999999</v>
      </c>
      <c r="X51" s="281">
        <f t="shared" si="34"/>
        <v>1.9E-2</v>
      </c>
      <c r="Y51" s="282">
        <f t="shared" si="27"/>
        <v>0.1</v>
      </c>
      <c r="AA51" s="391">
        <f t="shared" ca="1" si="16"/>
        <v>0</v>
      </c>
      <c r="AB51" s="400">
        <f t="shared" ca="1" si="8"/>
        <v>0</v>
      </c>
      <c r="AC51" s="258">
        <f t="shared" ca="1" si="8"/>
        <v>0</v>
      </c>
      <c r="AD51" s="258">
        <f t="shared" ca="1" si="8"/>
        <v>0</v>
      </c>
      <c r="AE51" s="402">
        <f t="shared" ca="1" si="8"/>
        <v>0</v>
      </c>
      <c r="AF51" s="402">
        <f t="shared" ca="1" si="8"/>
        <v>0</v>
      </c>
      <c r="AG51" s="404">
        <f t="shared" ca="1" si="17"/>
        <v>0</v>
      </c>
      <c r="AH51" s="415">
        <f t="shared" ca="1" si="18"/>
        <v>0</v>
      </c>
      <c r="AI51" s="415">
        <f t="shared" ca="1" si="19"/>
        <v>0</v>
      </c>
      <c r="AJ51" s="416">
        <f t="shared" ca="1" si="20"/>
        <v>0</v>
      </c>
      <c r="AK51" s="416">
        <f t="shared" ca="1" si="21"/>
        <v>0</v>
      </c>
      <c r="AL51" s="417">
        <v>0</v>
      </c>
      <c r="AM51" s="269">
        <f t="shared" ca="1" si="29"/>
        <v>0</v>
      </c>
      <c r="AN51" s="422">
        <f t="shared" ca="1" si="33"/>
        <v>18.29</v>
      </c>
      <c r="AO51" s="423">
        <f t="shared" ca="1" si="33"/>
        <v>25727391.2880999</v>
      </c>
      <c r="AP51" s="271">
        <f t="shared" ca="1" si="33"/>
        <v>0</v>
      </c>
      <c r="AQ51" s="271">
        <f t="shared" ca="1" si="33"/>
        <v>0.11849999999999999</v>
      </c>
      <c r="AR51" s="271">
        <f t="shared" ca="1" si="33"/>
        <v>0.11849999999999999</v>
      </c>
      <c r="AS51" s="271">
        <f t="shared" ca="1" si="33"/>
        <v>0.11849999999999999</v>
      </c>
      <c r="AT51" s="271">
        <f t="shared" ca="1" si="33"/>
        <v>0.02</v>
      </c>
      <c r="AU51" s="278">
        <f t="shared" ca="1" si="33"/>
        <v>0.1</v>
      </c>
    </row>
    <row r="52" spans="2:47" ht="13.15" thickBot="1" x14ac:dyDescent="0.4">
      <c r="B52" s="18">
        <f t="shared" si="30"/>
        <v>33</v>
      </c>
      <c r="C52" s="85">
        <f t="shared" ca="1" si="10"/>
        <v>0</v>
      </c>
      <c r="D52" s="85">
        <f t="shared" ca="1" si="2"/>
        <v>0</v>
      </c>
      <c r="E52" s="84">
        <f t="shared" ca="1" si="11"/>
        <v>0</v>
      </c>
      <c r="F52" s="135">
        <f t="shared" ca="1" si="25"/>
        <v>0</v>
      </c>
      <c r="G52" s="409">
        <f t="shared" ca="1" si="4"/>
        <v>0</v>
      </c>
      <c r="H52" s="409">
        <f t="shared" ca="1" si="5"/>
        <v>0</v>
      </c>
      <c r="I52" s="275">
        <f t="shared" ca="1" si="26"/>
        <v>0</v>
      </c>
      <c r="J52" s="275">
        <f t="shared" ca="1" si="12"/>
        <v>0</v>
      </c>
      <c r="K52" s="137">
        <f t="shared" ca="1" si="28"/>
        <v>0</v>
      </c>
      <c r="L52" s="15" t="str">
        <f t="shared" ref="L52:N68" ca="1" si="35">INDIRECT("'"&amp; $AB$16 &amp;"'!"&amp; ADDRESS(ROW(L52),COLUMN(L52),4))</f>
        <v>F</v>
      </c>
      <c r="M52" s="88">
        <f t="shared" ca="1" si="35"/>
        <v>0</v>
      </c>
      <c r="N52" s="88">
        <f t="shared" ca="1" si="35"/>
        <v>0</v>
      </c>
      <c r="O52" s="432">
        <v>1000000000000000</v>
      </c>
      <c r="P52" s="69">
        <v>109575</v>
      </c>
      <c r="Q52" s="3">
        <f t="shared" si="13"/>
        <v>64588</v>
      </c>
      <c r="R52" s="107">
        <f t="shared" ca="1" si="14"/>
        <v>18.189999999999998</v>
      </c>
      <c r="S52" s="105">
        <f t="shared" ca="1" si="15"/>
        <v>30526306.859062586</v>
      </c>
      <c r="T52" s="341">
        <v>0</v>
      </c>
      <c r="U52" s="341">
        <v>0.11849999999999999</v>
      </c>
      <c r="V52" s="341">
        <v>0.11849999999999999</v>
      </c>
      <c r="W52" s="341">
        <v>0.11849999999999999</v>
      </c>
      <c r="X52" s="281">
        <f t="shared" si="34"/>
        <v>1.9E-2</v>
      </c>
      <c r="Y52" s="282">
        <f t="shared" si="27"/>
        <v>0.1</v>
      </c>
      <c r="AA52" s="391">
        <f t="shared" ca="1" si="16"/>
        <v>0</v>
      </c>
      <c r="AB52" s="400">
        <f t="shared" ca="1" si="8"/>
        <v>0</v>
      </c>
      <c r="AC52" s="258">
        <f t="shared" ca="1" si="8"/>
        <v>0</v>
      </c>
      <c r="AD52" s="258">
        <f t="shared" ca="1" si="8"/>
        <v>0</v>
      </c>
      <c r="AE52" s="402">
        <f t="shared" ca="1" si="8"/>
        <v>0</v>
      </c>
      <c r="AF52" s="402">
        <f t="shared" ca="1" si="8"/>
        <v>0</v>
      </c>
      <c r="AG52" s="404">
        <f t="shared" ca="1" si="17"/>
        <v>0</v>
      </c>
      <c r="AH52" s="415">
        <f t="shared" ca="1" si="18"/>
        <v>0</v>
      </c>
      <c r="AI52" s="415">
        <f t="shared" ca="1" si="19"/>
        <v>0</v>
      </c>
      <c r="AJ52" s="416">
        <f t="shared" ca="1" si="20"/>
        <v>0</v>
      </c>
      <c r="AK52" s="416">
        <f t="shared" ca="1" si="21"/>
        <v>0</v>
      </c>
      <c r="AL52" s="417">
        <v>0</v>
      </c>
      <c r="AM52" s="269">
        <f t="shared" ca="1" si="29"/>
        <v>0</v>
      </c>
      <c r="AN52" s="422">
        <f t="shared" ca="1" si="33"/>
        <v>18.29</v>
      </c>
      <c r="AO52" s="423">
        <f t="shared" ca="1" si="33"/>
        <v>25727391.2880999</v>
      </c>
      <c r="AP52" s="271">
        <f t="shared" ca="1" si="33"/>
        <v>0</v>
      </c>
      <c r="AQ52" s="271">
        <f t="shared" ca="1" si="33"/>
        <v>0.11849999999999999</v>
      </c>
      <c r="AR52" s="271">
        <f t="shared" ca="1" si="33"/>
        <v>0.11849999999999999</v>
      </c>
      <c r="AS52" s="271">
        <f t="shared" ca="1" si="33"/>
        <v>0.11849999999999999</v>
      </c>
      <c r="AT52" s="271">
        <f t="shared" ca="1" si="33"/>
        <v>0.02</v>
      </c>
      <c r="AU52" s="278">
        <f t="shared" ca="1" si="33"/>
        <v>0.1</v>
      </c>
    </row>
    <row r="53" spans="2:47" ht="13.15" thickBot="1" x14ac:dyDescent="0.4">
      <c r="B53" s="18">
        <f t="shared" si="30"/>
        <v>34</v>
      </c>
      <c r="C53" s="85">
        <f t="shared" ca="1" si="10"/>
        <v>0</v>
      </c>
      <c r="D53" s="85">
        <f t="shared" ca="1" si="2"/>
        <v>0</v>
      </c>
      <c r="E53" s="84">
        <f t="shared" ca="1" si="11"/>
        <v>0</v>
      </c>
      <c r="F53" s="135">
        <f t="shared" ca="1" si="25"/>
        <v>0</v>
      </c>
      <c r="G53" s="409">
        <f t="shared" ca="1" si="4"/>
        <v>0</v>
      </c>
      <c r="H53" s="409">
        <f t="shared" ca="1" si="5"/>
        <v>0</v>
      </c>
      <c r="I53" s="275">
        <f t="shared" ca="1" si="26"/>
        <v>0</v>
      </c>
      <c r="J53" s="275">
        <f t="shared" ca="1" si="12"/>
        <v>0</v>
      </c>
      <c r="K53" s="137">
        <f t="shared" ca="1" si="28"/>
        <v>0</v>
      </c>
      <c r="L53" s="15" t="str">
        <f t="shared" ca="1" si="35"/>
        <v>F</v>
      </c>
      <c r="M53" s="88">
        <f t="shared" ca="1" si="35"/>
        <v>0</v>
      </c>
      <c r="N53" s="88">
        <f t="shared" ca="1" si="35"/>
        <v>0</v>
      </c>
      <c r="O53" s="432">
        <v>1000000000000000</v>
      </c>
      <c r="P53" s="69">
        <v>109575</v>
      </c>
      <c r="Q53" s="3">
        <f t="shared" si="13"/>
        <v>64588</v>
      </c>
      <c r="R53" s="107">
        <f t="shared" ca="1" si="14"/>
        <v>18.189999999999998</v>
      </c>
      <c r="S53" s="105">
        <f t="shared" ca="1" si="15"/>
        <v>30526306.859062586</v>
      </c>
      <c r="T53" s="341">
        <v>0</v>
      </c>
      <c r="U53" s="341">
        <v>0.11849999999999999</v>
      </c>
      <c r="V53" s="341">
        <v>0.11849999999999999</v>
      </c>
      <c r="W53" s="341">
        <v>0.11849999999999999</v>
      </c>
      <c r="X53" s="281">
        <f t="shared" si="34"/>
        <v>1.9E-2</v>
      </c>
      <c r="Y53" s="282">
        <f t="shared" si="27"/>
        <v>0.1</v>
      </c>
      <c r="AA53" s="391">
        <f t="shared" ca="1" si="16"/>
        <v>0</v>
      </c>
      <c r="AB53" s="400">
        <f t="shared" ca="1" si="8"/>
        <v>0</v>
      </c>
      <c r="AC53" s="258">
        <f t="shared" ca="1" si="8"/>
        <v>0</v>
      </c>
      <c r="AD53" s="258">
        <f t="shared" ca="1" si="8"/>
        <v>0</v>
      </c>
      <c r="AE53" s="402">
        <f t="shared" ca="1" si="8"/>
        <v>0</v>
      </c>
      <c r="AF53" s="402">
        <f t="shared" ca="1" si="8"/>
        <v>0</v>
      </c>
      <c r="AG53" s="404">
        <f t="shared" ca="1" si="17"/>
        <v>0</v>
      </c>
      <c r="AH53" s="415">
        <f t="shared" ca="1" si="18"/>
        <v>0</v>
      </c>
      <c r="AI53" s="415">
        <f t="shared" ca="1" si="19"/>
        <v>0</v>
      </c>
      <c r="AJ53" s="416">
        <f t="shared" ca="1" si="20"/>
        <v>0</v>
      </c>
      <c r="AK53" s="416">
        <f t="shared" ca="1" si="21"/>
        <v>0</v>
      </c>
      <c r="AL53" s="417">
        <v>0</v>
      </c>
      <c r="AM53" s="269">
        <f t="shared" ca="1" si="29"/>
        <v>0</v>
      </c>
      <c r="AN53" s="422">
        <f t="shared" ca="1" si="33"/>
        <v>18.29</v>
      </c>
      <c r="AO53" s="423">
        <f t="shared" ca="1" si="33"/>
        <v>25727391.2880999</v>
      </c>
      <c r="AP53" s="271">
        <f t="shared" ca="1" si="33"/>
        <v>0</v>
      </c>
      <c r="AQ53" s="271">
        <f t="shared" ca="1" si="33"/>
        <v>0.11849999999999999</v>
      </c>
      <c r="AR53" s="271">
        <f t="shared" ca="1" si="33"/>
        <v>0.11849999999999999</v>
      </c>
      <c r="AS53" s="271">
        <f t="shared" ca="1" si="33"/>
        <v>0.11849999999999999</v>
      </c>
      <c r="AT53" s="271">
        <f t="shared" ca="1" si="33"/>
        <v>0.02</v>
      </c>
      <c r="AU53" s="278">
        <f t="shared" ca="1" si="33"/>
        <v>0.1</v>
      </c>
    </row>
    <row r="54" spans="2:47" ht="13.15" thickBot="1" x14ac:dyDescent="0.4">
      <c r="B54" s="18">
        <f t="shared" si="30"/>
        <v>35</v>
      </c>
      <c r="C54" s="85">
        <f t="shared" ca="1" si="10"/>
        <v>0</v>
      </c>
      <c r="D54" s="85">
        <f t="shared" ca="1" si="2"/>
        <v>0</v>
      </c>
      <c r="E54" s="84">
        <f t="shared" ca="1" si="11"/>
        <v>0</v>
      </c>
      <c r="F54" s="135">
        <f t="shared" ca="1" si="25"/>
        <v>0</v>
      </c>
      <c r="G54" s="409">
        <f t="shared" ca="1" si="4"/>
        <v>0</v>
      </c>
      <c r="H54" s="409">
        <f t="shared" ca="1" si="5"/>
        <v>0</v>
      </c>
      <c r="I54" s="275">
        <f t="shared" ca="1" si="26"/>
        <v>0</v>
      </c>
      <c r="J54" s="275">
        <f t="shared" ca="1" si="12"/>
        <v>0</v>
      </c>
      <c r="K54" s="137">
        <f t="shared" ca="1" si="28"/>
        <v>0</v>
      </c>
      <c r="L54" s="15" t="str">
        <f t="shared" ca="1" si="35"/>
        <v>F</v>
      </c>
      <c r="M54" s="88">
        <f t="shared" ca="1" si="35"/>
        <v>0</v>
      </c>
      <c r="N54" s="88">
        <f t="shared" ca="1" si="35"/>
        <v>0</v>
      </c>
      <c r="O54" s="432">
        <v>1000000000000000</v>
      </c>
      <c r="P54" s="69">
        <v>109575</v>
      </c>
      <c r="Q54" s="3">
        <f t="shared" si="13"/>
        <v>64588</v>
      </c>
      <c r="R54" s="107">
        <f t="shared" ca="1" si="14"/>
        <v>18.189999999999998</v>
      </c>
      <c r="S54" s="105">
        <f t="shared" ca="1" si="15"/>
        <v>30526306.859062586</v>
      </c>
      <c r="T54" s="341">
        <v>0</v>
      </c>
      <c r="U54" s="341">
        <v>0.11849999999999999</v>
      </c>
      <c r="V54" s="341">
        <v>0.11849999999999999</v>
      </c>
      <c r="W54" s="341">
        <v>0.11849999999999999</v>
      </c>
      <c r="X54" s="281">
        <f t="shared" si="34"/>
        <v>1.9E-2</v>
      </c>
      <c r="Y54" s="282">
        <f t="shared" si="27"/>
        <v>0.1</v>
      </c>
      <c r="AA54" s="391">
        <f t="shared" ca="1" si="16"/>
        <v>0</v>
      </c>
      <c r="AB54" s="400">
        <f t="shared" ca="1" si="8"/>
        <v>0</v>
      </c>
      <c r="AC54" s="258">
        <f t="shared" ca="1" si="8"/>
        <v>0</v>
      </c>
      <c r="AD54" s="258">
        <f t="shared" ca="1" si="8"/>
        <v>0</v>
      </c>
      <c r="AE54" s="402">
        <f t="shared" ca="1" si="8"/>
        <v>0</v>
      </c>
      <c r="AF54" s="402">
        <f t="shared" ca="1" si="8"/>
        <v>0</v>
      </c>
      <c r="AG54" s="404">
        <f t="shared" ca="1" si="17"/>
        <v>0</v>
      </c>
      <c r="AH54" s="415">
        <f t="shared" ca="1" si="18"/>
        <v>0</v>
      </c>
      <c r="AI54" s="415">
        <f t="shared" ca="1" si="19"/>
        <v>0</v>
      </c>
      <c r="AJ54" s="416">
        <f t="shared" ca="1" si="20"/>
        <v>0</v>
      </c>
      <c r="AK54" s="416">
        <f t="shared" ca="1" si="21"/>
        <v>0</v>
      </c>
      <c r="AL54" s="417">
        <v>0</v>
      </c>
      <c r="AM54" s="269">
        <f t="shared" ca="1" si="29"/>
        <v>0</v>
      </c>
      <c r="AN54" s="422">
        <f t="shared" ca="1" si="33"/>
        <v>18.29</v>
      </c>
      <c r="AO54" s="423">
        <f t="shared" ca="1" si="33"/>
        <v>25727391.2880999</v>
      </c>
      <c r="AP54" s="271">
        <f t="shared" ca="1" si="33"/>
        <v>0</v>
      </c>
      <c r="AQ54" s="271">
        <f t="shared" ca="1" si="33"/>
        <v>0.11849999999999999</v>
      </c>
      <c r="AR54" s="271">
        <f t="shared" ca="1" si="33"/>
        <v>0.11849999999999999</v>
      </c>
      <c r="AS54" s="271">
        <f t="shared" ca="1" si="33"/>
        <v>0.11849999999999999</v>
      </c>
      <c r="AT54" s="271">
        <f t="shared" ca="1" si="33"/>
        <v>0.02</v>
      </c>
      <c r="AU54" s="278">
        <f t="shared" ca="1" si="33"/>
        <v>0.1</v>
      </c>
    </row>
    <row r="55" spans="2:47" ht="13.15" thickBot="1" x14ac:dyDescent="0.4">
      <c r="B55" s="18">
        <f t="shared" si="30"/>
        <v>36</v>
      </c>
      <c r="C55" s="85">
        <f t="shared" ca="1" si="10"/>
        <v>0</v>
      </c>
      <c r="D55" s="85">
        <f t="shared" ca="1" si="2"/>
        <v>0</v>
      </c>
      <c r="E55" s="84">
        <f t="shared" ca="1" si="11"/>
        <v>0</v>
      </c>
      <c r="F55" s="135">
        <f t="shared" ca="1" si="25"/>
        <v>0</v>
      </c>
      <c r="G55" s="409">
        <f t="shared" ca="1" si="4"/>
        <v>0</v>
      </c>
      <c r="H55" s="409">
        <f t="shared" ca="1" si="5"/>
        <v>0</v>
      </c>
      <c r="I55" s="275">
        <f t="shared" ca="1" si="26"/>
        <v>0</v>
      </c>
      <c r="J55" s="275">
        <f t="shared" ca="1" si="12"/>
        <v>0</v>
      </c>
      <c r="K55" s="137">
        <f t="shared" ca="1" si="28"/>
        <v>0</v>
      </c>
      <c r="L55" s="15" t="str">
        <f t="shared" ca="1" si="35"/>
        <v>F</v>
      </c>
      <c r="M55" s="88">
        <f t="shared" ca="1" si="35"/>
        <v>0</v>
      </c>
      <c r="N55" s="88">
        <f t="shared" ca="1" si="35"/>
        <v>0</v>
      </c>
      <c r="O55" s="432">
        <v>1000000000000000</v>
      </c>
      <c r="P55" s="69">
        <v>109575</v>
      </c>
      <c r="Q55" s="3">
        <f t="shared" si="13"/>
        <v>64588</v>
      </c>
      <c r="R55" s="107">
        <f t="shared" ca="1" si="14"/>
        <v>18.189999999999998</v>
      </c>
      <c r="S55" s="105">
        <f t="shared" ca="1" si="15"/>
        <v>30526306.859062586</v>
      </c>
      <c r="T55" s="341">
        <v>0</v>
      </c>
      <c r="U55" s="341">
        <v>0.11849999999999999</v>
      </c>
      <c r="V55" s="341">
        <v>0.11849999999999999</v>
      </c>
      <c r="W55" s="341">
        <v>0.11849999999999999</v>
      </c>
      <c r="X55" s="281">
        <f t="shared" si="34"/>
        <v>1.9E-2</v>
      </c>
      <c r="Y55" s="282">
        <f t="shared" si="27"/>
        <v>0.1</v>
      </c>
      <c r="AA55" s="391">
        <f t="shared" ca="1" si="16"/>
        <v>0</v>
      </c>
      <c r="AB55" s="400">
        <f t="shared" ca="1" si="8"/>
        <v>0</v>
      </c>
      <c r="AC55" s="258">
        <f t="shared" ca="1" si="8"/>
        <v>0</v>
      </c>
      <c r="AD55" s="258">
        <f t="shared" ca="1" si="8"/>
        <v>0</v>
      </c>
      <c r="AE55" s="402">
        <f t="shared" ca="1" si="8"/>
        <v>0</v>
      </c>
      <c r="AF55" s="402">
        <f t="shared" ca="1" si="8"/>
        <v>0</v>
      </c>
      <c r="AG55" s="404">
        <f t="shared" ca="1" si="17"/>
        <v>0</v>
      </c>
      <c r="AH55" s="415">
        <f t="shared" ca="1" si="18"/>
        <v>0</v>
      </c>
      <c r="AI55" s="415">
        <f t="shared" ca="1" si="19"/>
        <v>0</v>
      </c>
      <c r="AJ55" s="416">
        <f t="shared" ca="1" si="20"/>
        <v>0</v>
      </c>
      <c r="AK55" s="416">
        <f t="shared" ca="1" si="21"/>
        <v>0</v>
      </c>
      <c r="AL55" s="417">
        <v>0</v>
      </c>
      <c r="AM55" s="269">
        <f t="shared" ca="1" si="29"/>
        <v>0</v>
      </c>
      <c r="AN55" s="422">
        <f t="shared" ca="1" si="33"/>
        <v>18.29</v>
      </c>
      <c r="AO55" s="423">
        <f t="shared" ca="1" si="33"/>
        <v>25727391.2880999</v>
      </c>
      <c r="AP55" s="271">
        <f t="shared" ca="1" si="33"/>
        <v>0</v>
      </c>
      <c r="AQ55" s="271">
        <f t="shared" ca="1" si="33"/>
        <v>0.11849999999999999</v>
      </c>
      <c r="AR55" s="271">
        <f t="shared" ca="1" si="33"/>
        <v>0.11849999999999999</v>
      </c>
      <c r="AS55" s="271">
        <f t="shared" ca="1" si="33"/>
        <v>0.11849999999999999</v>
      </c>
      <c r="AT55" s="271">
        <f t="shared" ca="1" si="33"/>
        <v>0.02</v>
      </c>
      <c r="AU55" s="278">
        <f t="shared" ca="1" si="33"/>
        <v>0.1</v>
      </c>
    </row>
    <row r="56" spans="2:47" ht="13.15" thickBot="1" x14ac:dyDescent="0.4">
      <c r="B56" s="18">
        <f t="shared" si="30"/>
        <v>37</v>
      </c>
      <c r="C56" s="85">
        <f t="shared" ca="1" si="10"/>
        <v>0</v>
      </c>
      <c r="D56" s="85">
        <f t="shared" ca="1" si="2"/>
        <v>0</v>
      </c>
      <c r="E56" s="84">
        <f t="shared" ca="1" si="11"/>
        <v>0</v>
      </c>
      <c r="F56" s="135">
        <f t="shared" ca="1" si="25"/>
        <v>0</v>
      </c>
      <c r="G56" s="409">
        <f t="shared" ca="1" si="4"/>
        <v>0</v>
      </c>
      <c r="H56" s="409">
        <f t="shared" ca="1" si="5"/>
        <v>0</v>
      </c>
      <c r="I56" s="275">
        <f t="shared" ca="1" si="26"/>
        <v>0</v>
      </c>
      <c r="J56" s="275">
        <f t="shared" ca="1" si="12"/>
        <v>0</v>
      </c>
      <c r="K56" s="137">
        <f t="shared" ca="1" si="28"/>
        <v>0</v>
      </c>
      <c r="L56" s="15" t="str">
        <f t="shared" ca="1" si="35"/>
        <v>F</v>
      </c>
      <c r="M56" s="88">
        <f t="shared" ca="1" si="35"/>
        <v>0</v>
      </c>
      <c r="N56" s="88">
        <f t="shared" ca="1" si="35"/>
        <v>0</v>
      </c>
      <c r="O56" s="432">
        <v>1000000000000000</v>
      </c>
      <c r="P56" s="69">
        <v>109575</v>
      </c>
      <c r="Q56" s="3">
        <f t="shared" si="13"/>
        <v>64588</v>
      </c>
      <c r="R56" s="107">
        <f t="shared" ca="1" si="14"/>
        <v>18.189999999999998</v>
      </c>
      <c r="S56" s="105">
        <f t="shared" ca="1" si="15"/>
        <v>30526306.859062586</v>
      </c>
      <c r="T56" s="341">
        <v>0</v>
      </c>
      <c r="U56" s="341">
        <v>0.11849999999999999</v>
      </c>
      <c r="V56" s="341">
        <v>0.11849999999999999</v>
      </c>
      <c r="W56" s="341">
        <v>0.11849999999999999</v>
      </c>
      <c r="X56" s="281">
        <f t="shared" si="34"/>
        <v>1.9E-2</v>
      </c>
      <c r="Y56" s="282">
        <f t="shared" si="27"/>
        <v>0.1</v>
      </c>
      <c r="AA56" s="391">
        <f t="shared" ca="1" si="16"/>
        <v>0</v>
      </c>
      <c r="AB56" s="400">
        <f t="shared" ca="1" si="8"/>
        <v>0</v>
      </c>
      <c r="AC56" s="258">
        <f t="shared" ca="1" si="8"/>
        <v>0</v>
      </c>
      <c r="AD56" s="258">
        <f t="shared" ca="1" si="8"/>
        <v>0</v>
      </c>
      <c r="AE56" s="402">
        <f t="shared" ca="1" si="8"/>
        <v>0</v>
      </c>
      <c r="AF56" s="402">
        <f t="shared" ca="1" si="8"/>
        <v>0</v>
      </c>
      <c r="AG56" s="404">
        <f t="shared" ca="1" si="17"/>
        <v>0</v>
      </c>
      <c r="AH56" s="415">
        <f t="shared" ca="1" si="18"/>
        <v>0</v>
      </c>
      <c r="AI56" s="415">
        <f t="shared" ca="1" si="19"/>
        <v>0</v>
      </c>
      <c r="AJ56" s="416">
        <f t="shared" ca="1" si="20"/>
        <v>0</v>
      </c>
      <c r="AK56" s="416">
        <f t="shared" ca="1" si="21"/>
        <v>0</v>
      </c>
      <c r="AL56" s="417">
        <v>0</v>
      </c>
      <c r="AM56" s="269">
        <f t="shared" ca="1" si="29"/>
        <v>0</v>
      </c>
      <c r="AN56" s="422">
        <f t="shared" ca="1" si="33"/>
        <v>18.29</v>
      </c>
      <c r="AO56" s="423">
        <f t="shared" ca="1" si="33"/>
        <v>25727391.2880999</v>
      </c>
      <c r="AP56" s="271">
        <f t="shared" ca="1" si="33"/>
        <v>0</v>
      </c>
      <c r="AQ56" s="271">
        <f t="shared" ca="1" si="33"/>
        <v>0.11849999999999999</v>
      </c>
      <c r="AR56" s="271">
        <f t="shared" ca="1" si="33"/>
        <v>0.11849999999999999</v>
      </c>
      <c r="AS56" s="271">
        <f t="shared" ca="1" si="33"/>
        <v>0.11849999999999999</v>
      </c>
      <c r="AT56" s="271">
        <f t="shared" ca="1" si="33"/>
        <v>0.02</v>
      </c>
      <c r="AU56" s="278">
        <f t="shared" ca="1" si="33"/>
        <v>0.1</v>
      </c>
    </row>
    <row r="57" spans="2:47" ht="13.15" thickBot="1" x14ac:dyDescent="0.4">
      <c r="B57" s="18">
        <f t="shared" si="30"/>
        <v>38</v>
      </c>
      <c r="C57" s="85">
        <f t="shared" ca="1" si="10"/>
        <v>0</v>
      </c>
      <c r="D57" s="85">
        <f t="shared" ca="1" si="2"/>
        <v>0</v>
      </c>
      <c r="E57" s="84">
        <f t="shared" ca="1" si="11"/>
        <v>0</v>
      </c>
      <c r="F57" s="135">
        <f t="shared" ca="1" si="25"/>
        <v>0</v>
      </c>
      <c r="G57" s="409">
        <f t="shared" ca="1" si="4"/>
        <v>0</v>
      </c>
      <c r="H57" s="409">
        <f t="shared" ca="1" si="5"/>
        <v>0</v>
      </c>
      <c r="I57" s="275">
        <f t="shared" ca="1" si="26"/>
        <v>0</v>
      </c>
      <c r="J57" s="275">
        <f t="shared" ca="1" si="12"/>
        <v>0</v>
      </c>
      <c r="K57" s="137">
        <f t="shared" ca="1" si="28"/>
        <v>0</v>
      </c>
      <c r="L57" s="15" t="str">
        <f t="shared" ca="1" si="35"/>
        <v>F</v>
      </c>
      <c r="M57" s="88">
        <f t="shared" ca="1" si="35"/>
        <v>0</v>
      </c>
      <c r="N57" s="88">
        <f t="shared" ca="1" si="35"/>
        <v>0</v>
      </c>
      <c r="O57" s="432">
        <v>1000000000000000</v>
      </c>
      <c r="P57" s="69">
        <v>109575</v>
      </c>
      <c r="Q57" s="3">
        <f t="shared" si="13"/>
        <v>64588</v>
      </c>
      <c r="R57" s="107">
        <f t="shared" ca="1" si="14"/>
        <v>18.189999999999998</v>
      </c>
      <c r="S57" s="105">
        <f t="shared" ca="1" si="15"/>
        <v>30526306.859062586</v>
      </c>
      <c r="T57" s="341">
        <v>0</v>
      </c>
      <c r="U57" s="341">
        <v>0.11849999999999999</v>
      </c>
      <c r="V57" s="341">
        <v>0.11849999999999999</v>
      </c>
      <c r="W57" s="341">
        <v>0.11849999999999999</v>
      </c>
      <c r="X57" s="281">
        <f t="shared" si="34"/>
        <v>1.9E-2</v>
      </c>
      <c r="Y57" s="282">
        <f t="shared" si="27"/>
        <v>0.1</v>
      </c>
      <c r="AA57" s="391">
        <f t="shared" ca="1" si="16"/>
        <v>0</v>
      </c>
      <c r="AB57" s="400">
        <f t="shared" ca="1" si="8"/>
        <v>0</v>
      </c>
      <c r="AC57" s="258">
        <f t="shared" ca="1" si="8"/>
        <v>0</v>
      </c>
      <c r="AD57" s="258">
        <f t="shared" ca="1" si="8"/>
        <v>0</v>
      </c>
      <c r="AE57" s="402">
        <f t="shared" ca="1" si="8"/>
        <v>0</v>
      </c>
      <c r="AF57" s="402">
        <f t="shared" ca="1" si="8"/>
        <v>0</v>
      </c>
      <c r="AG57" s="404">
        <f t="shared" ca="1" si="17"/>
        <v>0</v>
      </c>
      <c r="AH57" s="415">
        <f t="shared" ca="1" si="18"/>
        <v>0</v>
      </c>
      <c r="AI57" s="415">
        <f t="shared" ca="1" si="19"/>
        <v>0</v>
      </c>
      <c r="AJ57" s="416">
        <f t="shared" ca="1" si="20"/>
        <v>0</v>
      </c>
      <c r="AK57" s="416">
        <f t="shared" ca="1" si="21"/>
        <v>0</v>
      </c>
      <c r="AL57" s="417">
        <v>0</v>
      </c>
      <c r="AM57" s="269">
        <f t="shared" ca="1" si="29"/>
        <v>0</v>
      </c>
      <c r="AN57" s="422">
        <f t="shared" ca="1" si="33"/>
        <v>18.29</v>
      </c>
      <c r="AO57" s="423">
        <f t="shared" ca="1" si="33"/>
        <v>25727391.2880999</v>
      </c>
      <c r="AP57" s="271">
        <f t="shared" ca="1" si="33"/>
        <v>0</v>
      </c>
      <c r="AQ57" s="271">
        <f t="shared" ca="1" si="33"/>
        <v>0.11849999999999999</v>
      </c>
      <c r="AR57" s="271">
        <f t="shared" ca="1" si="33"/>
        <v>0.11849999999999999</v>
      </c>
      <c r="AS57" s="271">
        <f t="shared" ca="1" si="33"/>
        <v>0.11849999999999999</v>
      </c>
      <c r="AT57" s="271">
        <f t="shared" ca="1" si="33"/>
        <v>0.02</v>
      </c>
      <c r="AU57" s="278">
        <f t="shared" ca="1" si="33"/>
        <v>0.1</v>
      </c>
    </row>
    <row r="58" spans="2:47" ht="13.15" thickBot="1" x14ac:dyDescent="0.4">
      <c r="B58" s="18">
        <f t="shared" si="30"/>
        <v>39</v>
      </c>
      <c r="C58" s="85">
        <f t="shared" ca="1" si="10"/>
        <v>0</v>
      </c>
      <c r="D58" s="85">
        <f t="shared" ca="1" si="2"/>
        <v>0</v>
      </c>
      <c r="E58" s="84">
        <f t="shared" ca="1" si="11"/>
        <v>0</v>
      </c>
      <c r="F58" s="135">
        <f t="shared" ca="1" si="25"/>
        <v>0</v>
      </c>
      <c r="G58" s="409">
        <f t="shared" ca="1" si="4"/>
        <v>0</v>
      </c>
      <c r="H58" s="409">
        <f t="shared" ca="1" si="5"/>
        <v>0</v>
      </c>
      <c r="I58" s="275">
        <f t="shared" ca="1" si="26"/>
        <v>0</v>
      </c>
      <c r="J58" s="275">
        <f t="shared" ca="1" si="12"/>
        <v>0</v>
      </c>
      <c r="K58" s="137">
        <f t="shared" ca="1" si="28"/>
        <v>0</v>
      </c>
      <c r="L58" s="15" t="str">
        <f t="shared" ca="1" si="35"/>
        <v>F</v>
      </c>
      <c r="M58" s="88">
        <f t="shared" ca="1" si="35"/>
        <v>0</v>
      </c>
      <c r="N58" s="88">
        <f t="shared" ca="1" si="35"/>
        <v>0</v>
      </c>
      <c r="O58" s="432">
        <v>1000000000000000</v>
      </c>
      <c r="P58" s="69">
        <v>109575</v>
      </c>
      <c r="Q58" s="3">
        <f t="shared" si="13"/>
        <v>64588</v>
      </c>
      <c r="R58" s="107">
        <f t="shared" ca="1" si="14"/>
        <v>18.189999999999998</v>
      </c>
      <c r="S58" s="105">
        <f t="shared" ca="1" si="15"/>
        <v>30526306.859062586</v>
      </c>
      <c r="T58" s="341">
        <v>0</v>
      </c>
      <c r="U58" s="341">
        <v>0.11849999999999999</v>
      </c>
      <c r="V58" s="341">
        <v>0.11849999999999999</v>
      </c>
      <c r="W58" s="341">
        <v>0.11849999999999999</v>
      </c>
      <c r="X58" s="281">
        <f t="shared" si="34"/>
        <v>1.9E-2</v>
      </c>
      <c r="Y58" s="282">
        <f t="shared" si="27"/>
        <v>0.1</v>
      </c>
      <c r="AA58" s="391">
        <f t="shared" ca="1" si="16"/>
        <v>0</v>
      </c>
      <c r="AB58" s="400">
        <f t="shared" ca="1" si="8"/>
        <v>0</v>
      </c>
      <c r="AC58" s="258">
        <f t="shared" ca="1" si="8"/>
        <v>0</v>
      </c>
      <c r="AD58" s="258">
        <f t="shared" ca="1" si="8"/>
        <v>0</v>
      </c>
      <c r="AE58" s="402">
        <f t="shared" ca="1" si="8"/>
        <v>0</v>
      </c>
      <c r="AF58" s="402">
        <f t="shared" ca="1" si="8"/>
        <v>0</v>
      </c>
      <c r="AG58" s="404">
        <f t="shared" ca="1" si="17"/>
        <v>0</v>
      </c>
      <c r="AH58" s="415">
        <f t="shared" ca="1" si="18"/>
        <v>0</v>
      </c>
      <c r="AI58" s="415">
        <f t="shared" ca="1" si="19"/>
        <v>0</v>
      </c>
      <c r="AJ58" s="416">
        <f t="shared" ca="1" si="20"/>
        <v>0</v>
      </c>
      <c r="AK58" s="416">
        <f t="shared" ca="1" si="21"/>
        <v>0</v>
      </c>
      <c r="AL58" s="417">
        <v>0</v>
      </c>
      <c r="AM58" s="269">
        <f t="shared" ca="1" si="29"/>
        <v>0</v>
      </c>
      <c r="AN58" s="422">
        <f t="shared" ca="1" si="33"/>
        <v>18.29</v>
      </c>
      <c r="AO58" s="423">
        <f t="shared" ca="1" si="33"/>
        <v>25727391.2880999</v>
      </c>
      <c r="AP58" s="271">
        <f t="shared" ca="1" si="33"/>
        <v>0</v>
      </c>
      <c r="AQ58" s="271">
        <f t="shared" ca="1" si="33"/>
        <v>0.11849999999999999</v>
      </c>
      <c r="AR58" s="271">
        <f t="shared" ca="1" si="33"/>
        <v>0.11849999999999999</v>
      </c>
      <c r="AS58" s="271">
        <f t="shared" ca="1" si="33"/>
        <v>0.11849999999999999</v>
      </c>
      <c r="AT58" s="271">
        <f t="shared" ca="1" si="33"/>
        <v>0.02</v>
      </c>
      <c r="AU58" s="278">
        <f t="shared" ca="1" si="33"/>
        <v>0.1</v>
      </c>
    </row>
    <row r="59" spans="2:47" ht="13.15" thickBot="1" x14ac:dyDescent="0.4">
      <c r="B59" s="18">
        <f t="shared" si="30"/>
        <v>40</v>
      </c>
      <c r="C59" s="85">
        <f t="shared" ca="1" si="10"/>
        <v>0</v>
      </c>
      <c r="D59" s="85">
        <f t="shared" ca="1" si="2"/>
        <v>0</v>
      </c>
      <c r="E59" s="84">
        <f t="shared" ca="1" si="11"/>
        <v>0</v>
      </c>
      <c r="F59" s="135">
        <f t="shared" ca="1" si="25"/>
        <v>0</v>
      </c>
      <c r="G59" s="409">
        <f t="shared" ca="1" si="4"/>
        <v>0</v>
      </c>
      <c r="H59" s="409">
        <f t="shared" ca="1" si="5"/>
        <v>0</v>
      </c>
      <c r="I59" s="275">
        <f t="shared" ca="1" si="26"/>
        <v>0</v>
      </c>
      <c r="J59" s="275">
        <f t="shared" ca="1" si="12"/>
        <v>0</v>
      </c>
      <c r="K59" s="137">
        <f t="shared" ca="1" si="28"/>
        <v>0</v>
      </c>
      <c r="L59" s="15" t="str">
        <f t="shared" ca="1" si="35"/>
        <v>F</v>
      </c>
      <c r="M59" s="88">
        <f t="shared" ca="1" si="35"/>
        <v>0</v>
      </c>
      <c r="N59" s="88">
        <f t="shared" ca="1" si="35"/>
        <v>0</v>
      </c>
      <c r="O59" s="432">
        <v>1000000000000000</v>
      </c>
      <c r="P59" s="69">
        <v>109575</v>
      </c>
      <c r="Q59" s="3">
        <f t="shared" si="13"/>
        <v>64588</v>
      </c>
      <c r="R59" s="107">
        <f t="shared" ca="1" si="14"/>
        <v>18.189999999999998</v>
      </c>
      <c r="S59" s="105">
        <f t="shared" ca="1" si="15"/>
        <v>30526306.859062586</v>
      </c>
      <c r="T59" s="341">
        <v>0</v>
      </c>
      <c r="U59" s="341">
        <v>0.11849999999999999</v>
      </c>
      <c r="V59" s="341">
        <v>0.11849999999999999</v>
      </c>
      <c r="W59" s="341">
        <v>0.11849999999999999</v>
      </c>
      <c r="X59" s="281">
        <f t="shared" si="34"/>
        <v>1.9E-2</v>
      </c>
      <c r="Y59" s="282">
        <f t="shared" si="27"/>
        <v>0.1</v>
      </c>
      <c r="AA59" s="391">
        <f t="shared" ca="1" si="16"/>
        <v>0</v>
      </c>
      <c r="AB59" s="400">
        <f t="shared" ca="1" si="8"/>
        <v>0</v>
      </c>
      <c r="AC59" s="258">
        <f t="shared" ca="1" si="8"/>
        <v>0</v>
      </c>
      <c r="AD59" s="258">
        <f t="shared" ca="1" si="8"/>
        <v>0</v>
      </c>
      <c r="AE59" s="402">
        <f t="shared" ca="1" si="8"/>
        <v>0</v>
      </c>
      <c r="AF59" s="402">
        <f t="shared" ca="1" si="8"/>
        <v>0</v>
      </c>
      <c r="AG59" s="404">
        <f t="shared" ca="1" si="17"/>
        <v>0</v>
      </c>
      <c r="AH59" s="415">
        <f t="shared" ca="1" si="18"/>
        <v>0</v>
      </c>
      <c r="AI59" s="415">
        <f t="shared" ca="1" si="19"/>
        <v>0</v>
      </c>
      <c r="AJ59" s="416">
        <f t="shared" ca="1" si="20"/>
        <v>0</v>
      </c>
      <c r="AK59" s="416">
        <f t="shared" ca="1" si="21"/>
        <v>0</v>
      </c>
      <c r="AL59" s="417">
        <v>0</v>
      </c>
      <c r="AM59" s="269">
        <f t="shared" ca="1" si="29"/>
        <v>0</v>
      </c>
      <c r="AN59" s="422">
        <f t="shared" ca="1" si="33"/>
        <v>18.29</v>
      </c>
      <c r="AO59" s="423">
        <f t="shared" ca="1" si="33"/>
        <v>25727391.2880999</v>
      </c>
      <c r="AP59" s="271">
        <f t="shared" ca="1" si="33"/>
        <v>0</v>
      </c>
      <c r="AQ59" s="271">
        <f t="shared" ca="1" si="33"/>
        <v>0.11849999999999999</v>
      </c>
      <c r="AR59" s="271">
        <f t="shared" ca="1" si="33"/>
        <v>0.11849999999999999</v>
      </c>
      <c r="AS59" s="271">
        <f t="shared" ca="1" si="33"/>
        <v>0.11849999999999999</v>
      </c>
      <c r="AT59" s="271">
        <f t="shared" ca="1" si="33"/>
        <v>0.02</v>
      </c>
      <c r="AU59" s="278">
        <f t="shared" ca="1" si="33"/>
        <v>0.1</v>
      </c>
    </row>
    <row r="60" spans="2:47" ht="13.15" thickBot="1" x14ac:dyDescent="0.4">
      <c r="B60" s="18">
        <f t="shared" si="30"/>
        <v>41</v>
      </c>
      <c r="C60" s="85">
        <f t="shared" ca="1" si="10"/>
        <v>0</v>
      </c>
      <c r="D60" s="85">
        <f t="shared" ca="1" si="2"/>
        <v>0</v>
      </c>
      <c r="E60" s="84">
        <f t="shared" ca="1" si="11"/>
        <v>0</v>
      </c>
      <c r="F60" s="135">
        <f t="shared" ca="1" si="25"/>
        <v>0</v>
      </c>
      <c r="G60" s="409">
        <f t="shared" ca="1" si="4"/>
        <v>0</v>
      </c>
      <c r="H60" s="409">
        <f t="shared" ca="1" si="5"/>
        <v>0</v>
      </c>
      <c r="I60" s="275">
        <f t="shared" ca="1" si="26"/>
        <v>0</v>
      </c>
      <c r="J60" s="275">
        <f t="shared" ca="1" si="12"/>
        <v>0</v>
      </c>
      <c r="K60" s="137">
        <f t="shared" ca="1" si="28"/>
        <v>0</v>
      </c>
      <c r="L60" s="15" t="str">
        <f t="shared" ca="1" si="35"/>
        <v>F</v>
      </c>
      <c r="M60" s="88">
        <f t="shared" ca="1" si="35"/>
        <v>0</v>
      </c>
      <c r="N60" s="88">
        <f t="shared" ca="1" si="35"/>
        <v>0</v>
      </c>
      <c r="O60" s="432">
        <v>1000000000000000</v>
      </c>
      <c r="P60" s="69">
        <v>109575</v>
      </c>
      <c r="Q60" s="3">
        <f t="shared" si="13"/>
        <v>64588</v>
      </c>
      <c r="R60" s="107">
        <f t="shared" ca="1" si="14"/>
        <v>18.189999999999998</v>
      </c>
      <c r="S60" s="105">
        <f t="shared" ca="1" si="15"/>
        <v>30526306.859062586</v>
      </c>
      <c r="T60" s="341">
        <v>0</v>
      </c>
      <c r="U60" s="341">
        <v>0.11849999999999999</v>
      </c>
      <c r="V60" s="341">
        <v>0.11849999999999999</v>
      </c>
      <c r="W60" s="341">
        <v>0.11849999999999999</v>
      </c>
      <c r="X60" s="281">
        <f t="shared" si="34"/>
        <v>1.9E-2</v>
      </c>
      <c r="Y60" s="282">
        <f t="shared" si="27"/>
        <v>0.1</v>
      </c>
      <c r="AA60" s="391">
        <f t="shared" ca="1" si="16"/>
        <v>0</v>
      </c>
      <c r="AB60" s="400">
        <f t="shared" ca="1" si="8"/>
        <v>0</v>
      </c>
      <c r="AC60" s="258">
        <f t="shared" ca="1" si="8"/>
        <v>0</v>
      </c>
      <c r="AD60" s="258">
        <f t="shared" ca="1" si="8"/>
        <v>0</v>
      </c>
      <c r="AE60" s="402">
        <f t="shared" ca="1" si="8"/>
        <v>0</v>
      </c>
      <c r="AF60" s="402">
        <f t="shared" ca="1" si="8"/>
        <v>0</v>
      </c>
      <c r="AG60" s="404">
        <f t="shared" ca="1" si="17"/>
        <v>0</v>
      </c>
      <c r="AH60" s="415">
        <f t="shared" ca="1" si="18"/>
        <v>0</v>
      </c>
      <c r="AI60" s="415">
        <f t="shared" ca="1" si="19"/>
        <v>0</v>
      </c>
      <c r="AJ60" s="416">
        <f t="shared" ca="1" si="20"/>
        <v>0</v>
      </c>
      <c r="AK60" s="416">
        <f t="shared" ca="1" si="21"/>
        <v>0</v>
      </c>
      <c r="AL60" s="417">
        <v>0</v>
      </c>
      <c r="AM60" s="269">
        <f t="shared" ca="1" si="29"/>
        <v>0</v>
      </c>
      <c r="AN60" s="422">
        <f t="shared" ca="1" si="33"/>
        <v>18.29</v>
      </c>
      <c r="AO60" s="423">
        <f t="shared" ca="1" si="33"/>
        <v>25727391.2880999</v>
      </c>
      <c r="AP60" s="271">
        <f t="shared" ca="1" si="33"/>
        <v>0</v>
      </c>
      <c r="AQ60" s="271">
        <f t="shared" ca="1" si="33"/>
        <v>0.11849999999999999</v>
      </c>
      <c r="AR60" s="271">
        <f t="shared" ca="1" si="33"/>
        <v>0.11849999999999999</v>
      </c>
      <c r="AS60" s="271">
        <f t="shared" ca="1" si="33"/>
        <v>0.11849999999999999</v>
      </c>
      <c r="AT60" s="271">
        <f t="shared" ca="1" si="33"/>
        <v>0.02</v>
      </c>
      <c r="AU60" s="278">
        <f t="shared" ca="1" si="33"/>
        <v>0.1</v>
      </c>
    </row>
    <row r="61" spans="2:47" ht="13.15" thickBot="1" x14ac:dyDescent="0.4">
      <c r="B61" s="18">
        <f t="shared" si="30"/>
        <v>42</v>
      </c>
      <c r="C61" s="85">
        <f t="shared" ca="1" si="10"/>
        <v>0</v>
      </c>
      <c r="D61" s="85">
        <f t="shared" ca="1" si="2"/>
        <v>0</v>
      </c>
      <c r="E61" s="84">
        <f t="shared" ca="1" si="11"/>
        <v>0</v>
      </c>
      <c r="F61" s="135">
        <f t="shared" ca="1" si="25"/>
        <v>0</v>
      </c>
      <c r="G61" s="409">
        <f t="shared" ca="1" si="4"/>
        <v>0</v>
      </c>
      <c r="H61" s="409">
        <f t="shared" ca="1" si="5"/>
        <v>0</v>
      </c>
      <c r="I61" s="275">
        <f t="shared" ca="1" si="26"/>
        <v>0</v>
      </c>
      <c r="J61" s="275">
        <f t="shared" ca="1" si="12"/>
        <v>0</v>
      </c>
      <c r="K61" s="137">
        <f t="shared" ca="1" si="28"/>
        <v>0</v>
      </c>
      <c r="L61" s="15" t="str">
        <f t="shared" ca="1" si="35"/>
        <v>F</v>
      </c>
      <c r="M61" s="88">
        <f t="shared" ca="1" si="35"/>
        <v>0</v>
      </c>
      <c r="N61" s="88">
        <f t="shared" ca="1" si="35"/>
        <v>0</v>
      </c>
      <c r="O61" s="432">
        <v>1000000000000000</v>
      </c>
      <c r="P61" s="69">
        <v>109575</v>
      </c>
      <c r="Q61" s="3">
        <f t="shared" si="13"/>
        <v>64588</v>
      </c>
      <c r="R61" s="107">
        <f t="shared" ca="1" si="14"/>
        <v>18.189999999999998</v>
      </c>
      <c r="S61" s="105">
        <f t="shared" ca="1" si="15"/>
        <v>30526306.859062586</v>
      </c>
      <c r="T61" s="341">
        <v>0</v>
      </c>
      <c r="U61" s="341">
        <v>0.11849999999999999</v>
      </c>
      <c r="V61" s="341">
        <v>0.11849999999999999</v>
      </c>
      <c r="W61" s="341">
        <v>0.11849999999999999</v>
      </c>
      <c r="X61" s="281">
        <f t="shared" si="34"/>
        <v>1.9E-2</v>
      </c>
      <c r="Y61" s="282">
        <f t="shared" si="27"/>
        <v>0.1</v>
      </c>
      <c r="AA61" s="391">
        <f t="shared" ca="1" si="16"/>
        <v>0</v>
      </c>
      <c r="AB61" s="400">
        <f t="shared" ca="1" si="8"/>
        <v>0</v>
      </c>
      <c r="AC61" s="258">
        <f t="shared" ca="1" si="8"/>
        <v>0</v>
      </c>
      <c r="AD61" s="258">
        <f t="shared" ca="1" si="8"/>
        <v>0</v>
      </c>
      <c r="AE61" s="402">
        <f t="shared" ca="1" si="8"/>
        <v>0</v>
      </c>
      <c r="AF61" s="402">
        <f t="shared" ca="1" si="8"/>
        <v>0</v>
      </c>
      <c r="AG61" s="404">
        <f t="shared" ca="1" si="17"/>
        <v>0</v>
      </c>
      <c r="AH61" s="415">
        <f t="shared" ca="1" si="18"/>
        <v>0</v>
      </c>
      <c r="AI61" s="415">
        <f t="shared" ca="1" si="19"/>
        <v>0</v>
      </c>
      <c r="AJ61" s="416">
        <f t="shared" ca="1" si="20"/>
        <v>0</v>
      </c>
      <c r="AK61" s="416">
        <f t="shared" ca="1" si="21"/>
        <v>0</v>
      </c>
      <c r="AL61" s="417">
        <v>0</v>
      </c>
      <c r="AM61" s="269">
        <f t="shared" ca="1" si="29"/>
        <v>0</v>
      </c>
      <c r="AN61" s="422">
        <f t="shared" ca="1" si="33"/>
        <v>18.29</v>
      </c>
      <c r="AO61" s="423">
        <f t="shared" ca="1" si="33"/>
        <v>25727391.2880999</v>
      </c>
      <c r="AP61" s="271">
        <f t="shared" ca="1" si="33"/>
        <v>0</v>
      </c>
      <c r="AQ61" s="271">
        <f t="shared" ca="1" si="33"/>
        <v>0.11849999999999999</v>
      </c>
      <c r="AR61" s="271">
        <f t="shared" ca="1" si="33"/>
        <v>0.11849999999999999</v>
      </c>
      <c r="AS61" s="271">
        <f t="shared" ca="1" si="33"/>
        <v>0.11849999999999999</v>
      </c>
      <c r="AT61" s="271">
        <f t="shared" ca="1" si="33"/>
        <v>0.02</v>
      </c>
      <c r="AU61" s="278">
        <f t="shared" ca="1" si="33"/>
        <v>0.1</v>
      </c>
    </row>
    <row r="62" spans="2:47" ht="13.15" thickBot="1" x14ac:dyDescent="0.4">
      <c r="B62" s="18">
        <f t="shared" si="30"/>
        <v>43</v>
      </c>
      <c r="C62" s="85">
        <f t="shared" ca="1" si="10"/>
        <v>0</v>
      </c>
      <c r="D62" s="85">
        <f t="shared" ca="1" si="2"/>
        <v>0</v>
      </c>
      <c r="E62" s="84">
        <f t="shared" ca="1" si="11"/>
        <v>0</v>
      </c>
      <c r="F62" s="135">
        <f t="shared" ca="1" si="25"/>
        <v>0</v>
      </c>
      <c r="G62" s="409">
        <f t="shared" ca="1" si="4"/>
        <v>0</v>
      </c>
      <c r="H62" s="409">
        <f t="shared" ca="1" si="5"/>
        <v>0</v>
      </c>
      <c r="I62" s="275">
        <f t="shared" ca="1" si="26"/>
        <v>0</v>
      </c>
      <c r="J62" s="275">
        <f t="shared" ca="1" si="12"/>
        <v>0</v>
      </c>
      <c r="K62" s="137">
        <f t="shared" ca="1" si="28"/>
        <v>0</v>
      </c>
      <c r="L62" s="15" t="str">
        <f t="shared" ca="1" si="35"/>
        <v>F</v>
      </c>
      <c r="M62" s="88">
        <f t="shared" ca="1" si="35"/>
        <v>0</v>
      </c>
      <c r="N62" s="88">
        <f t="shared" ca="1" si="35"/>
        <v>0</v>
      </c>
      <c r="O62" s="432">
        <v>1000000000000000</v>
      </c>
      <c r="P62" s="69">
        <v>109575</v>
      </c>
      <c r="Q62" s="3">
        <f t="shared" si="13"/>
        <v>64588</v>
      </c>
      <c r="R62" s="107">
        <f t="shared" ca="1" si="14"/>
        <v>18.189999999999998</v>
      </c>
      <c r="S62" s="105">
        <f t="shared" ca="1" si="15"/>
        <v>30526306.859062586</v>
      </c>
      <c r="T62" s="341">
        <v>0</v>
      </c>
      <c r="U62" s="341">
        <v>0.11849999999999999</v>
      </c>
      <c r="V62" s="341">
        <v>0.11849999999999999</v>
      </c>
      <c r="W62" s="341">
        <v>0.11849999999999999</v>
      </c>
      <c r="X62" s="281">
        <f t="shared" si="34"/>
        <v>1.9E-2</v>
      </c>
      <c r="Y62" s="282">
        <f t="shared" si="27"/>
        <v>0.1</v>
      </c>
      <c r="AA62" s="391">
        <f t="shared" ca="1" si="16"/>
        <v>0</v>
      </c>
      <c r="AB62" s="400">
        <f t="shared" ca="1" si="8"/>
        <v>0</v>
      </c>
      <c r="AC62" s="258">
        <f t="shared" ca="1" si="8"/>
        <v>0</v>
      </c>
      <c r="AD62" s="258">
        <f t="shared" ca="1" si="8"/>
        <v>0</v>
      </c>
      <c r="AE62" s="402">
        <f t="shared" ca="1" si="8"/>
        <v>0</v>
      </c>
      <c r="AF62" s="402">
        <f t="shared" ca="1" si="8"/>
        <v>0</v>
      </c>
      <c r="AG62" s="404">
        <f t="shared" ca="1" si="17"/>
        <v>0</v>
      </c>
      <c r="AH62" s="415">
        <f t="shared" ca="1" si="18"/>
        <v>0</v>
      </c>
      <c r="AI62" s="415">
        <f t="shared" ca="1" si="19"/>
        <v>0</v>
      </c>
      <c r="AJ62" s="416">
        <f t="shared" ca="1" si="20"/>
        <v>0</v>
      </c>
      <c r="AK62" s="416">
        <f t="shared" ca="1" si="21"/>
        <v>0</v>
      </c>
      <c r="AL62" s="417">
        <v>0</v>
      </c>
      <c r="AM62" s="269">
        <f t="shared" ca="1" si="29"/>
        <v>0</v>
      </c>
      <c r="AN62" s="422">
        <f t="shared" ca="1" si="33"/>
        <v>18.29</v>
      </c>
      <c r="AO62" s="423">
        <f t="shared" ca="1" si="33"/>
        <v>25727391.2880999</v>
      </c>
      <c r="AP62" s="271">
        <f t="shared" ca="1" si="33"/>
        <v>0</v>
      </c>
      <c r="AQ62" s="271">
        <f t="shared" ca="1" si="33"/>
        <v>0.11849999999999999</v>
      </c>
      <c r="AR62" s="271">
        <f t="shared" ca="1" si="33"/>
        <v>0.11849999999999999</v>
      </c>
      <c r="AS62" s="271">
        <f t="shared" ca="1" si="33"/>
        <v>0.11849999999999999</v>
      </c>
      <c r="AT62" s="271">
        <f t="shared" ca="1" si="33"/>
        <v>0.02</v>
      </c>
      <c r="AU62" s="278">
        <f t="shared" ca="1" si="33"/>
        <v>0.1</v>
      </c>
    </row>
    <row r="63" spans="2:47" ht="13.15" thickBot="1" x14ac:dyDescent="0.4">
      <c r="B63" s="18">
        <f t="shared" si="30"/>
        <v>44</v>
      </c>
      <c r="C63" s="85">
        <f t="shared" ca="1" si="10"/>
        <v>0</v>
      </c>
      <c r="D63" s="85">
        <f t="shared" ca="1" si="2"/>
        <v>0</v>
      </c>
      <c r="E63" s="84">
        <f t="shared" ca="1" si="11"/>
        <v>0</v>
      </c>
      <c r="F63" s="135">
        <f t="shared" ca="1" si="25"/>
        <v>0</v>
      </c>
      <c r="G63" s="409">
        <f t="shared" ca="1" si="4"/>
        <v>0</v>
      </c>
      <c r="H63" s="409">
        <f t="shared" ca="1" si="5"/>
        <v>0</v>
      </c>
      <c r="I63" s="275">
        <f t="shared" ca="1" si="26"/>
        <v>0</v>
      </c>
      <c r="J63" s="275">
        <f t="shared" ca="1" si="12"/>
        <v>0</v>
      </c>
      <c r="K63" s="137">
        <f t="shared" ca="1" si="28"/>
        <v>0</v>
      </c>
      <c r="L63" s="15" t="str">
        <f t="shared" ca="1" si="35"/>
        <v>F</v>
      </c>
      <c r="M63" s="88">
        <f t="shared" ca="1" si="35"/>
        <v>0</v>
      </c>
      <c r="N63" s="88">
        <f t="shared" ca="1" si="35"/>
        <v>0</v>
      </c>
      <c r="O63" s="432">
        <v>1000000000000000</v>
      </c>
      <c r="P63" s="69">
        <v>109575</v>
      </c>
      <c r="Q63" s="3">
        <f t="shared" si="13"/>
        <v>64588</v>
      </c>
      <c r="R63" s="107">
        <f t="shared" ca="1" si="14"/>
        <v>18.189999999999998</v>
      </c>
      <c r="S63" s="105">
        <f t="shared" ca="1" si="15"/>
        <v>30526306.859062586</v>
      </c>
      <c r="T63" s="341">
        <v>0</v>
      </c>
      <c r="U63" s="341">
        <v>0.11849999999999999</v>
      </c>
      <c r="V63" s="341">
        <v>0.11849999999999999</v>
      </c>
      <c r="W63" s="341">
        <v>0.11849999999999999</v>
      </c>
      <c r="X63" s="281">
        <f t="shared" si="34"/>
        <v>1.9E-2</v>
      </c>
      <c r="Y63" s="282">
        <f t="shared" si="27"/>
        <v>0.1</v>
      </c>
      <c r="AA63" s="391">
        <f t="shared" ca="1" si="16"/>
        <v>0</v>
      </c>
      <c r="AB63" s="400">
        <f t="shared" ca="1" si="8"/>
        <v>0</v>
      </c>
      <c r="AC63" s="258">
        <f t="shared" ca="1" si="8"/>
        <v>0</v>
      </c>
      <c r="AD63" s="258">
        <f t="shared" ca="1" si="8"/>
        <v>0</v>
      </c>
      <c r="AE63" s="402">
        <f t="shared" ca="1" si="8"/>
        <v>0</v>
      </c>
      <c r="AF63" s="402">
        <f t="shared" ca="1" si="8"/>
        <v>0</v>
      </c>
      <c r="AG63" s="404">
        <f t="shared" ca="1" si="17"/>
        <v>0</v>
      </c>
      <c r="AH63" s="415">
        <f t="shared" ca="1" si="18"/>
        <v>0</v>
      </c>
      <c r="AI63" s="415">
        <f t="shared" ca="1" si="19"/>
        <v>0</v>
      </c>
      <c r="AJ63" s="416">
        <f t="shared" ca="1" si="20"/>
        <v>0</v>
      </c>
      <c r="AK63" s="416">
        <f t="shared" ca="1" si="21"/>
        <v>0</v>
      </c>
      <c r="AL63" s="417">
        <v>0</v>
      </c>
      <c r="AM63" s="269">
        <f t="shared" ca="1" si="29"/>
        <v>0</v>
      </c>
      <c r="AN63" s="422">
        <f t="shared" ca="1" si="33"/>
        <v>18.29</v>
      </c>
      <c r="AO63" s="423">
        <f t="shared" ca="1" si="33"/>
        <v>25727391.2880999</v>
      </c>
      <c r="AP63" s="271">
        <f t="shared" ca="1" si="33"/>
        <v>0</v>
      </c>
      <c r="AQ63" s="271">
        <f t="shared" ca="1" si="33"/>
        <v>0.11849999999999999</v>
      </c>
      <c r="AR63" s="271">
        <f t="shared" ca="1" si="33"/>
        <v>0.11849999999999999</v>
      </c>
      <c r="AS63" s="271">
        <f t="shared" ca="1" si="33"/>
        <v>0.11849999999999999</v>
      </c>
      <c r="AT63" s="271">
        <f t="shared" ca="1" si="33"/>
        <v>0.02</v>
      </c>
      <c r="AU63" s="278">
        <f t="shared" ca="1" si="33"/>
        <v>0.1</v>
      </c>
    </row>
    <row r="64" spans="2:47" ht="13.15" thickBot="1" x14ac:dyDescent="0.4">
      <c r="B64" s="18">
        <f t="shared" si="30"/>
        <v>45</v>
      </c>
      <c r="C64" s="85">
        <f t="shared" ca="1" si="10"/>
        <v>0</v>
      </c>
      <c r="D64" s="85">
        <f t="shared" ca="1" si="2"/>
        <v>0</v>
      </c>
      <c r="E64" s="84">
        <f t="shared" ca="1" si="11"/>
        <v>0</v>
      </c>
      <c r="F64" s="135">
        <f t="shared" ca="1" si="25"/>
        <v>0</v>
      </c>
      <c r="G64" s="409">
        <f t="shared" ca="1" si="4"/>
        <v>0</v>
      </c>
      <c r="H64" s="409">
        <f t="shared" ca="1" si="5"/>
        <v>0</v>
      </c>
      <c r="I64" s="275">
        <f t="shared" ca="1" si="26"/>
        <v>0</v>
      </c>
      <c r="J64" s="275">
        <f t="shared" ca="1" si="12"/>
        <v>0</v>
      </c>
      <c r="K64" s="137">
        <f t="shared" ca="1" si="28"/>
        <v>0</v>
      </c>
      <c r="L64" s="15" t="str">
        <f t="shared" ca="1" si="35"/>
        <v>F</v>
      </c>
      <c r="M64" s="88">
        <f t="shared" ca="1" si="35"/>
        <v>0</v>
      </c>
      <c r="N64" s="88">
        <f t="shared" ca="1" si="35"/>
        <v>0</v>
      </c>
      <c r="O64" s="432">
        <v>1000000000000000</v>
      </c>
      <c r="P64" s="69">
        <v>109575</v>
      </c>
      <c r="Q64" s="3">
        <f t="shared" si="13"/>
        <v>64588</v>
      </c>
      <c r="R64" s="107">
        <f t="shared" ca="1" si="14"/>
        <v>18.189999999999998</v>
      </c>
      <c r="S64" s="105">
        <f t="shared" ca="1" si="15"/>
        <v>30526306.859062586</v>
      </c>
      <c r="T64" s="341">
        <v>0</v>
      </c>
      <c r="U64" s="341">
        <v>0.11849999999999999</v>
      </c>
      <c r="V64" s="341">
        <v>0.11849999999999999</v>
      </c>
      <c r="W64" s="341">
        <v>0.11849999999999999</v>
      </c>
      <c r="X64" s="281">
        <f t="shared" si="34"/>
        <v>1.9E-2</v>
      </c>
      <c r="Y64" s="282">
        <f t="shared" si="27"/>
        <v>0.1</v>
      </c>
      <c r="AA64" s="391">
        <f t="shared" ca="1" si="16"/>
        <v>0</v>
      </c>
      <c r="AB64" s="400">
        <f t="shared" ca="1" si="8"/>
        <v>0</v>
      </c>
      <c r="AC64" s="258">
        <f t="shared" ca="1" si="8"/>
        <v>0</v>
      </c>
      <c r="AD64" s="258">
        <f t="shared" ca="1" si="8"/>
        <v>0</v>
      </c>
      <c r="AE64" s="402">
        <f t="shared" ca="1" si="8"/>
        <v>0</v>
      </c>
      <c r="AF64" s="402">
        <f t="shared" ca="1" si="8"/>
        <v>0</v>
      </c>
      <c r="AG64" s="404">
        <f t="shared" ca="1" si="17"/>
        <v>0</v>
      </c>
      <c r="AH64" s="415">
        <f t="shared" ca="1" si="18"/>
        <v>0</v>
      </c>
      <c r="AI64" s="415">
        <f t="shared" ca="1" si="19"/>
        <v>0</v>
      </c>
      <c r="AJ64" s="416">
        <f t="shared" ca="1" si="20"/>
        <v>0</v>
      </c>
      <c r="AK64" s="416">
        <f t="shared" ca="1" si="21"/>
        <v>0</v>
      </c>
      <c r="AL64" s="417">
        <v>0</v>
      </c>
      <c r="AM64" s="269">
        <f t="shared" ca="1" si="29"/>
        <v>0</v>
      </c>
      <c r="AN64" s="422">
        <f t="shared" ca="1" si="33"/>
        <v>18.29</v>
      </c>
      <c r="AO64" s="423">
        <f t="shared" ca="1" si="33"/>
        <v>25727391.2880999</v>
      </c>
      <c r="AP64" s="271">
        <f t="shared" ca="1" si="33"/>
        <v>0</v>
      </c>
      <c r="AQ64" s="271">
        <f t="shared" ca="1" si="33"/>
        <v>0.11849999999999999</v>
      </c>
      <c r="AR64" s="271">
        <f t="shared" ca="1" si="33"/>
        <v>0.11849999999999999</v>
      </c>
      <c r="AS64" s="271">
        <f t="shared" ca="1" si="33"/>
        <v>0.11849999999999999</v>
      </c>
      <c r="AT64" s="271">
        <f t="shared" ca="1" si="33"/>
        <v>0.02</v>
      </c>
      <c r="AU64" s="278">
        <f t="shared" ca="1" si="33"/>
        <v>0.1</v>
      </c>
    </row>
    <row r="65" spans="2:47" ht="13.15" thickBot="1" x14ac:dyDescent="0.4">
      <c r="B65" s="18">
        <f t="shared" si="30"/>
        <v>46</v>
      </c>
      <c r="C65" s="85">
        <f t="shared" ca="1" si="10"/>
        <v>0</v>
      </c>
      <c r="D65" s="85">
        <f t="shared" ca="1" si="2"/>
        <v>0</v>
      </c>
      <c r="E65" s="84">
        <f t="shared" ca="1" si="11"/>
        <v>0</v>
      </c>
      <c r="F65" s="135">
        <f t="shared" ca="1" si="25"/>
        <v>0</v>
      </c>
      <c r="G65" s="409">
        <f t="shared" ca="1" si="4"/>
        <v>0</v>
      </c>
      <c r="H65" s="409">
        <f t="shared" ca="1" si="5"/>
        <v>0</v>
      </c>
      <c r="I65" s="275">
        <f t="shared" ca="1" si="26"/>
        <v>0</v>
      </c>
      <c r="J65" s="275">
        <f t="shared" ca="1" si="12"/>
        <v>0</v>
      </c>
      <c r="K65" s="137">
        <f t="shared" ca="1" si="28"/>
        <v>0</v>
      </c>
      <c r="L65" s="15" t="str">
        <f t="shared" ca="1" si="35"/>
        <v>F</v>
      </c>
      <c r="M65" s="88">
        <f t="shared" ca="1" si="35"/>
        <v>0</v>
      </c>
      <c r="N65" s="88">
        <f t="shared" ca="1" si="35"/>
        <v>0</v>
      </c>
      <c r="O65" s="432">
        <v>1000000000000000</v>
      </c>
      <c r="P65" s="69">
        <v>109575</v>
      </c>
      <c r="Q65" s="3">
        <f t="shared" si="13"/>
        <v>64588</v>
      </c>
      <c r="R65" s="107">
        <f t="shared" ca="1" si="14"/>
        <v>18.189999999999998</v>
      </c>
      <c r="S65" s="105">
        <f t="shared" ca="1" si="15"/>
        <v>30526306.859062586</v>
      </c>
      <c r="T65" s="341">
        <v>0</v>
      </c>
      <c r="U65" s="341">
        <v>0.11849999999999999</v>
      </c>
      <c r="V65" s="341">
        <v>0.11849999999999999</v>
      </c>
      <c r="W65" s="341">
        <v>0.11849999999999999</v>
      </c>
      <c r="X65" s="281">
        <f t="shared" si="34"/>
        <v>1.9E-2</v>
      </c>
      <c r="Y65" s="282">
        <f t="shared" si="27"/>
        <v>0.1</v>
      </c>
      <c r="AA65" s="391">
        <f t="shared" ca="1" si="16"/>
        <v>0</v>
      </c>
      <c r="AB65" s="400">
        <f t="shared" ca="1" si="8"/>
        <v>0</v>
      </c>
      <c r="AC65" s="258">
        <f t="shared" ca="1" si="8"/>
        <v>0</v>
      </c>
      <c r="AD65" s="258">
        <f t="shared" ca="1" si="8"/>
        <v>0</v>
      </c>
      <c r="AE65" s="402">
        <f t="shared" ca="1" si="8"/>
        <v>0</v>
      </c>
      <c r="AF65" s="402">
        <f t="shared" ca="1" si="8"/>
        <v>0</v>
      </c>
      <c r="AG65" s="404">
        <f t="shared" ca="1" si="17"/>
        <v>0</v>
      </c>
      <c r="AH65" s="415">
        <f t="shared" ca="1" si="18"/>
        <v>0</v>
      </c>
      <c r="AI65" s="415">
        <f t="shared" ca="1" si="19"/>
        <v>0</v>
      </c>
      <c r="AJ65" s="416">
        <f t="shared" ca="1" si="20"/>
        <v>0</v>
      </c>
      <c r="AK65" s="416">
        <f t="shared" ca="1" si="21"/>
        <v>0</v>
      </c>
      <c r="AL65" s="417">
        <v>0</v>
      </c>
      <c r="AM65" s="269">
        <f t="shared" ca="1" si="29"/>
        <v>0</v>
      </c>
      <c r="AN65" s="422">
        <f t="shared" ca="1" si="33"/>
        <v>18.29</v>
      </c>
      <c r="AO65" s="423">
        <f t="shared" ca="1" si="33"/>
        <v>25727391.2880999</v>
      </c>
      <c r="AP65" s="271">
        <f t="shared" ca="1" si="33"/>
        <v>0</v>
      </c>
      <c r="AQ65" s="271">
        <f t="shared" ca="1" si="33"/>
        <v>0.11849999999999999</v>
      </c>
      <c r="AR65" s="271">
        <f t="shared" ca="1" si="33"/>
        <v>0.11849999999999999</v>
      </c>
      <c r="AS65" s="271">
        <f t="shared" ca="1" si="33"/>
        <v>0.11849999999999999</v>
      </c>
      <c r="AT65" s="271">
        <f t="shared" ca="1" si="33"/>
        <v>0.02</v>
      </c>
      <c r="AU65" s="278">
        <f t="shared" ca="1" si="33"/>
        <v>0.1</v>
      </c>
    </row>
    <row r="66" spans="2:47" ht="13.15" thickBot="1" x14ac:dyDescent="0.4">
      <c r="B66" s="18">
        <f t="shared" si="30"/>
        <v>47</v>
      </c>
      <c r="C66" s="85">
        <f t="shared" ca="1" si="10"/>
        <v>0</v>
      </c>
      <c r="D66" s="85">
        <f t="shared" ca="1" si="2"/>
        <v>0</v>
      </c>
      <c r="E66" s="84">
        <f t="shared" ca="1" si="11"/>
        <v>0</v>
      </c>
      <c r="F66" s="135">
        <f t="shared" ca="1" si="25"/>
        <v>0</v>
      </c>
      <c r="G66" s="409">
        <f t="shared" ca="1" si="4"/>
        <v>0</v>
      </c>
      <c r="H66" s="409">
        <f t="shared" ca="1" si="5"/>
        <v>0</v>
      </c>
      <c r="I66" s="275">
        <f t="shared" ca="1" si="26"/>
        <v>0</v>
      </c>
      <c r="J66" s="275">
        <f t="shared" ca="1" si="12"/>
        <v>0</v>
      </c>
      <c r="K66" s="137">
        <f t="shared" ca="1" si="28"/>
        <v>0</v>
      </c>
      <c r="L66" s="15" t="str">
        <f t="shared" ca="1" si="35"/>
        <v>F</v>
      </c>
      <c r="M66" s="88">
        <f t="shared" ca="1" si="35"/>
        <v>0</v>
      </c>
      <c r="N66" s="88">
        <f t="shared" ca="1" si="35"/>
        <v>0</v>
      </c>
      <c r="O66" s="432">
        <v>1000000000000000</v>
      </c>
      <c r="P66" s="69">
        <v>109575</v>
      </c>
      <c r="Q66" s="3">
        <f t="shared" si="13"/>
        <v>64588</v>
      </c>
      <c r="R66" s="107">
        <f t="shared" ca="1" si="14"/>
        <v>18.189999999999998</v>
      </c>
      <c r="S66" s="105">
        <f t="shared" ca="1" si="15"/>
        <v>30526306.859062586</v>
      </c>
      <c r="T66" s="341">
        <v>0</v>
      </c>
      <c r="U66" s="341">
        <v>0.11849999999999999</v>
      </c>
      <c r="V66" s="341">
        <v>0.11849999999999999</v>
      </c>
      <c r="W66" s="341">
        <v>0.11849999999999999</v>
      </c>
      <c r="X66" s="281">
        <f t="shared" si="34"/>
        <v>1.9E-2</v>
      </c>
      <c r="Y66" s="282">
        <f t="shared" si="27"/>
        <v>0.1</v>
      </c>
      <c r="AA66" s="391">
        <f t="shared" ca="1" si="16"/>
        <v>0</v>
      </c>
      <c r="AB66" s="400">
        <f t="shared" ca="1" si="8"/>
        <v>0</v>
      </c>
      <c r="AC66" s="258">
        <f t="shared" ca="1" si="8"/>
        <v>0</v>
      </c>
      <c r="AD66" s="258">
        <f t="shared" ca="1" si="8"/>
        <v>0</v>
      </c>
      <c r="AE66" s="402">
        <f t="shared" ca="1" si="8"/>
        <v>0</v>
      </c>
      <c r="AF66" s="402">
        <f t="shared" ca="1" si="8"/>
        <v>0</v>
      </c>
      <c r="AG66" s="404">
        <f t="shared" ca="1" si="17"/>
        <v>0</v>
      </c>
      <c r="AH66" s="415">
        <f t="shared" ca="1" si="18"/>
        <v>0</v>
      </c>
      <c r="AI66" s="415">
        <f t="shared" ca="1" si="19"/>
        <v>0</v>
      </c>
      <c r="AJ66" s="416">
        <f t="shared" ca="1" si="20"/>
        <v>0</v>
      </c>
      <c r="AK66" s="416">
        <f t="shared" ca="1" si="21"/>
        <v>0</v>
      </c>
      <c r="AL66" s="417">
        <v>0</v>
      </c>
      <c r="AM66" s="269">
        <f t="shared" ca="1" si="29"/>
        <v>0</v>
      </c>
      <c r="AN66" s="422">
        <f t="shared" ca="1" si="33"/>
        <v>18.29</v>
      </c>
      <c r="AO66" s="423">
        <f t="shared" ca="1" si="33"/>
        <v>25727391.2880999</v>
      </c>
      <c r="AP66" s="271">
        <f t="shared" ca="1" si="33"/>
        <v>0</v>
      </c>
      <c r="AQ66" s="271">
        <f t="shared" ca="1" si="33"/>
        <v>0.11849999999999999</v>
      </c>
      <c r="AR66" s="271">
        <f t="shared" ca="1" si="33"/>
        <v>0.11849999999999999</v>
      </c>
      <c r="AS66" s="271">
        <f t="shared" ca="1" si="33"/>
        <v>0.11849999999999999</v>
      </c>
      <c r="AT66" s="271">
        <f t="shared" ca="1" si="33"/>
        <v>0.02</v>
      </c>
      <c r="AU66" s="278">
        <f t="shared" ca="1" si="33"/>
        <v>0.1</v>
      </c>
    </row>
    <row r="67" spans="2:47" ht="13.15" thickBot="1" x14ac:dyDescent="0.4">
      <c r="B67" s="18">
        <f t="shared" si="30"/>
        <v>48</v>
      </c>
      <c r="C67" s="85">
        <f t="shared" ca="1" si="10"/>
        <v>0</v>
      </c>
      <c r="D67" s="85">
        <f t="shared" ca="1" si="2"/>
        <v>0</v>
      </c>
      <c r="E67" s="84">
        <f t="shared" ca="1" si="11"/>
        <v>0</v>
      </c>
      <c r="F67" s="135">
        <f t="shared" ca="1" si="25"/>
        <v>0</v>
      </c>
      <c r="G67" s="409">
        <f t="shared" ca="1" si="4"/>
        <v>0</v>
      </c>
      <c r="H67" s="409">
        <f t="shared" ca="1" si="5"/>
        <v>0</v>
      </c>
      <c r="I67" s="275">
        <f t="shared" ca="1" si="26"/>
        <v>0</v>
      </c>
      <c r="J67" s="275">
        <f t="shared" ca="1" si="12"/>
        <v>0</v>
      </c>
      <c r="K67" s="137">
        <f t="shared" ca="1" si="28"/>
        <v>0</v>
      </c>
      <c r="L67" s="15" t="str">
        <f t="shared" ca="1" si="35"/>
        <v>F</v>
      </c>
      <c r="M67" s="88">
        <f t="shared" ca="1" si="35"/>
        <v>0</v>
      </c>
      <c r="N67" s="88">
        <f t="shared" ca="1" si="35"/>
        <v>0</v>
      </c>
      <c r="O67" s="432">
        <v>1000000000000000</v>
      </c>
      <c r="P67" s="69">
        <v>109575</v>
      </c>
      <c r="Q67" s="3">
        <f t="shared" si="13"/>
        <v>64588</v>
      </c>
      <c r="R67" s="107">
        <f t="shared" ca="1" si="14"/>
        <v>18.189999999999998</v>
      </c>
      <c r="S67" s="105">
        <f t="shared" ca="1" si="15"/>
        <v>30526306.859062586</v>
      </c>
      <c r="T67" s="341">
        <v>0</v>
      </c>
      <c r="U67" s="341">
        <v>0.11849999999999999</v>
      </c>
      <c r="V67" s="341">
        <v>0.11849999999999999</v>
      </c>
      <c r="W67" s="341">
        <v>0.11849999999999999</v>
      </c>
      <c r="X67" s="281">
        <f t="shared" si="34"/>
        <v>1.9E-2</v>
      </c>
      <c r="Y67" s="282">
        <f t="shared" si="27"/>
        <v>0.1</v>
      </c>
      <c r="AA67" s="391">
        <f t="shared" ca="1" si="16"/>
        <v>0</v>
      </c>
      <c r="AB67" s="400">
        <f t="shared" ca="1" si="8"/>
        <v>0</v>
      </c>
      <c r="AC67" s="258">
        <f t="shared" ca="1" si="8"/>
        <v>0</v>
      </c>
      <c r="AD67" s="258">
        <f t="shared" ca="1" si="8"/>
        <v>0</v>
      </c>
      <c r="AE67" s="402">
        <f t="shared" ca="1" si="8"/>
        <v>0</v>
      </c>
      <c r="AF67" s="402">
        <f t="shared" ca="1" si="8"/>
        <v>0</v>
      </c>
      <c r="AG67" s="404">
        <f t="shared" ca="1" si="17"/>
        <v>0</v>
      </c>
      <c r="AH67" s="415">
        <f t="shared" ca="1" si="18"/>
        <v>0</v>
      </c>
      <c r="AI67" s="415">
        <f t="shared" ca="1" si="19"/>
        <v>0</v>
      </c>
      <c r="AJ67" s="416">
        <f t="shared" ca="1" si="20"/>
        <v>0</v>
      </c>
      <c r="AK67" s="416">
        <f t="shared" ca="1" si="21"/>
        <v>0</v>
      </c>
      <c r="AL67" s="417">
        <v>0</v>
      </c>
      <c r="AM67" s="269">
        <f t="shared" ca="1" si="29"/>
        <v>0</v>
      </c>
      <c r="AN67" s="422">
        <f t="shared" ca="1" si="33"/>
        <v>18.29</v>
      </c>
      <c r="AO67" s="423">
        <f t="shared" ca="1" si="33"/>
        <v>25727391.2880999</v>
      </c>
      <c r="AP67" s="271">
        <f t="shared" ca="1" si="33"/>
        <v>0</v>
      </c>
      <c r="AQ67" s="271">
        <f t="shared" ca="1" si="33"/>
        <v>0.11849999999999999</v>
      </c>
      <c r="AR67" s="271">
        <f t="shared" ca="1" si="33"/>
        <v>0.11849999999999999</v>
      </c>
      <c r="AS67" s="271">
        <f t="shared" ca="1" si="33"/>
        <v>0.11849999999999999</v>
      </c>
      <c r="AT67" s="271">
        <f t="shared" ca="1" si="33"/>
        <v>0.02</v>
      </c>
      <c r="AU67" s="278">
        <f t="shared" ca="1" si="33"/>
        <v>0.1</v>
      </c>
    </row>
    <row r="68" spans="2:47" ht="13.15" thickBot="1" x14ac:dyDescent="0.4">
      <c r="B68" s="18">
        <f t="shared" si="30"/>
        <v>49</v>
      </c>
      <c r="C68" s="85">
        <f t="shared" ca="1" si="10"/>
        <v>0</v>
      </c>
      <c r="D68" s="85">
        <f t="shared" ca="1" si="2"/>
        <v>0</v>
      </c>
      <c r="E68" s="84">
        <f t="shared" ca="1" si="11"/>
        <v>0</v>
      </c>
      <c r="F68" s="135">
        <f t="shared" ca="1" si="25"/>
        <v>0</v>
      </c>
      <c r="G68" s="409">
        <f t="shared" ca="1" si="4"/>
        <v>0</v>
      </c>
      <c r="H68" s="409">
        <f t="shared" ca="1" si="5"/>
        <v>0</v>
      </c>
      <c r="I68" s="275">
        <f t="shared" ca="1" si="26"/>
        <v>0</v>
      </c>
      <c r="J68" s="275">
        <f t="shared" ca="1" si="12"/>
        <v>0</v>
      </c>
      <c r="K68" s="137">
        <f t="shared" ca="1" si="28"/>
        <v>0</v>
      </c>
      <c r="L68" s="15" t="str">
        <f t="shared" ca="1" si="35"/>
        <v>F</v>
      </c>
      <c r="M68" s="88">
        <f t="shared" ca="1" si="35"/>
        <v>0</v>
      </c>
      <c r="N68" s="88">
        <f t="shared" ca="1" si="35"/>
        <v>0</v>
      </c>
      <c r="O68" s="432">
        <v>1000000000000000</v>
      </c>
      <c r="P68" s="69">
        <v>109575</v>
      </c>
      <c r="Q68" s="3">
        <f t="shared" si="13"/>
        <v>64588</v>
      </c>
      <c r="R68" s="107">
        <f t="shared" ca="1" si="14"/>
        <v>18.189999999999998</v>
      </c>
      <c r="S68" s="105">
        <f t="shared" ca="1" si="15"/>
        <v>30526306.859062586</v>
      </c>
      <c r="T68" s="341">
        <v>0</v>
      </c>
      <c r="U68" s="341">
        <v>0.11849999999999999</v>
      </c>
      <c r="V68" s="341">
        <v>0.11849999999999999</v>
      </c>
      <c r="W68" s="341">
        <v>0.11849999999999999</v>
      </c>
      <c r="X68" s="281">
        <f t="shared" si="34"/>
        <v>1.9E-2</v>
      </c>
      <c r="Y68" s="282">
        <f t="shared" si="27"/>
        <v>0.1</v>
      </c>
      <c r="AA68" s="391">
        <f t="shared" ca="1" si="16"/>
        <v>0</v>
      </c>
      <c r="AB68" s="400">
        <f t="shared" ca="1" si="8"/>
        <v>0</v>
      </c>
      <c r="AC68" s="258">
        <f t="shared" ca="1" si="8"/>
        <v>0</v>
      </c>
      <c r="AD68" s="258">
        <f t="shared" ca="1" si="8"/>
        <v>0</v>
      </c>
      <c r="AE68" s="402">
        <f t="shared" ca="1" si="8"/>
        <v>0</v>
      </c>
      <c r="AF68" s="402">
        <f t="shared" ca="1" si="8"/>
        <v>0</v>
      </c>
      <c r="AG68" s="404">
        <f t="shared" ca="1" si="17"/>
        <v>0</v>
      </c>
      <c r="AH68" s="415">
        <f t="shared" ca="1" si="18"/>
        <v>0</v>
      </c>
      <c r="AI68" s="415">
        <f t="shared" ca="1" si="19"/>
        <v>0</v>
      </c>
      <c r="AJ68" s="416">
        <f t="shared" ca="1" si="20"/>
        <v>0</v>
      </c>
      <c r="AK68" s="416">
        <f t="shared" ca="1" si="21"/>
        <v>0</v>
      </c>
      <c r="AL68" s="417">
        <v>0</v>
      </c>
      <c r="AM68" s="269">
        <f t="shared" ca="1" si="29"/>
        <v>0</v>
      </c>
      <c r="AN68" s="422">
        <f t="shared" ca="1" si="33"/>
        <v>18.29</v>
      </c>
      <c r="AO68" s="423">
        <f t="shared" ca="1" si="33"/>
        <v>25727391.2880999</v>
      </c>
      <c r="AP68" s="271">
        <f t="shared" ca="1" si="33"/>
        <v>0</v>
      </c>
      <c r="AQ68" s="271">
        <f t="shared" ca="1" si="33"/>
        <v>0.11849999999999999</v>
      </c>
      <c r="AR68" s="271">
        <f t="shared" ca="1" si="33"/>
        <v>0.11849999999999999</v>
      </c>
      <c r="AS68" s="271">
        <f t="shared" ca="1" si="33"/>
        <v>0.11849999999999999</v>
      </c>
      <c r="AT68" s="271">
        <f t="shared" ca="1" si="33"/>
        <v>0.02</v>
      </c>
      <c r="AU68" s="278">
        <f t="shared" ref="AU68:AU110" ca="1" si="36">INDIRECT("'"&amp; $AB$16 &amp;"'!"&amp; ADDRESS(ROW(Y68),COLUMN(Y68),4))</f>
        <v>0.1</v>
      </c>
    </row>
    <row r="69" spans="2:47" ht="13.15" thickBot="1" x14ac:dyDescent="0.4">
      <c r="B69" s="18">
        <f t="shared" si="30"/>
        <v>50</v>
      </c>
      <c r="C69" s="85">
        <f t="shared" ca="1" si="10"/>
        <v>0</v>
      </c>
      <c r="D69" s="85">
        <f t="shared" ca="1" si="2"/>
        <v>0</v>
      </c>
      <c r="E69" s="84">
        <f t="shared" ca="1" si="11"/>
        <v>0</v>
      </c>
      <c r="F69" s="135">
        <f t="shared" ca="1" si="25"/>
        <v>0</v>
      </c>
      <c r="G69" s="409">
        <f t="shared" ca="1" si="4"/>
        <v>0</v>
      </c>
      <c r="H69" s="409">
        <f t="shared" ca="1" si="5"/>
        <v>0</v>
      </c>
      <c r="I69" s="275">
        <f t="shared" ca="1" si="26"/>
        <v>0</v>
      </c>
      <c r="J69" s="275">
        <f t="shared" ca="1" si="12"/>
        <v>0</v>
      </c>
      <c r="K69" s="137">
        <f t="shared" ca="1" si="28"/>
        <v>0</v>
      </c>
      <c r="L69" s="15" t="str">
        <f t="shared" ref="L69:N110" ca="1" si="37">INDIRECT("'"&amp; $AB$16 &amp;"'!"&amp; ADDRESS(ROW(L69),COLUMN(L69),4))</f>
        <v>F</v>
      </c>
      <c r="M69" s="88">
        <f t="shared" ca="1" si="37"/>
        <v>0</v>
      </c>
      <c r="N69" s="88">
        <f t="shared" ca="1" si="37"/>
        <v>0</v>
      </c>
      <c r="O69" s="432">
        <v>1000000000000000</v>
      </c>
      <c r="P69" s="69">
        <v>109575</v>
      </c>
      <c r="Q69" s="3">
        <f t="shared" si="13"/>
        <v>64588</v>
      </c>
      <c r="R69" s="107">
        <f t="shared" ca="1" si="14"/>
        <v>18.189999999999998</v>
      </c>
      <c r="S69" s="105">
        <f t="shared" ca="1" si="15"/>
        <v>30526306.859062586</v>
      </c>
      <c r="T69" s="341">
        <v>0</v>
      </c>
      <c r="U69" s="341">
        <v>0.11849999999999999</v>
      </c>
      <c r="V69" s="341">
        <v>0.11849999999999999</v>
      </c>
      <c r="W69" s="341">
        <v>0.11849999999999999</v>
      </c>
      <c r="X69" s="281">
        <f t="shared" si="34"/>
        <v>1.9E-2</v>
      </c>
      <c r="Y69" s="282">
        <f t="shared" si="27"/>
        <v>0.1</v>
      </c>
      <c r="AA69" s="391">
        <f t="shared" ca="1" si="16"/>
        <v>0</v>
      </c>
      <c r="AB69" s="400">
        <f t="shared" ca="1" si="8"/>
        <v>0</v>
      </c>
      <c r="AC69" s="258">
        <f t="shared" ca="1" si="8"/>
        <v>0</v>
      </c>
      <c r="AD69" s="258">
        <f t="shared" ca="1" si="8"/>
        <v>0</v>
      </c>
      <c r="AE69" s="402">
        <f t="shared" ca="1" si="8"/>
        <v>0</v>
      </c>
      <c r="AF69" s="402">
        <f t="shared" ca="1" si="8"/>
        <v>0</v>
      </c>
      <c r="AG69" s="404">
        <f t="shared" ca="1" si="17"/>
        <v>0</v>
      </c>
      <c r="AH69" s="415">
        <f t="shared" ca="1" si="18"/>
        <v>0</v>
      </c>
      <c r="AI69" s="415">
        <f t="shared" ca="1" si="19"/>
        <v>0</v>
      </c>
      <c r="AJ69" s="416">
        <f t="shared" ca="1" si="20"/>
        <v>0</v>
      </c>
      <c r="AK69" s="416">
        <f t="shared" ca="1" si="21"/>
        <v>0</v>
      </c>
      <c r="AL69" s="417">
        <v>0</v>
      </c>
      <c r="AM69" s="269">
        <f t="shared" ca="1" si="29"/>
        <v>0</v>
      </c>
      <c r="AN69" s="422">
        <f t="shared" ref="AN69:AT105" ca="1" si="38">INDIRECT("'"&amp; $AB$16 &amp;"'!"&amp; ADDRESS(ROW(R69),COLUMN(R69),4))</f>
        <v>18.29</v>
      </c>
      <c r="AO69" s="423">
        <f t="shared" ca="1" si="38"/>
        <v>25727391.2880999</v>
      </c>
      <c r="AP69" s="271">
        <f t="shared" ca="1" si="38"/>
        <v>0</v>
      </c>
      <c r="AQ69" s="271">
        <f t="shared" ca="1" si="38"/>
        <v>0.11849999999999999</v>
      </c>
      <c r="AR69" s="271">
        <f t="shared" ca="1" si="38"/>
        <v>0.11849999999999999</v>
      </c>
      <c r="AS69" s="271">
        <f t="shared" ca="1" si="38"/>
        <v>0.11849999999999999</v>
      </c>
      <c r="AT69" s="271">
        <f t="shared" ca="1" si="38"/>
        <v>0.02</v>
      </c>
      <c r="AU69" s="278">
        <f t="shared" ca="1" si="36"/>
        <v>0.1</v>
      </c>
    </row>
    <row r="70" spans="2:47" ht="13.15" thickBot="1" x14ac:dyDescent="0.4">
      <c r="B70" s="18">
        <f t="shared" si="30"/>
        <v>51</v>
      </c>
      <c r="C70" s="85">
        <f t="shared" ca="1" si="10"/>
        <v>0</v>
      </c>
      <c r="D70" s="85">
        <f t="shared" ca="1" si="2"/>
        <v>0</v>
      </c>
      <c r="E70" s="84">
        <f t="shared" ca="1" si="11"/>
        <v>0</v>
      </c>
      <c r="F70" s="135">
        <f t="shared" ca="1" si="25"/>
        <v>0</v>
      </c>
      <c r="G70" s="409">
        <f t="shared" ca="1" si="4"/>
        <v>0</v>
      </c>
      <c r="H70" s="409">
        <f t="shared" ca="1" si="5"/>
        <v>0</v>
      </c>
      <c r="I70" s="275">
        <f t="shared" ca="1" si="26"/>
        <v>0</v>
      </c>
      <c r="J70" s="275">
        <f t="shared" ca="1" si="12"/>
        <v>0</v>
      </c>
      <c r="K70" s="137">
        <f t="shared" ca="1" si="28"/>
        <v>0</v>
      </c>
      <c r="L70" s="15" t="str">
        <f t="shared" ca="1" si="37"/>
        <v>F</v>
      </c>
      <c r="M70" s="88">
        <f t="shared" ca="1" si="37"/>
        <v>0</v>
      </c>
      <c r="N70" s="88">
        <f t="shared" ca="1" si="37"/>
        <v>0</v>
      </c>
      <c r="O70" s="432">
        <v>1000000000000000</v>
      </c>
      <c r="P70" s="69">
        <v>109575</v>
      </c>
      <c r="Q70" s="3">
        <f t="shared" si="13"/>
        <v>64588</v>
      </c>
      <c r="R70" s="107">
        <f t="shared" ca="1" si="14"/>
        <v>18.189999999999998</v>
      </c>
      <c r="S70" s="105">
        <f t="shared" ca="1" si="15"/>
        <v>30526306.859062586</v>
      </c>
      <c r="T70" s="341">
        <v>0</v>
      </c>
      <c r="U70" s="341">
        <v>0.11849999999999999</v>
      </c>
      <c r="V70" s="341">
        <v>0.11849999999999999</v>
      </c>
      <c r="W70" s="341">
        <v>0.11849999999999999</v>
      </c>
      <c r="X70" s="281">
        <f t="shared" si="34"/>
        <v>1.9E-2</v>
      </c>
      <c r="Y70" s="282">
        <f t="shared" si="27"/>
        <v>0.1</v>
      </c>
      <c r="AA70" s="391">
        <f t="shared" ca="1" si="16"/>
        <v>0</v>
      </c>
      <c r="AB70" s="400">
        <f t="shared" ca="1" si="8"/>
        <v>0</v>
      </c>
      <c r="AC70" s="258">
        <f t="shared" ca="1" si="8"/>
        <v>0</v>
      </c>
      <c r="AD70" s="258">
        <f t="shared" ca="1" si="8"/>
        <v>0</v>
      </c>
      <c r="AE70" s="402">
        <f t="shared" ca="1" si="8"/>
        <v>0</v>
      </c>
      <c r="AF70" s="402">
        <f t="shared" ca="1" si="8"/>
        <v>0</v>
      </c>
      <c r="AG70" s="404">
        <f t="shared" ca="1" si="17"/>
        <v>0</v>
      </c>
      <c r="AH70" s="415">
        <f t="shared" ca="1" si="18"/>
        <v>0</v>
      </c>
      <c r="AI70" s="415">
        <f t="shared" ca="1" si="19"/>
        <v>0</v>
      </c>
      <c r="AJ70" s="416">
        <f t="shared" ca="1" si="20"/>
        <v>0</v>
      </c>
      <c r="AK70" s="416">
        <f t="shared" ca="1" si="21"/>
        <v>0</v>
      </c>
      <c r="AL70" s="417">
        <v>0</v>
      </c>
      <c r="AM70" s="269">
        <f t="shared" ca="1" si="29"/>
        <v>0</v>
      </c>
      <c r="AN70" s="422">
        <f t="shared" ca="1" si="38"/>
        <v>18.29</v>
      </c>
      <c r="AO70" s="423">
        <f t="shared" ca="1" si="38"/>
        <v>25727391.2880999</v>
      </c>
      <c r="AP70" s="271">
        <f t="shared" ca="1" si="38"/>
        <v>0</v>
      </c>
      <c r="AQ70" s="271">
        <f t="shared" ca="1" si="38"/>
        <v>0.11849999999999999</v>
      </c>
      <c r="AR70" s="271">
        <f t="shared" ca="1" si="38"/>
        <v>0.11849999999999999</v>
      </c>
      <c r="AS70" s="271">
        <f t="shared" ca="1" si="38"/>
        <v>0.11849999999999999</v>
      </c>
      <c r="AT70" s="271">
        <f t="shared" ca="1" si="38"/>
        <v>0.02</v>
      </c>
      <c r="AU70" s="278">
        <f t="shared" ca="1" si="36"/>
        <v>0.1</v>
      </c>
    </row>
    <row r="71" spans="2:47" ht="13.15" thickBot="1" x14ac:dyDescent="0.4">
      <c r="B71" s="18">
        <f t="shared" si="30"/>
        <v>52</v>
      </c>
      <c r="C71" s="85">
        <f t="shared" ca="1" si="10"/>
        <v>0</v>
      </c>
      <c r="D71" s="85">
        <f t="shared" ca="1" si="2"/>
        <v>0</v>
      </c>
      <c r="E71" s="84">
        <f t="shared" ca="1" si="11"/>
        <v>0</v>
      </c>
      <c r="F71" s="135">
        <f t="shared" ca="1" si="25"/>
        <v>0</v>
      </c>
      <c r="G71" s="409">
        <f t="shared" ca="1" si="4"/>
        <v>0</v>
      </c>
      <c r="H71" s="409">
        <f t="shared" ca="1" si="5"/>
        <v>0</v>
      </c>
      <c r="I71" s="275">
        <f t="shared" ca="1" si="26"/>
        <v>0</v>
      </c>
      <c r="J71" s="275">
        <f t="shared" ca="1" si="12"/>
        <v>0</v>
      </c>
      <c r="K71" s="137">
        <f t="shared" ca="1" si="28"/>
        <v>0</v>
      </c>
      <c r="L71" s="15" t="str">
        <f t="shared" ca="1" si="37"/>
        <v>F</v>
      </c>
      <c r="M71" s="88">
        <f t="shared" ca="1" si="37"/>
        <v>0</v>
      </c>
      <c r="N71" s="88">
        <f t="shared" ca="1" si="37"/>
        <v>0</v>
      </c>
      <c r="O71" s="432">
        <v>1000000000000000</v>
      </c>
      <c r="P71" s="69">
        <v>109575</v>
      </c>
      <c r="Q71" s="3">
        <f t="shared" si="13"/>
        <v>64588</v>
      </c>
      <c r="R71" s="107">
        <f t="shared" ca="1" si="14"/>
        <v>18.189999999999998</v>
      </c>
      <c r="S71" s="105">
        <f t="shared" ca="1" si="15"/>
        <v>30526306.859062586</v>
      </c>
      <c r="T71" s="341">
        <v>0</v>
      </c>
      <c r="U71" s="341">
        <v>0.11849999999999999</v>
      </c>
      <c r="V71" s="341">
        <v>0.11849999999999999</v>
      </c>
      <c r="W71" s="341">
        <v>0.11849999999999999</v>
      </c>
      <c r="X71" s="281">
        <f t="shared" si="34"/>
        <v>1.9E-2</v>
      </c>
      <c r="Y71" s="282">
        <f t="shared" si="27"/>
        <v>0.1</v>
      </c>
      <c r="AA71" s="391">
        <f t="shared" ca="1" si="16"/>
        <v>0</v>
      </c>
      <c r="AB71" s="400">
        <f t="shared" ca="1" si="16"/>
        <v>0</v>
      </c>
      <c r="AC71" s="258">
        <f t="shared" ca="1" si="16"/>
        <v>0</v>
      </c>
      <c r="AD71" s="258">
        <f t="shared" ca="1" si="16"/>
        <v>0</v>
      </c>
      <c r="AE71" s="402">
        <f t="shared" ca="1" si="16"/>
        <v>0</v>
      </c>
      <c r="AF71" s="402">
        <f t="shared" ca="1" si="16"/>
        <v>0</v>
      </c>
      <c r="AG71" s="404">
        <f t="shared" ca="1" si="17"/>
        <v>0</v>
      </c>
      <c r="AH71" s="415">
        <f t="shared" ca="1" si="18"/>
        <v>0</v>
      </c>
      <c r="AI71" s="415">
        <f t="shared" ca="1" si="19"/>
        <v>0</v>
      </c>
      <c r="AJ71" s="416">
        <f t="shared" ca="1" si="20"/>
        <v>0</v>
      </c>
      <c r="AK71" s="416">
        <f t="shared" ca="1" si="21"/>
        <v>0</v>
      </c>
      <c r="AL71" s="417">
        <v>0</v>
      </c>
      <c r="AM71" s="269">
        <f t="shared" ca="1" si="29"/>
        <v>0</v>
      </c>
      <c r="AN71" s="422">
        <f t="shared" ca="1" si="38"/>
        <v>18.29</v>
      </c>
      <c r="AO71" s="423">
        <f t="shared" ca="1" si="38"/>
        <v>25727391.2880999</v>
      </c>
      <c r="AP71" s="271">
        <f t="shared" ca="1" si="38"/>
        <v>0</v>
      </c>
      <c r="AQ71" s="271">
        <f t="shared" ca="1" si="38"/>
        <v>0.11849999999999999</v>
      </c>
      <c r="AR71" s="271">
        <f t="shared" ca="1" si="38"/>
        <v>0.11849999999999999</v>
      </c>
      <c r="AS71" s="271">
        <f t="shared" ca="1" si="38"/>
        <v>0.11849999999999999</v>
      </c>
      <c r="AT71" s="271">
        <f t="shared" ca="1" si="38"/>
        <v>0.02</v>
      </c>
      <c r="AU71" s="278">
        <f t="shared" ca="1" si="36"/>
        <v>0.1</v>
      </c>
    </row>
    <row r="72" spans="2:47" ht="13.15" thickBot="1" x14ac:dyDescent="0.4">
      <c r="B72" s="18">
        <f t="shared" si="30"/>
        <v>53</v>
      </c>
      <c r="C72" s="85">
        <f t="shared" ca="1" si="10"/>
        <v>0</v>
      </c>
      <c r="D72" s="85">
        <f t="shared" ca="1" si="2"/>
        <v>0</v>
      </c>
      <c r="E72" s="84">
        <f t="shared" ca="1" si="11"/>
        <v>0</v>
      </c>
      <c r="F72" s="135">
        <f t="shared" ca="1" si="25"/>
        <v>0</v>
      </c>
      <c r="G72" s="409">
        <f t="shared" ca="1" si="4"/>
        <v>0</v>
      </c>
      <c r="H72" s="409">
        <f t="shared" ca="1" si="5"/>
        <v>0</v>
      </c>
      <c r="I72" s="275">
        <f t="shared" ca="1" si="26"/>
        <v>0</v>
      </c>
      <c r="J72" s="275">
        <f t="shared" ca="1" si="12"/>
        <v>0</v>
      </c>
      <c r="K72" s="137">
        <f t="shared" ca="1" si="28"/>
        <v>0</v>
      </c>
      <c r="L72" s="15" t="str">
        <f t="shared" ca="1" si="37"/>
        <v>F</v>
      </c>
      <c r="M72" s="88">
        <f t="shared" ca="1" si="37"/>
        <v>0</v>
      </c>
      <c r="N72" s="88">
        <f t="shared" ca="1" si="37"/>
        <v>0</v>
      </c>
      <c r="O72" s="432">
        <v>1000000000000000</v>
      </c>
      <c r="P72" s="69">
        <v>109575</v>
      </c>
      <c r="Q72" s="3">
        <f t="shared" si="13"/>
        <v>64588</v>
      </c>
      <c r="R72" s="107">
        <f t="shared" ca="1" si="14"/>
        <v>18.189999999999998</v>
      </c>
      <c r="S72" s="105">
        <f t="shared" ca="1" si="15"/>
        <v>30526306.859062586</v>
      </c>
      <c r="T72" s="341">
        <v>0</v>
      </c>
      <c r="U72" s="341">
        <v>0.11849999999999999</v>
      </c>
      <c r="V72" s="341">
        <v>0.11849999999999999</v>
      </c>
      <c r="W72" s="341">
        <v>0.11849999999999999</v>
      </c>
      <c r="X72" s="281">
        <f t="shared" si="34"/>
        <v>1.9E-2</v>
      </c>
      <c r="Y72" s="282">
        <f t="shared" si="27"/>
        <v>0.1</v>
      </c>
      <c r="AA72" s="391">
        <f t="shared" ca="1" si="16"/>
        <v>0</v>
      </c>
      <c r="AB72" s="400">
        <f t="shared" ca="1" si="16"/>
        <v>0</v>
      </c>
      <c r="AC72" s="258">
        <f t="shared" ca="1" si="16"/>
        <v>0</v>
      </c>
      <c r="AD72" s="258">
        <f t="shared" ca="1" si="16"/>
        <v>0</v>
      </c>
      <c r="AE72" s="402">
        <f t="shared" ca="1" si="16"/>
        <v>0</v>
      </c>
      <c r="AF72" s="402">
        <f t="shared" ca="1" si="16"/>
        <v>0</v>
      </c>
      <c r="AG72" s="404">
        <f t="shared" ca="1" si="17"/>
        <v>0</v>
      </c>
      <c r="AH72" s="415">
        <f t="shared" ca="1" si="18"/>
        <v>0</v>
      </c>
      <c r="AI72" s="415">
        <f t="shared" ca="1" si="19"/>
        <v>0</v>
      </c>
      <c r="AJ72" s="416">
        <f t="shared" ca="1" si="20"/>
        <v>0</v>
      </c>
      <c r="AK72" s="416">
        <f t="shared" ca="1" si="21"/>
        <v>0</v>
      </c>
      <c r="AL72" s="417">
        <v>0</v>
      </c>
      <c r="AM72" s="269">
        <f t="shared" ca="1" si="29"/>
        <v>0</v>
      </c>
      <c r="AN72" s="422">
        <f t="shared" ca="1" si="38"/>
        <v>18.29</v>
      </c>
      <c r="AO72" s="423">
        <f t="shared" ca="1" si="38"/>
        <v>25727391.2880999</v>
      </c>
      <c r="AP72" s="271">
        <f t="shared" ca="1" si="38"/>
        <v>0</v>
      </c>
      <c r="AQ72" s="271">
        <f t="shared" ca="1" si="38"/>
        <v>0.11849999999999999</v>
      </c>
      <c r="AR72" s="271">
        <f t="shared" ca="1" si="38"/>
        <v>0.11849999999999999</v>
      </c>
      <c r="AS72" s="271">
        <f t="shared" ca="1" si="38"/>
        <v>0.11849999999999999</v>
      </c>
      <c r="AT72" s="271">
        <f t="shared" ca="1" si="38"/>
        <v>0.02</v>
      </c>
      <c r="AU72" s="278">
        <f t="shared" ca="1" si="36"/>
        <v>0.1</v>
      </c>
    </row>
    <row r="73" spans="2:47" ht="13.15" thickBot="1" x14ac:dyDescent="0.4">
      <c r="B73" s="18">
        <f t="shared" si="30"/>
        <v>54</v>
      </c>
      <c r="C73" s="85">
        <f t="shared" ca="1" si="10"/>
        <v>0</v>
      </c>
      <c r="D73" s="85">
        <f t="shared" ca="1" si="2"/>
        <v>0</v>
      </c>
      <c r="E73" s="84">
        <f t="shared" ca="1" si="11"/>
        <v>0</v>
      </c>
      <c r="F73" s="135">
        <f t="shared" ca="1" si="25"/>
        <v>0</v>
      </c>
      <c r="G73" s="409">
        <f t="shared" ca="1" si="4"/>
        <v>0</v>
      </c>
      <c r="H73" s="409">
        <f t="shared" ca="1" si="5"/>
        <v>0</v>
      </c>
      <c r="I73" s="275">
        <f t="shared" ca="1" si="26"/>
        <v>0</v>
      </c>
      <c r="J73" s="275">
        <f t="shared" ca="1" si="12"/>
        <v>0</v>
      </c>
      <c r="K73" s="137">
        <f t="shared" ca="1" si="28"/>
        <v>0</v>
      </c>
      <c r="L73" s="15" t="str">
        <f t="shared" ca="1" si="37"/>
        <v>F</v>
      </c>
      <c r="M73" s="88">
        <f t="shared" ca="1" si="37"/>
        <v>0</v>
      </c>
      <c r="N73" s="88">
        <f t="shared" ca="1" si="37"/>
        <v>0</v>
      </c>
      <c r="O73" s="432">
        <v>1000000000000000</v>
      </c>
      <c r="P73" s="69">
        <v>109575</v>
      </c>
      <c r="Q73" s="3">
        <f t="shared" si="13"/>
        <v>64588</v>
      </c>
      <c r="R73" s="107">
        <f t="shared" ca="1" si="14"/>
        <v>18.189999999999998</v>
      </c>
      <c r="S73" s="105">
        <f t="shared" ca="1" si="15"/>
        <v>30526306.859062586</v>
      </c>
      <c r="T73" s="341">
        <v>0</v>
      </c>
      <c r="U73" s="341">
        <v>0.11849999999999999</v>
      </c>
      <c r="V73" s="341">
        <v>0.11849999999999999</v>
      </c>
      <c r="W73" s="341">
        <v>0.11849999999999999</v>
      </c>
      <c r="X73" s="281">
        <f t="shared" si="34"/>
        <v>1.9E-2</v>
      </c>
      <c r="Y73" s="282">
        <f t="shared" si="27"/>
        <v>0.1</v>
      </c>
      <c r="AA73" s="391">
        <f t="shared" ca="1" si="16"/>
        <v>0</v>
      </c>
      <c r="AB73" s="400">
        <f t="shared" ca="1" si="16"/>
        <v>0</v>
      </c>
      <c r="AC73" s="258">
        <f t="shared" ca="1" si="16"/>
        <v>0</v>
      </c>
      <c r="AD73" s="258">
        <f t="shared" ca="1" si="16"/>
        <v>0</v>
      </c>
      <c r="AE73" s="402">
        <f t="shared" ca="1" si="16"/>
        <v>0</v>
      </c>
      <c r="AF73" s="402">
        <f t="shared" ca="1" si="16"/>
        <v>0</v>
      </c>
      <c r="AG73" s="404">
        <f t="shared" ca="1" si="17"/>
        <v>0</v>
      </c>
      <c r="AH73" s="415">
        <f t="shared" ca="1" si="18"/>
        <v>0</v>
      </c>
      <c r="AI73" s="415">
        <f t="shared" ca="1" si="19"/>
        <v>0</v>
      </c>
      <c r="AJ73" s="416">
        <f t="shared" ca="1" si="20"/>
        <v>0</v>
      </c>
      <c r="AK73" s="416">
        <f t="shared" ca="1" si="21"/>
        <v>0</v>
      </c>
      <c r="AL73" s="417">
        <v>0</v>
      </c>
      <c r="AM73" s="269">
        <f t="shared" ca="1" si="29"/>
        <v>0</v>
      </c>
      <c r="AN73" s="422">
        <f t="shared" ca="1" si="38"/>
        <v>18.29</v>
      </c>
      <c r="AO73" s="423">
        <f t="shared" ca="1" si="38"/>
        <v>25727391.2880999</v>
      </c>
      <c r="AP73" s="271">
        <f t="shared" ca="1" si="38"/>
        <v>0</v>
      </c>
      <c r="AQ73" s="271">
        <f t="shared" ca="1" si="38"/>
        <v>0.11849999999999999</v>
      </c>
      <c r="AR73" s="271">
        <f t="shared" ca="1" si="38"/>
        <v>0.11849999999999999</v>
      </c>
      <c r="AS73" s="271">
        <f t="shared" ca="1" si="38"/>
        <v>0.11849999999999999</v>
      </c>
      <c r="AT73" s="271">
        <f t="shared" ca="1" si="38"/>
        <v>0.02</v>
      </c>
      <c r="AU73" s="278">
        <f t="shared" ca="1" si="36"/>
        <v>0.1</v>
      </c>
    </row>
    <row r="74" spans="2:47" ht="13.15" thickBot="1" x14ac:dyDescent="0.4">
      <c r="B74" s="18">
        <f t="shared" si="30"/>
        <v>55</v>
      </c>
      <c r="C74" s="85">
        <f t="shared" ca="1" si="10"/>
        <v>0</v>
      </c>
      <c r="D74" s="85">
        <f t="shared" ca="1" si="2"/>
        <v>0</v>
      </c>
      <c r="E74" s="84">
        <f t="shared" ca="1" si="11"/>
        <v>0</v>
      </c>
      <c r="F74" s="135">
        <f t="shared" ca="1" si="25"/>
        <v>0</v>
      </c>
      <c r="G74" s="409">
        <f t="shared" ca="1" si="4"/>
        <v>0</v>
      </c>
      <c r="H74" s="409">
        <f t="shared" ca="1" si="5"/>
        <v>0</v>
      </c>
      <c r="I74" s="275">
        <f t="shared" ca="1" si="26"/>
        <v>0</v>
      </c>
      <c r="J74" s="275">
        <f t="shared" ca="1" si="12"/>
        <v>0</v>
      </c>
      <c r="K74" s="137">
        <f t="shared" ca="1" si="28"/>
        <v>0</v>
      </c>
      <c r="L74" s="15" t="str">
        <f t="shared" ca="1" si="37"/>
        <v>F</v>
      </c>
      <c r="M74" s="88">
        <f t="shared" ca="1" si="37"/>
        <v>0</v>
      </c>
      <c r="N74" s="88">
        <f t="shared" ca="1" si="37"/>
        <v>0</v>
      </c>
      <c r="O74" s="432">
        <v>1000000000000000</v>
      </c>
      <c r="P74" s="69">
        <v>109575</v>
      </c>
      <c r="Q74" s="3">
        <f t="shared" si="13"/>
        <v>64588</v>
      </c>
      <c r="R74" s="107">
        <f t="shared" ca="1" si="14"/>
        <v>18.189999999999998</v>
      </c>
      <c r="S74" s="105">
        <f t="shared" ca="1" si="15"/>
        <v>30526306.859062586</v>
      </c>
      <c r="T74" s="341">
        <v>0</v>
      </c>
      <c r="U74" s="341">
        <v>0.11849999999999999</v>
      </c>
      <c r="V74" s="341">
        <v>0.11849999999999999</v>
      </c>
      <c r="W74" s="341">
        <v>0.11849999999999999</v>
      </c>
      <c r="X74" s="281">
        <f t="shared" si="34"/>
        <v>1.9E-2</v>
      </c>
      <c r="Y74" s="282">
        <f t="shared" si="27"/>
        <v>0.1</v>
      </c>
      <c r="AA74" s="391">
        <f t="shared" ca="1" si="16"/>
        <v>0</v>
      </c>
      <c r="AB74" s="400">
        <f t="shared" ca="1" si="16"/>
        <v>0</v>
      </c>
      <c r="AC74" s="258">
        <f t="shared" ca="1" si="16"/>
        <v>0</v>
      </c>
      <c r="AD74" s="258">
        <f t="shared" ca="1" si="16"/>
        <v>0</v>
      </c>
      <c r="AE74" s="402">
        <f t="shared" ca="1" si="16"/>
        <v>0</v>
      </c>
      <c r="AF74" s="402">
        <f t="shared" ca="1" si="16"/>
        <v>0</v>
      </c>
      <c r="AG74" s="404">
        <f t="shared" ca="1" si="17"/>
        <v>0</v>
      </c>
      <c r="AH74" s="415">
        <f t="shared" ca="1" si="18"/>
        <v>0</v>
      </c>
      <c r="AI74" s="415">
        <f t="shared" ca="1" si="19"/>
        <v>0</v>
      </c>
      <c r="AJ74" s="416">
        <f t="shared" ca="1" si="20"/>
        <v>0</v>
      </c>
      <c r="AK74" s="416">
        <f t="shared" ca="1" si="21"/>
        <v>0</v>
      </c>
      <c r="AL74" s="417">
        <v>0</v>
      </c>
      <c r="AM74" s="269">
        <f t="shared" ca="1" si="29"/>
        <v>0</v>
      </c>
      <c r="AN74" s="422">
        <f t="shared" ca="1" si="38"/>
        <v>18.29</v>
      </c>
      <c r="AO74" s="423">
        <f t="shared" ca="1" si="38"/>
        <v>25727391.2880999</v>
      </c>
      <c r="AP74" s="271">
        <f t="shared" ca="1" si="38"/>
        <v>0</v>
      </c>
      <c r="AQ74" s="271">
        <f t="shared" ca="1" si="38"/>
        <v>0.11849999999999999</v>
      </c>
      <c r="AR74" s="271">
        <f t="shared" ca="1" si="38"/>
        <v>0.11849999999999999</v>
      </c>
      <c r="AS74" s="271">
        <f t="shared" ca="1" si="38"/>
        <v>0.11849999999999999</v>
      </c>
      <c r="AT74" s="271">
        <f t="shared" ca="1" si="38"/>
        <v>0.02</v>
      </c>
      <c r="AU74" s="278">
        <f t="shared" ca="1" si="36"/>
        <v>0.1</v>
      </c>
    </row>
    <row r="75" spans="2:47" ht="13.15" thickBot="1" x14ac:dyDescent="0.4">
      <c r="B75" s="18">
        <f t="shared" si="30"/>
        <v>56</v>
      </c>
      <c r="C75" s="85">
        <f t="shared" ca="1" si="10"/>
        <v>0</v>
      </c>
      <c r="D75" s="85">
        <f t="shared" ca="1" si="2"/>
        <v>0</v>
      </c>
      <c r="E75" s="84">
        <f t="shared" ca="1" si="11"/>
        <v>0</v>
      </c>
      <c r="F75" s="135">
        <f t="shared" ca="1" si="25"/>
        <v>0</v>
      </c>
      <c r="G75" s="409">
        <f t="shared" ca="1" si="4"/>
        <v>0</v>
      </c>
      <c r="H75" s="409">
        <f t="shared" ca="1" si="5"/>
        <v>0</v>
      </c>
      <c r="I75" s="275">
        <f t="shared" ca="1" si="26"/>
        <v>0</v>
      </c>
      <c r="J75" s="275">
        <f t="shared" ca="1" si="12"/>
        <v>0</v>
      </c>
      <c r="K75" s="137">
        <f t="shared" ca="1" si="28"/>
        <v>0</v>
      </c>
      <c r="L75" s="15" t="str">
        <f t="shared" ca="1" si="37"/>
        <v>F</v>
      </c>
      <c r="M75" s="88">
        <f t="shared" ca="1" si="37"/>
        <v>0</v>
      </c>
      <c r="N75" s="88">
        <f t="shared" ca="1" si="37"/>
        <v>0</v>
      </c>
      <c r="O75" s="432">
        <v>1000000000000000</v>
      </c>
      <c r="P75" s="69">
        <v>109575</v>
      </c>
      <c r="Q75" s="3">
        <f t="shared" si="13"/>
        <v>64588</v>
      </c>
      <c r="R75" s="107">
        <f t="shared" ca="1" si="14"/>
        <v>18.189999999999998</v>
      </c>
      <c r="S75" s="105">
        <f t="shared" ca="1" si="15"/>
        <v>30526306.859062586</v>
      </c>
      <c r="T75" s="341">
        <v>0</v>
      </c>
      <c r="U75" s="341">
        <v>0.11849999999999999</v>
      </c>
      <c r="V75" s="341">
        <v>0.11849999999999999</v>
      </c>
      <c r="W75" s="341">
        <v>0.11849999999999999</v>
      </c>
      <c r="X75" s="281">
        <f t="shared" si="34"/>
        <v>1.9E-2</v>
      </c>
      <c r="Y75" s="282">
        <f t="shared" si="27"/>
        <v>0.1</v>
      </c>
      <c r="AA75" s="391">
        <f t="shared" ca="1" si="16"/>
        <v>0</v>
      </c>
      <c r="AB75" s="400">
        <f t="shared" ca="1" si="16"/>
        <v>0</v>
      </c>
      <c r="AC75" s="258">
        <f t="shared" ca="1" si="16"/>
        <v>0</v>
      </c>
      <c r="AD75" s="258">
        <f t="shared" ca="1" si="16"/>
        <v>0</v>
      </c>
      <c r="AE75" s="402">
        <f t="shared" ca="1" si="16"/>
        <v>0</v>
      </c>
      <c r="AF75" s="402">
        <f t="shared" ca="1" si="16"/>
        <v>0</v>
      </c>
      <c r="AG75" s="404">
        <f t="shared" ca="1" si="17"/>
        <v>0</v>
      </c>
      <c r="AH75" s="415">
        <f t="shared" ca="1" si="18"/>
        <v>0</v>
      </c>
      <c r="AI75" s="415">
        <f t="shared" ca="1" si="19"/>
        <v>0</v>
      </c>
      <c r="AJ75" s="416">
        <f t="shared" ca="1" si="20"/>
        <v>0</v>
      </c>
      <c r="AK75" s="416">
        <f t="shared" ca="1" si="21"/>
        <v>0</v>
      </c>
      <c r="AL75" s="417">
        <v>0</v>
      </c>
      <c r="AM75" s="269">
        <f t="shared" ca="1" si="29"/>
        <v>0</v>
      </c>
      <c r="AN75" s="422">
        <f t="shared" ca="1" si="38"/>
        <v>18.29</v>
      </c>
      <c r="AO75" s="423">
        <f t="shared" ca="1" si="38"/>
        <v>25727391.2880999</v>
      </c>
      <c r="AP75" s="271">
        <f t="shared" ca="1" si="38"/>
        <v>0</v>
      </c>
      <c r="AQ75" s="271">
        <f t="shared" ca="1" si="38"/>
        <v>0.11849999999999999</v>
      </c>
      <c r="AR75" s="271">
        <f t="shared" ca="1" si="38"/>
        <v>0.11849999999999999</v>
      </c>
      <c r="AS75" s="271">
        <f t="shared" ca="1" si="38"/>
        <v>0.11849999999999999</v>
      </c>
      <c r="AT75" s="271">
        <f t="shared" ca="1" si="38"/>
        <v>0.02</v>
      </c>
      <c r="AU75" s="278">
        <f t="shared" ca="1" si="36"/>
        <v>0.1</v>
      </c>
    </row>
    <row r="76" spans="2:47" ht="13.15" thickBot="1" x14ac:dyDescent="0.4">
      <c r="B76" s="18">
        <f t="shared" si="30"/>
        <v>57</v>
      </c>
      <c r="C76" s="85">
        <f t="shared" ca="1" si="10"/>
        <v>0</v>
      </c>
      <c r="D76" s="85">
        <f t="shared" ca="1" si="2"/>
        <v>0</v>
      </c>
      <c r="E76" s="84">
        <f t="shared" ca="1" si="11"/>
        <v>0</v>
      </c>
      <c r="F76" s="135">
        <f t="shared" ca="1" si="25"/>
        <v>0</v>
      </c>
      <c r="G76" s="409">
        <f t="shared" ca="1" si="4"/>
        <v>0</v>
      </c>
      <c r="H76" s="409">
        <f t="shared" ca="1" si="5"/>
        <v>0</v>
      </c>
      <c r="I76" s="275">
        <f t="shared" ca="1" si="26"/>
        <v>0</v>
      </c>
      <c r="J76" s="275">
        <f t="shared" ca="1" si="12"/>
        <v>0</v>
      </c>
      <c r="K76" s="137">
        <f t="shared" ca="1" si="28"/>
        <v>0</v>
      </c>
      <c r="L76" s="15" t="str">
        <f t="shared" ca="1" si="37"/>
        <v>F</v>
      </c>
      <c r="M76" s="88">
        <f t="shared" ca="1" si="37"/>
        <v>0</v>
      </c>
      <c r="N76" s="88">
        <f t="shared" ca="1" si="37"/>
        <v>0</v>
      </c>
      <c r="O76" s="432">
        <v>1000000000000000</v>
      </c>
      <c r="P76" s="69">
        <v>109575</v>
      </c>
      <c r="Q76" s="3">
        <f t="shared" si="13"/>
        <v>64588</v>
      </c>
      <c r="R76" s="107">
        <f t="shared" ca="1" si="14"/>
        <v>18.189999999999998</v>
      </c>
      <c r="S76" s="105">
        <f t="shared" ca="1" si="15"/>
        <v>30526306.859062586</v>
      </c>
      <c r="T76" s="341">
        <v>0</v>
      </c>
      <c r="U76" s="341">
        <v>0.11849999999999999</v>
      </c>
      <c r="V76" s="341">
        <v>0.11849999999999999</v>
      </c>
      <c r="W76" s="341">
        <v>0.11849999999999999</v>
      </c>
      <c r="X76" s="281">
        <f t="shared" si="34"/>
        <v>1.9E-2</v>
      </c>
      <c r="Y76" s="282">
        <f t="shared" si="27"/>
        <v>0.1</v>
      </c>
      <c r="AA76" s="391">
        <f t="shared" ca="1" si="16"/>
        <v>0</v>
      </c>
      <c r="AB76" s="400">
        <f t="shared" ca="1" si="16"/>
        <v>0</v>
      </c>
      <c r="AC76" s="258">
        <f t="shared" ca="1" si="16"/>
        <v>0</v>
      </c>
      <c r="AD76" s="258">
        <f t="shared" ca="1" si="16"/>
        <v>0</v>
      </c>
      <c r="AE76" s="402">
        <f t="shared" ca="1" si="16"/>
        <v>0</v>
      </c>
      <c r="AF76" s="402">
        <f t="shared" ca="1" si="16"/>
        <v>0</v>
      </c>
      <c r="AG76" s="404">
        <f t="shared" ca="1" si="17"/>
        <v>0</v>
      </c>
      <c r="AH76" s="415">
        <f t="shared" ca="1" si="18"/>
        <v>0</v>
      </c>
      <c r="AI76" s="415">
        <f t="shared" ca="1" si="19"/>
        <v>0</v>
      </c>
      <c r="AJ76" s="416">
        <f t="shared" ca="1" si="20"/>
        <v>0</v>
      </c>
      <c r="AK76" s="416">
        <f t="shared" ca="1" si="21"/>
        <v>0</v>
      </c>
      <c r="AL76" s="417">
        <v>0</v>
      </c>
      <c r="AM76" s="269">
        <f t="shared" ca="1" si="29"/>
        <v>0</v>
      </c>
      <c r="AN76" s="422">
        <f t="shared" ca="1" si="38"/>
        <v>18.29</v>
      </c>
      <c r="AO76" s="423">
        <f t="shared" ca="1" si="38"/>
        <v>25727391.2880999</v>
      </c>
      <c r="AP76" s="271">
        <f t="shared" ca="1" si="38"/>
        <v>0</v>
      </c>
      <c r="AQ76" s="271">
        <f t="shared" ca="1" si="38"/>
        <v>0.11849999999999999</v>
      </c>
      <c r="AR76" s="271">
        <f t="shared" ca="1" si="38"/>
        <v>0.11849999999999999</v>
      </c>
      <c r="AS76" s="271">
        <f t="shared" ca="1" si="38"/>
        <v>0.11849999999999999</v>
      </c>
      <c r="AT76" s="271">
        <f t="shared" ca="1" si="38"/>
        <v>0.02</v>
      </c>
      <c r="AU76" s="278">
        <f t="shared" ca="1" si="36"/>
        <v>0.1</v>
      </c>
    </row>
    <row r="77" spans="2:47" ht="13.15" thickBot="1" x14ac:dyDescent="0.4">
      <c r="B77" s="18">
        <f t="shared" si="30"/>
        <v>58</v>
      </c>
      <c r="C77" s="85">
        <f t="shared" ca="1" si="10"/>
        <v>0</v>
      </c>
      <c r="D77" s="85">
        <f t="shared" ca="1" si="2"/>
        <v>0</v>
      </c>
      <c r="E77" s="84">
        <f t="shared" ca="1" si="11"/>
        <v>0</v>
      </c>
      <c r="F77" s="135">
        <f t="shared" ca="1" si="25"/>
        <v>0</v>
      </c>
      <c r="G77" s="409">
        <f t="shared" ca="1" si="4"/>
        <v>0</v>
      </c>
      <c r="H77" s="409">
        <f t="shared" ca="1" si="5"/>
        <v>0</v>
      </c>
      <c r="I77" s="275">
        <f t="shared" ca="1" si="26"/>
        <v>0</v>
      </c>
      <c r="J77" s="275">
        <f t="shared" ca="1" si="12"/>
        <v>0</v>
      </c>
      <c r="K77" s="137">
        <f t="shared" ca="1" si="28"/>
        <v>0</v>
      </c>
      <c r="L77" s="15" t="str">
        <f t="shared" ca="1" si="37"/>
        <v>F</v>
      </c>
      <c r="M77" s="88">
        <f t="shared" ca="1" si="37"/>
        <v>0</v>
      </c>
      <c r="N77" s="88">
        <f t="shared" ca="1" si="37"/>
        <v>0</v>
      </c>
      <c r="O77" s="432">
        <v>1000000000000000</v>
      </c>
      <c r="P77" s="69">
        <v>109575</v>
      </c>
      <c r="Q77" s="3">
        <f t="shared" si="13"/>
        <v>64588</v>
      </c>
      <c r="R77" s="107">
        <f t="shared" ca="1" si="14"/>
        <v>18.189999999999998</v>
      </c>
      <c r="S77" s="105">
        <f t="shared" ca="1" si="15"/>
        <v>30526306.859062586</v>
      </c>
      <c r="T77" s="341">
        <v>0</v>
      </c>
      <c r="U77" s="341">
        <v>0.11849999999999999</v>
      </c>
      <c r="V77" s="341">
        <v>0.11849999999999999</v>
      </c>
      <c r="W77" s="341">
        <v>0.11849999999999999</v>
      </c>
      <c r="X77" s="281">
        <f t="shared" si="34"/>
        <v>1.9E-2</v>
      </c>
      <c r="Y77" s="282">
        <f t="shared" si="27"/>
        <v>0.1</v>
      </c>
      <c r="AA77" s="391">
        <f t="shared" ca="1" si="16"/>
        <v>0</v>
      </c>
      <c r="AB77" s="400">
        <f t="shared" ca="1" si="16"/>
        <v>0</v>
      </c>
      <c r="AC77" s="258">
        <f t="shared" ca="1" si="16"/>
        <v>0</v>
      </c>
      <c r="AD77" s="258">
        <f t="shared" ca="1" si="16"/>
        <v>0</v>
      </c>
      <c r="AE77" s="402">
        <f t="shared" ca="1" si="16"/>
        <v>0</v>
      </c>
      <c r="AF77" s="402">
        <f t="shared" ca="1" si="16"/>
        <v>0</v>
      </c>
      <c r="AG77" s="404">
        <f t="shared" ca="1" si="17"/>
        <v>0</v>
      </c>
      <c r="AH77" s="415">
        <f t="shared" ca="1" si="18"/>
        <v>0</v>
      </c>
      <c r="AI77" s="415">
        <f t="shared" ca="1" si="19"/>
        <v>0</v>
      </c>
      <c r="AJ77" s="416">
        <f t="shared" ca="1" si="20"/>
        <v>0</v>
      </c>
      <c r="AK77" s="416">
        <f t="shared" ca="1" si="21"/>
        <v>0</v>
      </c>
      <c r="AL77" s="417">
        <v>0</v>
      </c>
      <c r="AM77" s="269">
        <f t="shared" ca="1" si="29"/>
        <v>0</v>
      </c>
      <c r="AN77" s="422">
        <f t="shared" ca="1" si="38"/>
        <v>18.29</v>
      </c>
      <c r="AO77" s="423">
        <f t="shared" ca="1" si="38"/>
        <v>25727391.2880999</v>
      </c>
      <c r="AP77" s="271">
        <f t="shared" ca="1" si="38"/>
        <v>0</v>
      </c>
      <c r="AQ77" s="271">
        <f t="shared" ca="1" si="38"/>
        <v>0.11849999999999999</v>
      </c>
      <c r="AR77" s="271">
        <f t="shared" ca="1" si="38"/>
        <v>0.11849999999999999</v>
      </c>
      <c r="AS77" s="271">
        <f t="shared" ca="1" si="38"/>
        <v>0.11849999999999999</v>
      </c>
      <c r="AT77" s="271">
        <f t="shared" ca="1" si="38"/>
        <v>0.02</v>
      </c>
      <c r="AU77" s="278">
        <f t="shared" ca="1" si="36"/>
        <v>0.1</v>
      </c>
    </row>
    <row r="78" spans="2:47" ht="13.15" thickBot="1" x14ac:dyDescent="0.4">
      <c r="B78" s="18">
        <f t="shared" si="30"/>
        <v>59</v>
      </c>
      <c r="C78" s="85">
        <f t="shared" ca="1" si="10"/>
        <v>0</v>
      </c>
      <c r="D78" s="85">
        <f t="shared" ca="1" si="2"/>
        <v>0</v>
      </c>
      <c r="E78" s="84">
        <f t="shared" ca="1" si="11"/>
        <v>0</v>
      </c>
      <c r="F78" s="135">
        <f t="shared" ca="1" si="25"/>
        <v>0</v>
      </c>
      <c r="G78" s="409">
        <f t="shared" ca="1" si="4"/>
        <v>0</v>
      </c>
      <c r="H78" s="409">
        <f t="shared" ca="1" si="5"/>
        <v>0</v>
      </c>
      <c r="I78" s="275">
        <f t="shared" ca="1" si="26"/>
        <v>0</v>
      </c>
      <c r="J78" s="275">
        <f t="shared" ca="1" si="12"/>
        <v>0</v>
      </c>
      <c r="K78" s="137">
        <f t="shared" ca="1" si="28"/>
        <v>0</v>
      </c>
      <c r="L78" s="15" t="str">
        <f t="shared" ca="1" si="37"/>
        <v>F</v>
      </c>
      <c r="M78" s="88">
        <f t="shared" ca="1" si="37"/>
        <v>0</v>
      </c>
      <c r="N78" s="88">
        <f t="shared" ca="1" si="37"/>
        <v>0</v>
      </c>
      <c r="O78" s="432">
        <v>1000000000000000</v>
      </c>
      <c r="P78" s="69">
        <v>109575</v>
      </c>
      <c r="Q78" s="3">
        <f t="shared" si="13"/>
        <v>64588</v>
      </c>
      <c r="R78" s="107">
        <f t="shared" ca="1" si="14"/>
        <v>18.189999999999998</v>
      </c>
      <c r="S78" s="105">
        <f t="shared" ca="1" si="15"/>
        <v>30526306.859062586</v>
      </c>
      <c r="T78" s="341">
        <v>0</v>
      </c>
      <c r="U78" s="341">
        <v>0.11849999999999999</v>
      </c>
      <c r="V78" s="341">
        <v>0.11849999999999999</v>
      </c>
      <c r="W78" s="341">
        <v>0.11849999999999999</v>
      </c>
      <c r="X78" s="281">
        <f t="shared" si="34"/>
        <v>1.9E-2</v>
      </c>
      <c r="Y78" s="282">
        <f t="shared" si="27"/>
        <v>0.1</v>
      </c>
      <c r="AA78" s="391">
        <f t="shared" ca="1" si="16"/>
        <v>0</v>
      </c>
      <c r="AB78" s="400">
        <f t="shared" ca="1" si="16"/>
        <v>0</v>
      </c>
      <c r="AC78" s="258">
        <f t="shared" ca="1" si="16"/>
        <v>0</v>
      </c>
      <c r="AD78" s="258">
        <f t="shared" ca="1" si="16"/>
        <v>0</v>
      </c>
      <c r="AE78" s="402">
        <f t="shared" ca="1" si="16"/>
        <v>0</v>
      </c>
      <c r="AF78" s="402">
        <f t="shared" ca="1" si="16"/>
        <v>0</v>
      </c>
      <c r="AG78" s="404">
        <f t="shared" ca="1" si="17"/>
        <v>0</v>
      </c>
      <c r="AH78" s="415">
        <f t="shared" ca="1" si="18"/>
        <v>0</v>
      </c>
      <c r="AI78" s="415">
        <f t="shared" ca="1" si="19"/>
        <v>0</v>
      </c>
      <c r="AJ78" s="416">
        <f t="shared" ca="1" si="20"/>
        <v>0</v>
      </c>
      <c r="AK78" s="416">
        <f t="shared" ca="1" si="21"/>
        <v>0</v>
      </c>
      <c r="AL78" s="417">
        <v>0</v>
      </c>
      <c r="AM78" s="269">
        <f t="shared" ca="1" si="29"/>
        <v>0</v>
      </c>
      <c r="AN78" s="422">
        <f t="shared" ca="1" si="38"/>
        <v>18.29</v>
      </c>
      <c r="AO78" s="423">
        <f t="shared" ca="1" si="38"/>
        <v>25727391.2880999</v>
      </c>
      <c r="AP78" s="271">
        <f t="shared" ca="1" si="38"/>
        <v>0</v>
      </c>
      <c r="AQ78" s="271">
        <f t="shared" ca="1" si="38"/>
        <v>0.11849999999999999</v>
      </c>
      <c r="AR78" s="271">
        <f t="shared" ca="1" si="38"/>
        <v>0.11849999999999999</v>
      </c>
      <c r="AS78" s="271">
        <f t="shared" ca="1" si="38"/>
        <v>0.11849999999999999</v>
      </c>
      <c r="AT78" s="271">
        <f t="shared" ca="1" si="38"/>
        <v>0.02</v>
      </c>
      <c r="AU78" s="278">
        <f t="shared" ca="1" si="36"/>
        <v>0.1</v>
      </c>
    </row>
    <row r="79" spans="2:47" ht="13.15" thickBot="1" x14ac:dyDescent="0.4">
      <c r="B79" s="18">
        <f t="shared" si="30"/>
        <v>60</v>
      </c>
      <c r="C79" s="85">
        <f t="shared" ca="1" si="10"/>
        <v>0</v>
      </c>
      <c r="D79" s="85">
        <f t="shared" ca="1" si="2"/>
        <v>0</v>
      </c>
      <c r="E79" s="84">
        <f t="shared" ca="1" si="11"/>
        <v>0</v>
      </c>
      <c r="F79" s="135">
        <f t="shared" ca="1" si="25"/>
        <v>0</v>
      </c>
      <c r="G79" s="409">
        <f t="shared" ca="1" si="4"/>
        <v>0</v>
      </c>
      <c r="H79" s="409">
        <f t="shared" ca="1" si="5"/>
        <v>0</v>
      </c>
      <c r="I79" s="275">
        <f t="shared" ca="1" si="26"/>
        <v>0</v>
      </c>
      <c r="J79" s="275">
        <f t="shared" ca="1" si="12"/>
        <v>0</v>
      </c>
      <c r="K79" s="137">
        <f t="shared" ca="1" si="28"/>
        <v>0</v>
      </c>
      <c r="L79" s="15" t="str">
        <f t="shared" ca="1" si="37"/>
        <v>F</v>
      </c>
      <c r="M79" s="88">
        <f t="shared" ca="1" si="37"/>
        <v>0</v>
      </c>
      <c r="N79" s="88">
        <f t="shared" ca="1" si="37"/>
        <v>0</v>
      </c>
      <c r="O79" s="432">
        <v>1000000000000000</v>
      </c>
      <c r="P79" s="69">
        <v>109575</v>
      </c>
      <c r="Q79" s="3">
        <f t="shared" si="13"/>
        <v>64588</v>
      </c>
      <c r="R79" s="107">
        <f t="shared" ca="1" si="14"/>
        <v>18.189999999999998</v>
      </c>
      <c r="S79" s="105">
        <f t="shared" ca="1" si="15"/>
        <v>30526306.859062586</v>
      </c>
      <c r="T79" s="341">
        <v>0</v>
      </c>
      <c r="U79" s="341">
        <v>0.11849999999999999</v>
      </c>
      <c r="V79" s="341">
        <v>0.11849999999999999</v>
      </c>
      <c r="W79" s="341">
        <v>0.11849999999999999</v>
      </c>
      <c r="X79" s="281">
        <f t="shared" si="34"/>
        <v>1.9E-2</v>
      </c>
      <c r="Y79" s="282">
        <f t="shared" si="27"/>
        <v>0.1</v>
      </c>
      <c r="AA79" s="391">
        <f t="shared" ca="1" si="16"/>
        <v>0</v>
      </c>
      <c r="AB79" s="400">
        <f t="shared" ca="1" si="16"/>
        <v>0</v>
      </c>
      <c r="AC79" s="258">
        <f t="shared" ca="1" si="16"/>
        <v>0</v>
      </c>
      <c r="AD79" s="258">
        <f t="shared" ca="1" si="16"/>
        <v>0</v>
      </c>
      <c r="AE79" s="402">
        <f t="shared" ca="1" si="16"/>
        <v>0</v>
      </c>
      <c r="AF79" s="402">
        <f t="shared" ca="1" si="16"/>
        <v>0</v>
      </c>
      <c r="AG79" s="404">
        <f t="shared" ca="1" si="17"/>
        <v>0</v>
      </c>
      <c r="AH79" s="415">
        <f t="shared" ca="1" si="18"/>
        <v>0</v>
      </c>
      <c r="AI79" s="415">
        <f t="shared" ca="1" si="19"/>
        <v>0</v>
      </c>
      <c r="AJ79" s="416">
        <f t="shared" ca="1" si="20"/>
        <v>0</v>
      </c>
      <c r="AK79" s="416">
        <f t="shared" ca="1" si="21"/>
        <v>0</v>
      </c>
      <c r="AL79" s="417">
        <v>0</v>
      </c>
      <c r="AM79" s="269">
        <f t="shared" ca="1" si="29"/>
        <v>0</v>
      </c>
      <c r="AN79" s="422">
        <f t="shared" ca="1" si="38"/>
        <v>18.29</v>
      </c>
      <c r="AO79" s="423">
        <f t="shared" ca="1" si="38"/>
        <v>25727391.2880999</v>
      </c>
      <c r="AP79" s="271">
        <f t="shared" ca="1" si="38"/>
        <v>0</v>
      </c>
      <c r="AQ79" s="271">
        <f t="shared" ca="1" si="38"/>
        <v>0.11849999999999999</v>
      </c>
      <c r="AR79" s="271">
        <f t="shared" ca="1" si="38"/>
        <v>0.11849999999999999</v>
      </c>
      <c r="AS79" s="271">
        <f t="shared" ca="1" si="38"/>
        <v>0.11849999999999999</v>
      </c>
      <c r="AT79" s="271">
        <f t="shared" ca="1" si="38"/>
        <v>0.02</v>
      </c>
      <c r="AU79" s="278">
        <f t="shared" ca="1" si="36"/>
        <v>0.1</v>
      </c>
    </row>
    <row r="80" spans="2:47" ht="13.15" thickBot="1" x14ac:dyDescent="0.4">
      <c r="B80" s="18">
        <f t="shared" si="30"/>
        <v>61</v>
      </c>
      <c r="C80" s="85">
        <f t="shared" ca="1" si="10"/>
        <v>0</v>
      </c>
      <c r="D80" s="85">
        <f t="shared" ca="1" si="2"/>
        <v>0</v>
      </c>
      <c r="E80" s="84">
        <f t="shared" ca="1" si="11"/>
        <v>0</v>
      </c>
      <c r="F80" s="135">
        <f t="shared" ca="1" si="25"/>
        <v>0</v>
      </c>
      <c r="G80" s="409">
        <f t="shared" ca="1" si="4"/>
        <v>0</v>
      </c>
      <c r="H80" s="409">
        <f t="shared" ca="1" si="5"/>
        <v>0</v>
      </c>
      <c r="I80" s="275">
        <f t="shared" ca="1" si="26"/>
        <v>0</v>
      </c>
      <c r="J80" s="275">
        <f t="shared" ca="1" si="12"/>
        <v>0</v>
      </c>
      <c r="K80" s="137">
        <f t="shared" ca="1" si="28"/>
        <v>0</v>
      </c>
      <c r="L80" s="15" t="str">
        <f t="shared" ca="1" si="37"/>
        <v>F</v>
      </c>
      <c r="M80" s="88">
        <f t="shared" ca="1" si="37"/>
        <v>0</v>
      </c>
      <c r="N80" s="88">
        <f t="shared" ca="1" si="37"/>
        <v>0</v>
      </c>
      <c r="O80" s="432">
        <v>1000000000000000</v>
      </c>
      <c r="P80" s="69">
        <v>109575</v>
      </c>
      <c r="Q80" s="3">
        <f t="shared" si="13"/>
        <v>64588</v>
      </c>
      <c r="R80" s="107">
        <f t="shared" ca="1" si="14"/>
        <v>18.189999999999998</v>
      </c>
      <c r="S80" s="105">
        <f t="shared" ca="1" si="15"/>
        <v>30526306.859062586</v>
      </c>
      <c r="T80" s="341">
        <v>0</v>
      </c>
      <c r="U80" s="341">
        <v>0.11849999999999999</v>
      </c>
      <c r="V80" s="341">
        <v>0.11849999999999999</v>
      </c>
      <c r="W80" s="341">
        <v>0.11849999999999999</v>
      </c>
      <c r="X80" s="281">
        <f t="shared" si="34"/>
        <v>1.9E-2</v>
      </c>
      <c r="Y80" s="282">
        <f t="shared" si="27"/>
        <v>0.1</v>
      </c>
      <c r="AA80" s="391">
        <f t="shared" ca="1" si="16"/>
        <v>0</v>
      </c>
      <c r="AB80" s="400">
        <f t="shared" ca="1" si="16"/>
        <v>0</v>
      </c>
      <c r="AC80" s="258">
        <f t="shared" ca="1" si="16"/>
        <v>0</v>
      </c>
      <c r="AD80" s="258">
        <f t="shared" ca="1" si="16"/>
        <v>0</v>
      </c>
      <c r="AE80" s="402">
        <f t="shared" ca="1" si="16"/>
        <v>0</v>
      </c>
      <c r="AF80" s="402">
        <f t="shared" ca="1" si="16"/>
        <v>0</v>
      </c>
      <c r="AG80" s="404">
        <f t="shared" ca="1" si="17"/>
        <v>0</v>
      </c>
      <c r="AH80" s="415">
        <f t="shared" ca="1" si="18"/>
        <v>0</v>
      </c>
      <c r="AI80" s="415">
        <f t="shared" ca="1" si="19"/>
        <v>0</v>
      </c>
      <c r="AJ80" s="416">
        <f t="shared" ca="1" si="20"/>
        <v>0</v>
      </c>
      <c r="AK80" s="416">
        <f t="shared" ca="1" si="21"/>
        <v>0</v>
      </c>
      <c r="AL80" s="417">
        <v>0</v>
      </c>
      <c r="AM80" s="269">
        <f t="shared" ca="1" si="29"/>
        <v>0</v>
      </c>
      <c r="AN80" s="422">
        <f t="shared" ca="1" si="38"/>
        <v>18.29</v>
      </c>
      <c r="AO80" s="423">
        <f t="shared" ca="1" si="38"/>
        <v>25727391.2880999</v>
      </c>
      <c r="AP80" s="271">
        <f t="shared" ca="1" si="38"/>
        <v>0</v>
      </c>
      <c r="AQ80" s="271">
        <f t="shared" ca="1" si="38"/>
        <v>0.11849999999999999</v>
      </c>
      <c r="AR80" s="271">
        <f t="shared" ca="1" si="38"/>
        <v>0.11849999999999999</v>
      </c>
      <c r="AS80" s="271">
        <f t="shared" ca="1" si="38"/>
        <v>0.11849999999999999</v>
      </c>
      <c r="AT80" s="271">
        <f t="shared" ca="1" si="38"/>
        <v>0.02</v>
      </c>
      <c r="AU80" s="278">
        <f t="shared" ca="1" si="36"/>
        <v>0.1</v>
      </c>
    </row>
    <row r="81" spans="2:47" ht="13.15" thickBot="1" x14ac:dyDescent="0.4">
      <c r="B81" s="18">
        <f t="shared" si="30"/>
        <v>62</v>
      </c>
      <c r="C81" s="85">
        <f t="shared" ca="1" si="10"/>
        <v>0</v>
      </c>
      <c r="D81" s="85">
        <f t="shared" ca="1" si="2"/>
        <v>0</v>
      </c>
      <c r="E81" s="84">
        <f t="shared" ca="1" si="11"/>
        <v>0</v>
      </c>
      <c r="F81" s="135">
        <f t="shared" ca="1" si="25"/>
        <v>0</v>
      </c>
      <c r="G81" s="409">
        <f t="shared" ca="1" si="4"/>
        <v>0</v>
      </c>
      <c r="H81" s="409">
        <f t="shared" ca="1" si="5"/>
        <v>0</v>
      </c>
      <c r="I81" s="275">
        <f t="shared" ca="1" si="26"/>
        <v>0</v>
      </c>
      <c r="J81" s="275">
        <f t="shared" ca="1" si="12"/>
        <v>0</v>
      </c>
      <c r="K81" s="137">
        <f t="shared" ca="1" si="28"/>
        <v>0</v>
      </c>
      <c r="L81" s="15" t="str">
        <f t="shared" ca="1" si="37"/>
        <v>F</v>
      </c>
      <c r="M81" s="88">
        <f t="shared" ca="1" si="37"/>
        <v>0</v>
      </c>
      <c r="N81" s="88">
        <f t="shared" ca="1" si="37"/>
        <v>0</v>
      </c>
      <c r="O81" s="432">
        <v>1000000000000000</v>
      </c>
      <c r="P81" s="69">
        <v>109575</v>
      </c>
      <c r="Q81" s="3">
        <f t="shared" si="13"/>
        <v>64588</v>
      </c>
      <c r="R81" s="107">
        <f t="shared" ca="1" si="14"/>
        <v>18.189999999999998</v>
      </c>
      <c r="S81" s="105">
        <f t="shared" ca="1" si="15"/>
        <v>30526306.859062586</v>
      </c>
      <c r="T81" s="341">
        <v>0</v>
      </c>
      <c r="U81" s="341">
        <v>0.11849999999999999</v>
      </c>
      <c r="V81" s="341">
        <v>0.11849999999999999</v>
      </c>
      <c r="W81" s="341">
        <v>0.11849999999999999</v>
      </c>
      <c r="X81" s="281">
        <f t="shared" si="34"/>
        <v>1.9E-2</v>
      </c>
      <c r="Y81" s="282">
        <f t="shared" si="27"/>
        <v>0.1</v>
      </c>
      <c r="AA81" s="391">
        <f t="shared" ca="1" si="16"/>
        <v>0</v>
      </c>
      <c r="AB81" s="400">
        <f t="shared" ca="1" si="16"/>
        <v>0</v>
      </c>
      <c r="AC81" s="258">
        <f t="shared" ca="1" si="16"/>
        <v>0</v>
      </c>
      <c r="AD81" s="258">
        <f t="shared" ca="1" si="16"/>
        <v>0</v>
      </c>
      <c r="AE81" s="402">
        <f t="shared" ca="1" si="16"/>
        <v>0</v>
      </c>
      <c r="AF81" s="402">
        <f t="shared" ca="1" si="16"/>
        <v>0</v>
      </c>
      <c r="AG81" s="404">
        <f t="shared" ca="1" si="17"/>
        <v>0</v>
      </c>
      <c r="AH81" s="415">
        <f t="shared" ca="1" si="18"/>
        <v>0</v>
      </c>
      <c r="AI81" s="415">
        <f t="shared" ca="1" si="19"/>
        <v>0</v>
      </c>
      <c r="AJ81" s="416">
        <f t="shared" ca="1" si="20"/>
        <v>0</v>
      </c>
      <c r="AK81" s="416">
        <f t="shared" ca="1" si="21"/>
        <v>0</v>
      </c>
      <c r="AL81" s="417">
        <v>0</v>
      </c>
      <c r="AM81" s="269">
        <f t="shared" ca="1" si="29"/>
        <v>0</v>
      </c>
      <c r="AN81" s="422">
        <f t="shared" ca="1" si="38"/>
        <v>18.29</v>
      </c>
      <c r="AO81" s="423">
        <f t="shared" ca="1" si="38"/>
        <v>25727391.2880999</v>
      </c>
      <c r="AP81" s="271">
        <f t="shared" ca="1" si="38"/>
        <v>0</v>
      </c>
      <c r="AQ81" s="271">
        <f t="shared" ca="1" si="38"/>
        <v>0.11849999999999999</v>
      </c>
      <c r="AR81" s="271">
        <f t="shared" ca="1" si="38"/>
        <v>0.11849999999999999</v>
      </c>
      <c r="AS81" s="271">
        <f t="shared" ca="1" si="38"/>
        <v>0.11849999999999999</v>
      </c>
      <c r="AT81" s="271">
        <f t="shared" ca="1" si="38"/>
        <v>0.02</v>
      </c>
      <c r="AU81" s="278">
        <f t="shared" ca="1" si="36"/>
        <v>0.1</v>
      </c>
    </row>
    <row r="82" spans="2:47" ht="13.15" thickBot="1" x14ac:dyDescent="0.4">
      <c r="B82" s="18">
        <f t="shared" si="30"/>
        <v>63</v>
      </c>
      <c r="C82" s="85">
        <f t="shared" ca="1" si="10"/>
        <v>0</v>
      </c>
      <c r="D82" s="85">
        <f t="shared" ca="1" si="2"/>
        <v>0</v>
      </c>
      <c r="E82" s="84">
        <f t="shared" ca="1" si="11"/>
        <v>0</v>
      </c>
      <c r="F82" s="135">
        <f t="shared" ca="1" si="25"/>
        <v>0</v>
      </c>
      <c r="G82" s="409">
        <f t="shared" ca="1" si="4"/>
        <v>0</v>
      </c>
      <c r="H82" s="409">
        <f t="shared" ca="1" si="5"/>
        <v>0</v>
      </c>
      <c r="I82" s="275">
        <f t="shared" ca="1" si="26"/>
        <v>0</v>
      </c>
      <c r="J82" s="275">
        <f t="shared" ca="1" si="12"/>
        <v>0</v>
      </c>
      <c r="K82" s="137">
        <f t="shared" ca="1" si="28"/>
        <v>0</v>
      </c>
      <c r="L82" s="15" t="str">
        <f t="shared" ca="1" si="37"/>
        <v>F</v>
      </c>
      <c r="M82" s="88">
        <f t="shared" ca="1" si="37"/>
        <v>0</v>
      </c>
      <c r="N82" s="88">
        <f t="shared" ca="1" si="37"/>
        <v>0</v>
      </c>
      <c r="O82" s="432">
        <v>1000000000000000</v>
      </c>
      <c r="P82" s="69">
        <v>109575</v>
      </c>
      <c r="Q82" s="3">
        <f t="shared" si="13"/>
        <v>64588</v>
      </c>
      <c r="R82" s="107">
        <f t="shared" ca="1" si="14"/>
        <v>18.189999999999998</v>
      </c>
      <c r="S82" s="105">
        <f t="shared" ca="1" si="15"/>
        <v>30526306.859062586</v>
      </c>
      <c r="T82" s="341">
        <v>0</v>
      </c>
      <c r="U82" s="341">
        <v>0.11849999999999999</v>
      </c>
      <c r="V82" s="341">
        <v>0.11849999999999999</v>
      </c>
      <c r="W82" s="341">
        <v>0.11849999999999999</v>
      </c>
      <c r="X82" s="281">
        <f t="shared" si="34"/>
        <v>1.9E-2</v>
      </c>
      <c r="Y82" s="282">
        <f t="shared" si="27"/>
        <v>0.1</v>
      </c>
      <c r="AA82" s="391">
        <f t="shared" ca="1" si="16"/>
        <v>0</v>
      </c>
      <c r="AB82" s="400">
        <f t="shared" ca="1" si="16"/>
        <v>0</v>
      </c>
      <c r="AC82" s="258">
        <f t="shared" ca="1" si="16"/>
        <v>0</v>
      </c>
      <c r="AD82" s="258">
        <f t="shared" ca="1" si="16"/>
        <v>0</v>
      </c>
      <c r="AE82" s="402">
        <f t="shared" ca="1" si="16"/>
        <v>0</v>
      </c>
      <c r="AF82" s="402">
        <f t="shared" ca="1" si="16"/>
        <v>0</v>
      </c>
      <c r="AG82" s="404">
        <f t="shared" ca="1" si="17"/>
        <v>0</v>
      </c>
      <c r="AH82" s="415">
        <f t="shared" ca="1" si="18"/>
        <v>0</v>
      </c>
      <c r="AI82" s="415">
        <f t="shared" ca="1" si="19"/>
        <v>0</v>
      </c>
      <c r="AJ82" s="416">
        <f t="shared" ca="1" si="20"/>
        <v>0</v>
      </c>
      <c r="AK82" s="416">
        <f t="shared" ca="1" si="21"/>
        <v>0</v>
      </c>
      <c r="AL82" s="417">
        <v>0</v>
      </c>
      <c r="AM82" s="269">
        <f t="shared" ca="1" si="29"/>
        <v>0</v>
      </c>
      <c r="AN82" s="422">
        <f t="shared" ca="1" si="38"/>
        <v>18.29</v>
      </c>
      <c r="AO82" s="423">
        <f t="shared" ca="1" si="38"/>
        <v>25727391.2880999</v>
      </c>
      <c r="AP82" s="271">
        <f t="shared" ca="1" si="38"/>
        <v>0</v>
      </c>
      <c r="AQ82" s="271">
        <f t="shared" ca="1" si="38"/>
        <v>0.11849999999999999</v>
      </c>
      <c r="AR82" s="271">
        <f t="shared" ca="1" si="38"/>
        <v>0.11849999999999999</v>
      </c>
      <c r="AS82" s="271">
        <f t="shared" ca="1" si="38"/>
        <v>0.11849999999999999</v>
      </c>
      <c r="AT82" s="271">
        <f t="shared" ca="1" si="38"/>
        <v>0.02</v>
      </c>
      <c r="AU82" s="278">
        <f t="shared" ca="1" si="36"/>
        <v>0.1</v>
      </c>
    </row>
    <row r="83" spans="2:47" ht="13.15" thickBot="1" x14ac:dyDescent="0.4">
      <c r="B83" s="18">
        <f t="shared" si="30"/>
        <v>64</v>
      </c>
      <c r="C83" s="85">
        <f t="shared" ca="1" si="10"/>
        <v>0</v>
      </c>
      <c r="D83" s="85">
        <f t="shared" ca="1" si="2"/>
        <v>0</v>
      </c>
      <c r="E83" s="84">
        <f t="shared" ca="1" si="11"/>
        <v>0</v>
      </c>
      <c r="F83" s="135">
        <f t="shared" ca="1" si="25"/>
        <v>0</v>
      </c>
      <c r="G83" s="409">
        <f t="shared" ca="1" si="4"/>
        <v>0</v>
      </c>
      <c r="H83" s="409">
        <f t="shared" ca="1" si="5"/>
        <v>0</v>
      </c>
      <c r="I83" s="275">
        <f t="shared" ca="1" si="26"/>
        <v>0</v>
      </c>
      <c r="J83" s="275">
        <f t="shared" ca="1" si="12"/>
        <v>0</v>
      </c>
      <c r="K83" s="137">
        <f t="shared" ca="1" si="28"/>
        <v>0</v>
      </c>
      <c r="L83" s="15" t="str">
        <f t="shared" ca="1" si="37"/>
        <v>F</v>
      </c>
      <c r="M83" s="88">
        <f t="shared" ca="1" si="37"/>
        <v>0</v>
      </c>
      <c r="N83" s="88">
        <f t="shared" ca="1" si="37"/>
        <v>0</v>
      </c>
      <c r="O83" s="432">
        <v>1000000000000000</v>
      </c>
      <c r="P83" s="69">
        <v>109575</v>
      </c>
      <c r="Q83" s="3">
        <f t="shared" si="13"/>
        <v>64588</v>
      </c>
      <c r="R83" s="107">
        <f t="shared" ca="1" si="14"/>
        <v>18.189999999999998</v>
      </c>
      <c r="S83" s="105">
        <f t="shared" ca="1" si="15"/>
        <v>30526306.859062586</v>
      </c>
      <c r="T83" s="341">
        <v>0</v>
      </c>
      <c r="U83" s="341">
        <v>0.11849999999999999</v>
      </c>
      <c r="V83" s="341">
        <v>0.11849999999999999</v>
      </c>
      <c r="W83" s="341">
        <v>0.11849999999999999</v>
      </c>
      <c r="X83" s="281">
        <f t="shared" si="34"/>
        <v>1.9E-2</v>
      </c>
      <c r="Y83" s="282">
        <f t="shared" si="27"/>
        <v>0.1</v>
      </c>
      <c r="AA83" s="391">
        <f t="shared" ca="1" si="16"/>
        <v>0</v>
      </c>
      <c r="AB83" s="400">
        <f t="shared" ca="1" si="16"/>
        <v>0</v>
      </c>
      <c r="AC83" s="258">
        <f t="shared" ca="1" si="16"/>
        <v>0</v>
      </c>
      <c r="AD83" s="258">
        <f t="shared" ca="1" si="16"/>
        <v>0</v>
      </c>
      <c r="AE83" s="402">
        <f t="shared" ca="1" si="16"/>
        <v>0</v>
      </c>
      <c r="AF83" s="402">
        <f t="shared" ca="1" si="16"/>
        <v>0</v>
      </c>
      <c r="AG83" s="404">
        <f t="shared" ca="1" si="17"/>
        <v>0</v>
      </c>
      <c r="AH83" s="415">
        <f t="shared" ca="1" si="18"/>
        <v>0</v>
      </c>
      <c r="AI83" s="415">
        <f t="shared" ca="1" si="19"/>
        <v>0</v>
      </c>
      <c r="AJ83" s="416">
        <f t="shared" ca="1" si="20"/>
        <v>0</v>
      </c>
      <c r="AK83" s="416">
        <f t="shared" ca="1" si="21"/>
        <v>0</v>
      </c>
      <c r="AL83" s="417">
        <v>0</v>
      </c>
      <c r="AM83" s="269">
        <f t="shared" ca="1" si="29"/>
        <v>0</v>
      </c>
      <c r="AN83" s="422">
        <f t="shared" ca="1" si="38"/>
        <v>18.29</v>
      </c>
      <c r="AO83" s="423">
        <f t="shared" ca="1" si="38"/>
        <v>25727391.2880999</v>
      </c>
      <c r="AP83" s="271">
        <f t="shared" ca="1" si="38"/>
        <v>0</v>
      </c>
      <c r="AQ83" s="271">
        <f t="shared" ca="1" si="38"/>
        <v>0.11849999999999999</v>
      </c>
      <c r="AR83" s="271">
        <f t="shared" ca="1" si="38"/>
        <v>0.11849999999999999</v>
      </c>
      <c r="AS83" s="271">
        <f t="shared" ca="1" si="38"/>
        <v>0.11849999999999999</v>
      </c>
      <c r="AT83" s="271">
        <f t="shared" ca="1" si="38"/>
        <v>0.02</v>
      </c>
      <c r="AU83" s="278">
        <f t="shared" ca="1" si="36"/>
        <v>0.1</v>
      </c>
    </row>
    <row r="84" spans="2:47" ht="13.15" thickBot="1" x14ac:dyDescent="0.4">
      <c r="B84" s="18">
        <f t="shared" si="30"/>
        <v>65</v>
      </c>
      <c r="C84" s="85">
        <f t="shared" ca="1" si="10"/>
        <v>0</v>
      </c>
      <c r="D84" s="85">
        <f t="shared" ref="D84:D110" ca="1" si="39">E84-AA84</f>
        <v>0</v>
      </c>
      <c r="E84" s="84">
        <f t="shared" ca="1" si="11"/>
        <v>0</v>
      </c>
      <c r="F84" s="135">
        <f t="shared" ca="1" si="25"/>
        <v>0</v>
      </c>
      <c r="G84" s="409">
        <f t="shared" ref="G84:G110" ca="1" si="40">BSGamma(L84,1/S84,1/O84,Q84,X84,Y84,T84)*N84</f>
        <v>0</v>
      </c>
      <c r="H84" s="409">
        <f t="shared" ref="H84:H110" ca="1" si="41">BSVega(L84,1/S84,1/O84,Q84,X84,Y84,T84)*N84*1000000</f>
        <v>0</v>
      </c>
      <c r="I84" s="275">
        <f t="shared" ca="1" si="26"/>
        <v>0</v>
      </c>
      <c r="J84" s="275">
        <f t="shared" ca="1" si="12"/>
        <v>0</v>
      </c>
      <c r="K84" s="137">
        <f t="shared" ca="1" si="28"/>
        <v>0</v>
      </c>
      <c r="L84" s="15" t="str">
        <f t="shared" ca="1" si="37"/>
        <v>F</v>
      </c>
      <c r="M84" s="88">
        <f t="shared" ca="1" si="37"/>
        <v>0</v>
      </c>
      <c r="N84" s="88">
        <f t="shared" ca="1" si="37"/>
        <v>0</v>
      </c>
      <c r="O84" s="432">
        <v>1000000000000000</v>
      </c>
      <c r="P84" s="69">
        <v>109575</v>
      </c>
      <c r="Q84" s="3">
        <f t="shared" si="13"/>
        <v>64588</v>
      </c>
      <c r="R84" s="107">
        <f t="shared" ca="1" si="14"/>
        <v>18.189999999999998</v>
      </c>
      <c r="S84" s="105">
        <f t="shared" ca="1" si="15"/>
        <v>30526306.859062586</v>
      </c>
      <c r="T84" s="341">
        <v>0</v>
      </c>
      <c r="U84" s="341">
        <v>0.11849999999999999</v>
      </c>
      <c r="V84" s="341">
        <v>0.11849999999999999</v>
      </c>
      <c r="W84" s="341">
        <v>0.11849999999999999</v>
      </c>
      <c r="X84" s="281">
        <f t="shared" si="34"/>
        <v>1.9E-2</v>
      </c>
      <c r="Y84" s="282">
        <f t="shared" si="27"/>
        <v>0.1</v>
      </c>
      <c r="AA84" s="391">
        <f t="shared" ca="1" si="16"/>
        <v>0</v>
      </c>
      <c r="AB84" s="400">
        <f t="shared" ca="1" si="16"/>
        <v>0</v>
      </c>
      <c r="AC84" s="258">
        <f t="shared" ca="1" si="16"/>
        <v>0</v>
      </c>
      <c r="AD84" s="258">
        <f t="shared" ca="1" si="16"/>
        <v>0</v>
      </c>
      <c r="AE84" s="402">
        <f t="shared" ca="1" si="16"/>
        <v>0</v>
      </c>
      <c r="AF84" s="402">
        <f t="shared" ca="1" si="16"/>
        <v>0</v>
      </c>
      <c r="AG84" s="404">
        <f t="shared" ca="1" si="17"/>
        <v>0</v>
      </c>
      <c r="AH84" s="415">
        <f t="shared" ca="1" si="18"/>
        <v>0</v>
      </c>
      <c r="AI84" s="415">
        <f t="shared" ca="1" si="19"/>
        <v>0</v>
      </c>
      <c r="AJ84" s="416">
        <f t="shared" ca="1" si="20"/>
        <v>0</v>
      </c>
      <c r="AK84" s="416">
        <f t="shared" ca="1" si="21"/>
        <v>0</v>
      </c>
      <c r="AL84" s="417">
        <v>0</v>
      </c>
      <c r="AM84" s="269">
        <f t="shared" ca="1" si="29"/>
        <v>0</v>
      </c>
      <c r="AN84" s="422">
        <f t="shared" ca="1" si="38"/>
        <v>18.29</v>
      </c>
      <c r="AO84" s="423">
        <f t="shared" ca="1" si="38"/>
        <v>25727391.2880999</v>
      </c>
      <c r="AP84" s="271">
        <f t="shared" ca="1" si="38"/>
        <v>0</v>
      </c>
      <c r="AQ84" s="271">
        <f t="shared" ca="1" si="38"/>
        <v>0.11849999999999999</v>
      </c>
      <c r="AR84" s="271">
        <f t="shared" ca="1" si="38"/>
        <v>0.11849999999999999</v>
      </c>
      <c r="AS84" s="271">
        <f t="shared" ca="1" si="38"/>
        <v>0.11849999999999999</v>
      </c>
      <c r="AT84" s="271">
        <f t="shared" ca="1" si="38"/>
        <v>0.02</v>
      </c>
      <c r="AU84" s="278">
        <f t="shared" ca="1" si="36"/>
        <v>0.1</v>
      </c>
    </row>
    <row r="85" spans="2:47" ht="13.15" thickBot="1" x14ac:dyDescent="0.4">
      <c r="B85" s="18">
        <f t="shared" si="30"/>
        <v>66</v>
      </c>
      <c r="C85" s="85">
        <f t="shared" ref="C85:C110" ca="1" si="42">AM85</f>
        <v>0</v>
      </c>
      <c r="D85" s="85">
        <f t="shared" ca="1" si="39"/>
        <v>0</v>
      </c>
      <c r="E85" s="84">
        <f t="shared" ref="E85:E110" ca="1" si="43">N85*BSPrice(L85,1/S85,1/O85,Q85,X85,Y85,T85)*1000000</f>
        <v>0</v>
      </c>
      <c r="F85" s="135">
        <f t="shared" ca="1" si="25"/>
        <v>0</v>
      </c>
      <c r="G85" s="409">
        <f t="shared" ca="1" si="40"/>
        <v>0</v>
      </c>
      <c r="H85" s="409">
        <f t="shared" ca="1" si="41"/>
        <v>0</v>
      </c>
      <c r="I85" s="275">
        <f t="shared" ca="1" si="26"/>
        <v>0</v>
      </c>
      <c r="J85" s="275">
        <f t="shared" ref="J85:J110" ca="1" si="44">N85*BSDailyRhoExt(L85,1/S85,1/O85,Q85,X85,Y85,T85)*1000000</f>
        <v>0</v>
      </c>
      <c r="K85" s="137">
        <f t="shared" ca="1" si="28"/>
        <v>0</v>
      </c>
      <c r="L85" s="15" t="str">
        <f t="shared" ca="1" si="37"/>
        <v>F</v>
      </c>
      <c r="M85" s="88">
        <f t="shared" ca="1" si="37"/>
        <v>0</v>
      </c>
      <c r="N85" s="88">
        <f t="shared" ca="1" si="37"/>
        <v>0</v>
      </c>
      <c r="O85" s="432">
        <v>1000000000000000</v>
      </c>
      <c r="P85" s="69">
        <v>109575</v>
      </c>
      <c r="Q85" s="3">
        <f t="shared" ref="Q85:Q110" si="45">(P85-$H$2)</f>
        <v>64588</v>
      </c>
      <c r="R85" s="107">
        <f t="shared" ref="R85:R110" ca="1" si="46">IF(L85="D",1,$I$6)</f>
        <v>18.189999999999998</v>
      </c>
      <c r="S85" s="105">
        <f t="shared" ref="S85:S110" ca="1" si="47">IF(L85="D",1,R85*EXP(-($I$10-$I$11)*Q85/365))</f>
        <v>30526306.859062586</v>
      </c>
      <c r="T85" s="341">
        <v>0</v>
      </c>
      <c r="U85" s="341">
        <v>0.11849999999999999</v>
      </c>
      <c r="V85" s="341">
        <v>0.11849999999999999</v>
      </c>
      <c r="W85" s="341">
        <v>0.11849999999999999</v>
      </c>
      <c r="X85" s="281">
        <f t="shared" si="34"/>
        <v>1.9E-2</v>
      </c>
      <c r="Y85" s="282">
        <f t="shared" si="27"/>
        <v>0.1</v>
      </c>
      <c r="AA85" s="391">
        <f t="shared" ref="AA85:AF110" ca="1" si="48">INDIRECT("'"&amp; $AB$16 &amp;"'!"&amp; ADDRESS(ROW(E85),COLUMN(E85),4))</f>
        <v>0</v>
      </c>
      <c r="AB85" s="400">
        <f t="shared" ca="1" si="48"/>
        <v>0</v>
      </c>
      <c r="AC85" s="258">
        <f t="shared" ca="1" si="48"/>
        <v>0</v>
      </c>
      <c r="AD85" s="258">
        <f t="shared" ca="1" si="48"/>
        <v>0</v>
      </c>
      <c r="AE85" s="402">
        <f t="shared" ca="1" si="48"/>
        <v>0</v>
      </c>
      <c r="AF85" s="402">
        <f t="shared" ca="1" si="48"/>
        <v>0</v>
      </c>
      <c r="AG85" s="404">
        <f t="shared" ref="AG85:AG110" ca="1" si="49">AB85*((1/R85)-(1/AN85))*1000000</f>
        <v>0</v>
      </c>
      <c r="AH85" s="415">
        <f t="shared" ref="AH85:AH110" ca="1" si="50">0.5*AC85*((1/R85)-(1/AN85))^2*1000000</f>
        <v>0</v>
      </c>
      <c r="AI85" s="415">
        <f t="shared" ref="AI85:AI110" ca="1" si="51">AD85*(T85-AP85)</f>
        <v>0</v>
      </c>
      <c r="AJ85" s="416">
        <f t="shared" ref="AJ85:AJ110" ca="1" si="52">(AE85*(X85-AT85))/0.01%</f>
        <v>0</v>
      </c>
      <c r="AK85" s="416">
        <f t="shared" ref="AK85:AK110" ca="1" si="53">(AF85*(Y85-AU85))/0.01%</f>
        <v>0</v>
      </c>
      <c r="AL85" s="417">
        <v>0</v>
      </c>
      <c r="AM85" s="269">
        <f t="shared" ca="1" si="29"/>
        <v>0</v>
      </c>
      <c r="AN85" s="422">
        <f t="shared" ca="1" si="38"/>
        <v>18.29</v>
      </c>
      <c r="AO85" s="423">
        <f t="shared" ca="1" si="38"/>
        <v>25727391.2880999</v>
      </c>
      <c r="AP85" s="271">
        <f t="shared" ca="1" si="38"/>
        <v>0</v>
      </c>
      <c r="AQ85" s="271">
        <f t="shared" ca="1" si="38"/>
        <v>0.11849999999999999</v>
      </c>
      <c r="AR85" s="271">
        <f t="shared" ca="1" si="38"/>
        <v>0.11849999999999999</v>
      </c>
      <c r="AS85" s="271">
        <f t="shared" ca="1" si="38"/>
        <v>0.11849999999999999</v>
      </c>
      <c r="AT85" s="271">
        <f t="shared" ca="1" si="38"/>
        <v>0.02</v>
      </c>
      <c r="AU85" s="278">
        <f t="shared" ca="1" si="36"/>
        <v>0.1</v>
      </c>
    </row>
    <row r="86" spans="2:47" ht="13.15" thickBot="1" x14ac:dyDescent="0.4">
      <c r="B86" s="18">
        <f t="shared" si="30"/>
        <v>67</v>
      </c>
      <c r="C86" s="85">
        <f t="shared" ca="1" si="42"/>
        <v>0</v>
      </c>
      <c r="D86" s="85">
        <f t="shared" ca="1" si="39"/>
        <v>0</v>
      </c>
      <c r="E86" s="84">
        <f t="shared" ca="1" si="43"/>
        <v>0</v>
      </c>
      <c r="F86" s="135">
        <f t="shared" ref="F86:F110" ca="1" si="54">N86*BSDelta(L86,1/S86,1/O86,Q86,X86,Y86,T86)</f>
        <v>0</v>
      </c>
      <c r="G86" s="409">
        <f t="shared" ca="1" si="40"/>
        <v>0</v>
      </c>
      <c r="H86" s="409">
        <f t="shared" ca="1" si="41"/>
        <v>0</v>
      </c>
      <c r="I86" s="275">
        <f t="shared" ref="I86:I110" ca="1" si="55">N86*BSDailyRhoUSD(L86,1/S86,1/O86,Q86,X86,Y86,T86)*1000000</f>
        <v>0</v>
      </c>
      <c r="J86" s="275">
        <f t="shared" ca="1" si="44"/>
        <v>0</v>
      </c>
      <c r="K86" s="137">
        <f t="shared" ca="1" si="28"/>
        <v>0</v>
      </c>
      <c r="L86" s="15" t="str">
        <f t="shared" ca="1" si="37"/>
        <v>F</v>
      </c>
      <c r="M86" s="88">
        <f t="shared" ca="1" si="37"/>
        <v>0</v>
      </c>
      <c r="N86" s="88">
        <f t="shared" ca="1" si="37"/>
        <v>0</v>
      </c>
      <c r="O86" s="432">
        <v>1000000000000000</v>
      </c>
      <c r="P86" s="69">
        <v>109575</v>
      </c>
      <c r="Q86" s="3">
        <f t="shared" si="45"/>
        <v>64588</v>
      </c>
      <c r="R86" s="107">
        <f t="shared" ca="1" si="46"/>
        <v>18.189999999999998</v>
      </c>
      <c r="S86" s="105">
        <f t="shared" ca="1" si="47"/>
        <v>30526306.859062586</v>
      </c>
      <c r="T86" s="341">
        <v>0</v>
      </c>
      <c r="U86" s="341">
        <v>0.11849999999999999</v>
      </c>
      <c r="V86" s="341">
        <v>0.11849999999999999</v>
      </c>
      <c r="W86" s="341">
        <v>0.11849999999999999</v>
      </c>
      <c r="X86" s="281">
        <f t="shared" si="34"/>
        <v>1.9E-2</v>
      </c>
      <c r="Y86" s="282">
        <f t="shared" ref="Y86:Y110" si="56">Y85</f>
        <v>0.1</v>
      </c>
      <c r="AA86" s="391">
        <f t="shared" ca="1" si="48"/>
        <v>0</v>
      </c>
      <c r="AB86" s="400">
        <f t="shared" ca="1" si="48"/>
        <v>0</v>
      </c>
      <c r="AC86" s="258">
        <f t="shared" ca="1" si="48"/>
        <v>0</v>
      </c>
      <c r="AD86" s="258">
        <f t="shared" ca="1" si="48"/>
        <v>0</v>
      </c>
      <c r="AE86" s="402">
        <f t="shared" ca="1" si="48"/>
        <v>0</v>
      </c>
      <c r="AF86" s="402">
        <f t="shared" ca="1" si="48"/>
        <v>0</v>
      </c>
      <c r="AG86" s="404">
        <f t="shared" ca="1" si="49"/>
        <v>0</v>
      </c>
      <c r="AH86" s="415">
        <f t="shared" ca="1" si="50"/>
        <v>0</v>
      </c>
      <c r="AI86" s="415">
        <f t="shared" ca="1" si="51"/>
        <v>0</v>
      </c>
      <c r="AJ86" s="416">
        <f t="shared" ca="1" si="52"/>
        <v>0</v>
      </c>
      <c r="AK86" s="416">
        <f t="shared" ca="1" si="53"/>
        <v>0</v>
      </c>
      <c r="AL86" s="417">
        <v>0</v>
      </c>
      <c r="AM86" s="269">
        <f t="shared" ca="1" si="29"/>
        <v>0</v>
      </c>
      <c r="AN86" s="422">
        <f t="shared" ca="1" si="38"/>
        <v>18.29</v>
      </c>
      <c r="AO86" s="423">
        <f t="shared" ca="1" si="38"/>
        <v>25727391.2880999</v>
      </c>
      <c r="AP86" s="271">
        <f t="shared" ca="1" si="38"/>
        <v>0</v>
      </c>
      <c r="AQ86" s="271">
        <f t="shared" ca="1" si="38"/>
        <v>0.11849999999999999</v>
      </c>
      <c r="AR86" s="271">
        <f t="shared" ca="1" si="38"/>
        <v>0.11849999999999999</v>
      </c>
      <c r="AS86" s="271">
        <f t="shared" ca="1" si="38"/>
        <v>0.11849999999999999</v>
      </c>
      <c r="AT86" s="271">
        <f t="shared" ca="1" si="38"/>
        <v>0.02</v>
      </c>
      <c r="AU86" s="278">
        <f t="shared" ca="1" si="36"/>
        <v>0.1</v>
      </c>
    </row>
    <row r="87" spans="2:47" ht="13.15" thickBot="1" x14ac:dyDescent="0.4">
      <c r="B87" s="18">
        <f t="shared" si="30"/>
        <v>68</v>
      </c>
      <c r="C87" s="85">
        <f t="shared" ca="1" si="42"/>
        <v>0</v>
      </c>
      <c r="D87" s="85">
        <f t="shared" ca="1" si="39"/>
        <v>0</v>
      </c>
      <c r="E87" s="84">
        <f t="shared" ca="1" si="43"/>
        <v>0</v>
      </c>
      <c r="F87" s="135">
        <f t="shared" ca="1" si="54"/>
        <v>0</v>
      </c>
      <c r="G87" s="409">
        <f t="shared" ca="1" si="40"/>
        <v>0</v>
      </c>
      <c r="H87" s="409">
        <f t="shared" ca="1" si="41"/>
        <v>0</v>
      </c>
      <c r="I87" s="275">
        <f t="shared" ca="1" si="55"/>
        <v>0</v>
      </c>
      <c r="J87" s="275">
        <f t="shared" ca="1" si="44"/>
        <v>0</v>
      </c>
      <c r="K87" s="137">
        <f t="shared" ref="K87:K110" ca="1" si="57">N87*BSDailyTheta(L87,1/S87,1/O87,Q87,X87,Y87,T87)*1000000</f>
        <v>0</v>
      </c>
      <c r="L87" s="15" t="str">
        <f t="shared" ca="1" si="37"/>
        <v>F</v>
      </c>
      <c r="M87" s="88">
        <f t="shared" ca="1" si="37"/>
        <v>0</v>
      </c>
      <c r="N87" s="88">
        <f t="shared" ca="1" si="37"/>
        <v>0</v>
      </c>
      <c r="O87" s="432">
        <v>1000000000000000</v>
      </c>
      <c r="P87" s="69">
        <v>109575</v>
      </c>
      <c r="Q87" s="3">
        <f t="shared" si="45"/>
        <v>64588</v>
      </c>
      <c r="R87" s="107">
        <f t="shared" ca="1" si="46"/>
        <v>18.189999999999998</v>
      </c>
      <c r="S87" s="105">
        <f t="shared" ca="1" si="47"/>
        <v>30526306.859062586</v>
      </c>
      <c r="T87" s="341">
        <v>0</v>
      </c>
      <c r="U87" s="341">
        <v>0.11849999999999999</v>
      </c>
      <c r="V87" s="341">
        <v>0.11849999999999999</v>
      </c>
      <c r="W87" s="341">
        <v>0.11849999999999999</v>
      </c>
      <c r="X87" s="281">
        <f t="shared" si="34"/>
        <v>1.9E-2</v>
      </c>
      <c r="Y87" s="282">
        <f t="shared" si="56"/>
        <v>0.1</v>
      </c>
      <c r="AA87" s="391">
        <f t="shared" ca="1" si="48"/>
        <v>0</v>
      </c>
      <c r="AB87" s="400">
        <f t="shared" ca="1" si="48"/>
        <v>0</v>
      </c>
      <c r="AC87" s="258">
        <f t="shared" ca="1" si="48"/>
        <v>0</v>
      </c>
      <c r="AD87" s="258">
        <f t="shared" ca="1" si="48"/>
        <v>0</v>
      </c>
      <c r="AE87" s="402">
        <f t="shared" ca="1" si="48"/>
        <v>0</v>
      </c>
      <c r="AF87" s="402">
        <f t="shared" ca="1" si="48"/>
        <v>0</v>
      </c>
      <c r="AG87" s="404">
        <f t="shared" ca="1" si="49"/>
        <v>0</v>
      </c>
      <c r="AH87" s="415">
        <f t="shared" ca="1" si="50"/>
        <v>0</v>
      </c>
      <c r="AI87" s="415">
        <f t="shared" ca="1" si="51"/>
        <v>0</v>
      </c>
      <c r="AJ87" s="416">
        <f t="shared" ca="1" si="52"/>
        <v>0</v>
      </c>
      <c r="AK87" s="416">
        <f t="shared" ca="1" si="53"/>
        <v>0</v>
      </c>
      <c r="AL87" s="417">
        <v>0</v>
      </c>
      <c r="AM87" s="269">
        <f t="shared" ref="AM87:AM93" ca="1" si="58">SUM(AG87:AL87)</f>
        <v>0</v>
      </c>
      <c r="AN87" s="422">
        <f t="shared" ca="1" si="38"/>
        <v>18.29</v>
      </c>
      <c r="AO87" s="423">
        <f t="shared" ca="1" si="38"/>
        <v>25727391.2880999</v>
      </c>
      <c r="AP87" s="271">
        <f t="shared" ca="1" si="38"/>
        <v>0</v>
      </c>
      <c r="AQ87" s="271">
        <f t="shared" ca="1" si="38"/>
        <v>0.11849999999999999</v>
      </c>
      <c r="AR87" s="271">
        <f t="shared" ca="1" si="38"/>
        <v>0.11849999999999999</v>
      </c>
      <c r="AS87" s="271">
        <f t="shared" ca="1" si="38"/>
        <v>0.11849999999999999</v>
      </c>
      <c r="AT87" s="271">
        <f t="shared" ca="1" si="38"/>
        <v>0.02</v>
      </c>
      <c r="AU87" s="278">
        <f t="shared" ca="1" si="36"/>
        <v>0.1</v>
      </c>
    </row>
    <row r="88" spans="2:47" ht="13.15" thickBot="1" x14ac:dyDescent="0.4">
      <c r="B88" s="18">
        <f t="shared" si="30"/>
        <v>69</v>
      </c>
      <c r="C88" s="85">
        <f t="shared" ca="1" si="42"/>
        <v>0</v>
      </c>
      <c r="D88" s="85">
        <f t="shared" ca="1" si="39"/>
        <v>0</v>
      </c>
      <c r="E88" s="84">
        <f t="shared" ca="1" si="43"/>
        <v>0</v>
      </c>
      <c r="F88" s="135">
        <f t="shared" ca="1" si="54"/>
        <v>0</v>
      </c>
      <c r="G88" s="409">
        <f t="shared" ca="1" si="40"/>
        <v>0</v>
      </c>
      <c r="H88" s="409">
        <f t="shared" ca="1" si="41"/>
        <v>0</v>
      </c>
      <c r="I88" s="275">
        <f t="shared" ca="1" si="55"/>
        <v>0</v>
      </c>
      <c r="J88" s="275">
        <f t="shared" ca="1" si="44"/>
        <v>0</v>
      </c>
      <c r="K88" s="137">
        <f t="shared" ca="1" si="57"/>
        <v>0</v>
      </c>
      <c r="L88" s="15" t="str">
        <f t="shared" ca="1" si="37"/>
        <v>F</v>
      </c>
      <c r="M88" s="88">
        <f t="shared" ca="1" si="37"/>
        <v>0</v>
      </c>
      <c r="N88" s="88">
        <f t="shared" ca="1" si="37"/>
        <v>0</v>
      </c>
      <c r="O88" s="432">
        <v>1000000000000000</v>
      </c>
      <c r="P88" s="69">
        <v>109575</v>
      </c>
      <c r="Q88" s="3">
        <f t="shared" si="45"/>
        <v>64588</v>
      </c>
      <c r="R88" s="107">
        <f t="shared" ca="1" si="46"/>
        <v>18.189999999999998</v>
      </c>
      <c r="S88" s="105">
        <f t="shared" ca="1" si="47"/>
        <v>30526306.859062586</v>
      </c>
      <c r="T88" s="341">
        <v>0</v>
      </c>
      <c r="U88" s="341">
        <v>0.11849999999999999</v>
      </c>
      <c r="V88" s="341">
        <v>0.11849999999999999</v>
      </c>
      <c r="W88" s="341">
        <v>0.11849999999999999</v>
      </c>
      <c r="X88" s="281">
        <f t="shared" si="34"/>
        <v>1.9E-2</v>
      </c>
      <c r="Y88" s="282">
        <f t="shared" si="56"/>
        <v>0.1</v>
      </c>
      <c r="AA88" s="391">
        <f t="shared" ca="1" si="48"/>
        <v>0</v>
      </c>
      <c r="AB88" s="400">
        <f t="shared" ca="1" si="48"/>
        <v>0</v>
      </c>
      <c r="AC88" s="258">
        <f t="shared" ca="1" si="48"/>
        <v>0</v>
      </c>
      <c r="AD88" s="258">
        <f t="shared" ca="1" si="48"/>
        <v>0</v>
      </c>
      <c r="AE88" s="402">
        <f t="shared" ca="1" si="48"/>
        <v>0</v>
      </c>
      <c r="AF88" s="402">
        <f t="shared" ca="1" si="48"/>
        <v>0</v>
      </c>
      <c r="AG88" s="404">
        <f t="shared" ca="1" si="49"/>
        <v>0</v>
      </c>
      <c r="AH88" s="415">
        <f t="shared" ca="1" si="50"/>
        <v>0</v>
      </c>
      <c r="AI88" s="415">
        <f t="shared" ca="1" si="51"/>
        <v>0</v>
      </c>
      <c r="AJ88" s="416">
        <f t="shared" ca="1" si="52"/>
        <v>0</v>
      </c>
      <c r="AK88" s="416">
        <f t="shared" ca="1" si="53"/>
        <v>0</v>
      </c>
      <c r="AL88" s="417">
        <v>0</v>
      </c>
      <c r="AM88" s="269">
        <f t="shared" ca="1" si="58"/>
        <v>0</v>
      </c>
      <c r="AN88" s="422">
        <f t="shared" ca="1" si="38"/>
        <v>18.29</v>
      </c>
      <c r="AO88" s="423">
        <f t="shared" ca="1" si="38"/>
        <v>25727391.2880999</v>
      </c>
      <c r="AP88" s="271">
        <f t="shared" ca="1" si="38"/>
        <v>0</v>
      </c>
      <c r="AQ88" s="271">
        <f t="shared" ca="1" si="38"/>
        <v>0.11849999999999999</v>
      </c>
      <c r="AR88" s="271">
        <f t="shared" ca="1" si="38"/>
        <v>0.11849999999999999</v>
      </c>
      <c r="AS88" s="271">
        <f t="shared" ca="1" si="38"/>
        <v>0.11849999999999999</v>
      </c>
      <c r="AT88" s="271">
        <f t="shared" ca="1" si="38"/>
        <v>0.02</v>
      </c>
      <c r="AU88" s="278">
        <f t="shared" ca="1" si="36"/>
        <v>0.1</v>
      </c>
    </row>
    <row r="89" spans="2:47" ht="13.15" thickBot="1" x14ac:dyDescent="0.4">
      <c r="B89" s="18">
        <f t="shared" si="30"/>
        <v>70</v>
      </c>
      <c r="C89" s="85">
        <f t="shared" ca="1" si="42"/>
        <v>0</v>
      </c>
      <c r="D89" s="85">
        <f t="shared" ca="1" si="39"/>
        <v>0</v>
      </c>
      <c r="E89" s="84">
        <f t="shared" ca="1" si="43"/>
        <v>0</v>
      </c>
      <c r="F89" s="135">
        <f t="shared" ca="1" si="54"/>
        <v>0</v>
      </c>
      <c r="G89" s="409">
        <f t="shared" ca="1" si="40"/>
        <v>0</v>
      </c>
      <c r="H89" s="409">
        <f t="shared" ca="1" si="41"/>
        <v>0</v>
      </c>
      <c r="I89" s="275">
        <f t="shared" ca="1" si="55"/>
        <v>0</v>
      </c>
      <c r="J89" s="275">
        <f t="shared" ca="1" si="44"/>
        <v>0</v>
      </c>
      <c r="K89" s="137">
        <f t="shared" ca="1" si="57"/>
        <v>0</v>
      </c>
      <c r="L89" s="15" t="str">
        <f t="shared" ca="1" si="37"/>
        <v>F</v>
      </c>
      <c r="M89" s="88">
        <f t="shared" ca="1" si="37"/>
        <v>0</v>
      </c>
      <c r="N89" s="88">
        <f t="shared" ca="1" si="37"/>
        <v>0</v>
      </c>
      <c r="O89" s="432">
        <v>1000000000000000</v>
      </c>
      <c r="P89" s="69">
        <v>109575</v>
      </c>
      <c r="Q89" s="3">
        <f t="shared" si="45"/>
        <v>64588</v>
      </c>
      <c r="R89" s="107">
        <f t="shared" ca="1" si="46"/>
        <v>18.189999999999998</v>
      </c>
      <c r="S89" s="105">
        <f t="shared" ca="1" si="47"/>
        <v>30526306.859062586</v>
      </c>
      <c r="T89" s="341">
        <v>0</v>
      </c>
      <c r="U89" s="341">
        <v>0.11849999999999999</v>
      </c>
      <c r="V89" s="341">
        <v>0.11849999999999999</v>
      </c>
      <c r="W89" s="341">
        <v>0.11849999999999999</v>
      </c>
      <c r="X89" s="281">
        <f t="shared" si="34"/>
        <v>1.9E-2</v>
      </c>
      <c r="Y89" s="282">
        <f t="shared" si="56"/>
        <v>0.1</v>
      </c>
      <c r="AA89" s="391">
        <f t="shared" ca="1" si="48"/>
        <v>0</v>
      </c>
      <c r="AB89" s="400">
        <f t="shared" ca="1" si="48"/>
        <v>0</v>
      </c>
      <c r="AC89" s="258">
        <f t="shared" ca="1" si="48"/>
        <v>0</v>
      </c>
      <c r="AD89" s="258">
        <f t="shared" ca="1" si="48"/>
        <v>0</v>
      </c>
      <c r="AE89" s="402">
        <f t="shared" ca="1" si="48"/>
        <v>0</v>
      </c>
      <c r="AF89" s="402">
        <f t="shared" ca="1" si="48"/>
        <v>0</v>
      </c>
      <c r="AG89" s="404">
        <f t="shared" ca="1" si="49"/>
        <v>0</v>
      </c>
      <c r="AH89" s="415">
        <f t="shared" ca="1" si="50"/>
        <v>0</v>
      </c>
      <c r="AI89" s="415">
        <f t="shared" ca="1" si="51"/>
        <v>0</v>
      </c>
      <c r="AJ89" s="416">
        <f t="shared" ca="1" si="52"/>
        <v>0</v>
      </c>
      <c r="AK89" s="416">
        <f t="shared" ca="1" si="53"/>
        <v>0</v>
      </c>
      <c r="AL89" s="417">
        <v>0</v>
      </c>
      <c r="AM89" s="269">
        <f t="shared" ca="1" si="58"/>
        <v>0</v>
      </c>
      <c r="AN89" s="422">
        <f t="shared" ca="1" si="38"/>
        <v>18.29</v>
      </c>
      <c r="AO89" s="423">
        <f t="shared" ca="1" si="38"/>
        <v>25727391.2880999</v>
      </c>
      <c r="AP89" s="271">
        <f t="shared" ca="1" si="38"/>
        <v>0</v>
      </c>
      <c r="AQ89" s="271">
        <f t="shared" ca="1" si="38"/>
        <v>0.11849999999999999</v>
      </c>
      <c r="AR89" s="271">
        <f t="shared" ca="1" si="38"/>
        <v>0.11849999999999999</v>
      </c>
      <c r="AS89" s="271">
        <f t="shared" ca="1" si="38"/>
        <v>0.11849999999999999</v>
      </c>
      <c r="AT89" s="271">
        <f t="shared" ca="1" si="38"/>
        <v>0.02</v>
      </c>
      <c r="AU89" s="278">
        <f t="shared" ca="1" si="36"/>
        <v>0.1</v>
      </c>
    </row>
    <row r="90" spans="2:47" ht="13.15" thickBot="1" x14ac:dyDescent="0.4">
      <c r="B90" s="18">
        <f t="shared" si="30"/>
        <v>71</v>
      </c>
      <c r="C90" s="85">
        <f t="shared" ca="1" si="42"/>
        <v>0</v>
      </c>
      <c r="D90" s="85">
        <f t="shared" ca="1" si="39"/>
        <v>0</v>
      </c>
      <c r="E90" s="84">
        <f t="shared" ca="1" si="43"/>
        <v>0</v>
      </c>
      <c r="F90" s="135">
        <f t="shared" ca="1" si="54"/>
        <v>0</v>
      </c>
      <c r="G90" s="409">
        <f t="shared" ca="1" si="40"/>
        <v>0</v>
      </c>
      <c r="H90" s="409">
        <f t="shared" ca="1" si="41"/>
        <v>0</v>
      </c>
      <c r="I90" s="275">
        <f t="shared" ca="1" si="55"/>
        <v>0</v>
      </c>
      <c r="J90" s="275">
        <f t="shared" ca="1" si="44"/>
        <v>0</v>
      </c>
      <c r="K90" s="137">
        <f t="shared" ca="1" si="57"/>
        <v>0</v>
      </c>
      <c r="L90" s="15" t="str">
        <f t="shared" ca="1" si="37"/>
        <v>F</v>
      </c>
      <c r="M90" s="88">
        <f t="shared" ca="1" si="37"/>
        <v>0</v>
      </c>
      <c r="N90" s="88">
        <f t="shared" ca="1" si="37"/>
        <v>0</v>
      </c>
      <c r="O90" s="432">
        <v>1000000000000000</v>
      </c>
      <c r="P90" s="69">
        <v>109575</v>
      </c>
      <c r="Q90" s="3">
        <f t="shared" si="45"/>
        <v>64588</v>
      </c>
      <c r="R90" s="107">
        <f t="shared" ca="1" si="46"/>
        <v>18.189999999999998</v>
      </c>
      <c r="S90" s="105">
        <f t="shared" ca="1" si="47"/>
        <v>30526306.859062586</v>
      </c>
      <c r="T90" s="341">
        <v>0</v>
      </c>
      <c r="U90" s="341">
        <v>0.11849999999999999</v>
      </c>
      <c r="V90" s="341">
        <v>0.11849999999999999</v>
      </c>
      <c r="W90" s="341">
        <v>0.11849999999999999</v>
      </c>
      <c r="X90" s="281">
        <f t="shared" si="34"/>
        <v>1.9E-2</v>
      </c>
      <c r="Y90" s="282">
        <f t="shared" si="56"/>
        <v>0.1</v>
      </c>
      <c r="AA90" s="391">
        <f t="shared" ca="1" si="48"/>
        <v>0</v>
      </c>
      <c r="AB90" s="400">
        <f t="shared" ca="1" si="48"/>
        <v>0</v>
      </c>
      <c r="AC90" s="258">
        <f t="shared" ca="1" si="48"/>
        <v>0</v>
      </c>
      <c r="AD90" s="258">
        <f t="shared" ca="1" si="48"/>
        <v>0</v>
      </c>
      <c r="AE90" s="402">
        <f t="shared" ca="1" si="48"/>
        <v>0</v>
      </c>
      <c r="AF90" s="402">
        <f t="shared" ca="1" si="48"/>
        <v>0</v>
      </c>
      <c r="AG90" s="404">
        <f t="shared" ca="1" si="49"/>
        <v>0</v>
      </c>
      <c r="AH90" s="415">
        <f t="shared" ca="1" si="50"/>
        <v>0</v>
      </c>
      <c r="AI90" s="415">
        <f t="shared" ca="1" si="51"/>
        <v>0</v>
      </c>
      <c r="AJ90" s="416">
        <f t="shared" ca="1" si="52"/>
        <v>0</v>
      </c>
      <c r="AK90" s="416">
        <f t="shared" ca="1" si="53"/>
        <v>0</v>
      </c>
      <c r="AL90" s="417">
        <v>0</v>
      </c>
      <c r="AM90" s="269">
        <f t="shared" ca="1" si="58"/>
        <v>0</v>
      </c>
      <c r="AN90" s="422">
        <f t="shared" ca="1" si="38"/>
        <v>18.29</v>
      </c>
      <c r="AO90" s="423">
        <f t="shared" ca="1" si="38"/>
        <v>25727391.2880999</v>
      </c>
      <c r="AP90" s="271">
        <f t="shared" ca="1" si="38"/>
        <v>0</v>
      </c>
      <c r="AQ90" s="271">
        <f t="shared" ca="1" si="38"/>
        <v>0.11849999999999999</v>
      </c>
      <c r="AR90" s="271">
        <f t="shared" ca="1" si="38"/>
        <v>0.11849999999999999</v>
      </c>
      <c r="AS90" s="271">
        <f t="shared" ca="1" si="38"/>
        <v>0.11849999999999999</v>
      </c>
      <c r="AT90" s="271">
        <f t="shared" ca="1" si="38"/>
        <v>0.02</v>
      </c>
      <c r="AU90" s="278">
        <f t="shared" ca="1" si="36"/>
        <v>0.1</v>
      </c>
    </row>
    <row r="91" spans="2:47" ht="13.15" thickBot="1" x14ac:dyDescent="0.4">
      <c r="B91" s="18">
        <f t="shared" si="30"/>
        <v>72</v>
      </c>
      <c r="C91" s="85">
        <f t="shared" ca="1" si="42"/>
        <v>0</v>
      </c>
      <c r="D91" s="85">
        <f t="shared" ca="1" si="39"/>
        <v>0</v>
      </c>
      <c r="E91" s="84">
        <f t="shared" ca="1" si="43"/>
        <v>0</v>
      </c>
      <c r="F91" s="135">
        <f t="shared" ca="1" si="54"/>
        <v>0</v>
      </c>
      <c r="G91" s="409">
        <f t="shared" ca="1" si="40"/>
        <v>0</v>
      </c>
      <c r="H91" s="409">
        <f t="shared" ca="1" si="41"/>
        <v>0</v>
      </c>
      <c r="I91" s="275">
        <f t="shared" ca="1" si="55"/>
        <v>0</v>
      </c>
      <c r="J91" s="275">
        <f t="shared" ca="1" si="44"/>
        <v>0</v>
      </c>
      <c r="K91" s="137">
        <f t="shared" ca="1" si="57"/>
        <v>0</v>
      </c>
      <c r="L91" s="15" t="str">
        <f t="shared" ca="1" si="37"/>
        <v>F</v>
      </c>
      <c r="M91" s="88">
        <f t="shared" ca="1" si="37"/>
        <v>0</v>
      </c>
      <c r="N91" s="88">
        <f t="shared" ca="1" si="37"/>
        <v>0</v>
      </c>
      <c r="O91" s="432">
        <v>1000000000000000</v>
      </c>
      <c r="P91" s="69">
        <v>109575</v>
      </c>
      <c r="Q91" s="3">
        <f t="shared" si="45"/>
        <v>64588</v>
      </c>
      <c r="R91" s="107">
        <f t="shared" ca="1" si="46"/>
        <v>18.189999999999998</v>
      </c>
      <c r="S91" s="105">
        <f t="shared" ca="1" si="47"/>
        <v>30526306.859062586</v>
      </c>
      <c r="T91" s="341">
        <v>0</v>
      </c>
      <c r="U91" s="341">
        <v>0.11849999999999999</v>
      </c>
      <c r="V91" s="341">
        <v>0.11849999999999999</v>
      </c>
      <c r="W91" s="341">
        <v>0.11849999999999999</v>
      </c>
      <c r="X91" s="281">
        <f t="shared" si="34"/>
        <v>1.9E-2</v>
      </c>
      <c r="Y91" s="282">
        <f t="shared" si="56"/>
        <v>0.1</v>
      </c>
      <c r="AA91" s="391">
        <f t="shared" ca="1" si="48"/>
        <v>0</v>
      </c>
      <c r="AB91" s="400">
        <f t="shared" ca="1" si="48"/>
        <v>0</v>
      </c>
      <c r="AC91" s="258">
        <f t="shared" ca="1" si="48"/>
        <v>0</v>
      </c>
      <c r="AD91" s="258">
        <f t="shared" ca="1" si="48"/>
        <v>0</v>
      </c>
      <c r="AE91" s="402">
        <f t="shared" ca="1" si="48"/>
        <v>0</v>
      </c>
      <c r="AF91" s="402">
        <f t="shared" ca="1" si="48"/>
        <v>0</v>
      </c>
      <c r="AG91" s="404">
        <f t="shared" ca="1" si="49"/>
        <v>0</v>
      </c>
      <c r="AH91" s="415">
        <f t="shared" ca="1" si="50"/>
        <v>0</v>
      </c>
      <c r="AI91" s="415">
        <f t="shared" ca="1" si="51"/>
        <v>0</v>
      </c>
      <c r="AJ91" s="416">
        <f t="shared" ca="1" si="52"/>
        <v>0</v>
      </c>
      <c r="AK91" s="416">
        <f t="shared" ca="1" si="53"/>
        <v>0</v>
      </c>
      <c r="AL91" s="417">
        <v>0</v>
      </c>
      <c r="AM91" s="269">
        <f t="shared" ca="1" si="58"/>
        <v>0</v>
      </c>
      <c r="AN91" s="422">
        <f t="shared" ca="1" si="38"/>
        <v>18.29</v>
      </c>
      <c r="AO91" s="423">
        <f t="shared" ca="1" si="38"/>
        <v>25727391.2880999</v>
      </c>
      <c r="AP91" s="271">
        <f t="shared" ca="1" si="38"/>
        <v>0</v>
      </c>
      <c r="AQ91" s="271">
        <f t="shared" ca="1" si="38"/>
        <v>0.11849999999999999</v>
      </c>
      <c r="AR91" s="271">
        <f t="shared" ca="1" si="38"/>
        <v>0.11849999999999999</v>
      </c>
      <c r="AS91" s="271">
        <f t="shared" ca="1" si="38"/>
        <v>0.11849999999999999</v>
      </c>
      <c r="AT91" s="271">
        <f t="shared" ca="1" si="38"/>
        <v>0.02</v>
      </c>
      <c r="AU91" s="278">
        <f t="shared" ca="1" si="36"/>
        <v>0.1</v>
      </c>
    </row>
    <row r="92" spans="2:47" ht="13.15" thickBot="1" x14ac:dyDescent="0.4">
      <c r="B92" s="18">
        <f t="shared" si="30"/>
        <v>73</v>
      </c>
      <c r="C92" s="85">
        <f t="shared" ca="1" si="42"/>
        <v>0</v>
      </c>
      <c r="D92" s="85">
        <f t="shared" ca="1" si="39"/>
        <v>0</v>
      </c>
      <c r="E92" s="84">
        <f t="shared" ca="1" si="43"/>
        <v>0</v>
      </c>
      <c r="F92" s="135">
        <f t="shared" ca="1" si="54"/>
        <v>0</v>
      </c>
      <c r="G92" s="409">
        <f t="shared" ca="1" si="40"/>
        <v>0</v>
      </c>
      <c r="H92" s="409">
        <f t="shared" ca="1" si="41"/>
        <v>0</v>
      </c>
      <c r="I92" s="275">
        <f t="shared" ca="1" si="55"/>
        <v>0</v>
      </c>
      <c r="J92" s="275">
        <f t="shared" ca="1" si="44"/>
        <v>0</v>
      </c>
      <c r="K92" s="137">
        <f t="shared" ca="1" si="57"/>
        <v>0</v>
      </c>
      <c r="L92" s="15" t="str">
        <f t="shared" ca="1" si="37"/>
        <v>F</v>
      </c>
      <c r="M92" s="88">
        <f t="shared" ca="1" si="37"/>
        <v>0</v>
      </c>
      <c r="N92" s="88">
        <f t="shared" ca="1" si="37"/>
        <v>0</v>
      </c>
      <c r="O92" s="432">
        <v>1000000000000000</v>
      </c>
      <c r="P92" s="69">
        <v>109575</v>
      </c>
      <c r="Q92" s="3">
        <f t="shared" si="45"/>
        <v>64588</v>
      </c>
      <c r="R92" s="107">
        <f t="shared" ca="1" si="46"/>
        <v>18.189999999999998</v>
      </c>
      <c r="S92" s="105">
        <f t="shared" ca="1" si="47"/>
        <v>30526306.859062586</v>
      </c>
      <c r="T92" s="341">
        <v>0</v>
      </c>
      <c r="U92" s="341">
        <v>0.11849999999999999</v>
      </c>
      <c r="V92" s="341">
        <v>0.11849999999999999</v>
      </c>
      <c r="W92" s="341">
        <v>0.11849999999999999</v>
      </c>
      <c r="X92" s="281">
        <f t="shared" si="34"/>
        <v>1.9E-2</v>
      </c>
      <c r="Y92" s="282">
        <f t="shared" si="56"/>
        <v>0.1</v>
      </c>
      <c r="AA92" s="391">
        <f t="shared" ca="1" si="48"/>
        <v>0</v>
      </c>
      <c r="AB92" s="400">
        <f t="shared" ca="1" si="48"/>
        <v>0</v>
      </c>
      <c r="AC92" s="258">
        <f t="shared" ca="1" si="48"/>
        <v>0</v>
      </c>
      <c r="AD92" s="258">
        <f t="shared" ca="1" si="48"/>
        <v>0</v>
      </c>
      <c r="AE92" s="402">
        <f t="shared" ca="1" si="48"/>
        <v>0</v>
      </c>
      <c r="AF92" s="402">
        <f t="shared" ca="1" si="48"/>
        <v>0</v>
      </c>
      <c r="AG92" s="404">
        <f t="shared" ca="1" si="49"/>
        <v>0</v>
      </c>
      <c r="AH92" s="415">
        <f t="shared" ca="1" si="50"/>
        <v>0</v>
      </c>
      <c r="AI92" s="415">
        <f t="shared" ca="1" si="51"/>
        <v>0</v>
      </c>
      <c r="AJ92" s="416">
        <f t="shared" ca="1" si="52"/>
        <v>0</v>
      </c>
      <c r="AK92" s="416">
        <f t="shared" ca="1" si="53"/>
        <v>0</v>
      </c>
      <c r="AL92" s="417">
        <v>0</v>
      </c>
      <c r="AM92" s="269">
        <f t="shared" ca="1" si="58"/>
        <v>0</v>
      </c>
      <c r="AN92" s="422">
        <f t="shared" ca="1" si="38"/>
        <v>18.29</v>
      </c>
      <c r="AO92" s="423">
        <f t="shared" ca="1" si="38"/>
        <v>25727391.2880999</v>
      </c>
      <c r="AP92" s="271">
        <f t="shared" ca="1" si="38"/>
        <v>0</v>
      </c>
      <c r="AQ92" s="271">
        <f t="shared" ca="1" si="38"/>
        <v>0.11849999999999999</v>
      </c>
      <c r="AR92" s="271">
        <f t="shared" ca="1" si="38"/>
        <v>0.11849999999999999</v>
      </c>
      <c r="AS92" s="271">
        <f t="shared" ca="1" si="38"/>
        <v>0.11849999999999999</v>
      </c>
      <c r="AT92" s="271">
        <f t="shared" ca="1" si="38"/>
        <v>0.02</v>
      </c>
      <c r="AU92" s="278">
        <f t="shared" ca="1" si="36"/>
        <v>0.1</v>
      </c>
    </row>
    <row r="93" spans="2:47" ht="13.15" thickBot="1" x14ac:dyDescent="0.4">
      <c r="B93" s="18">
        <f t="shared" si="30"/>
        <v>74</v>
      </c>
      <c r="C93" s="85">
        <f t="shared" ca="1" si="42"/>
        <v>0</v>
      </c>
      <c r="D93" s="85">
        <f t="shared" ca="1" si="39"/>
        <v>0</v>
      </c>
      <c r="E93" s="84">
        <f t="shared" ca="1" si="43"/>
        <v>0</v>
      </c>
      <c r="F93" s="135">
        <f t="shared" ca="1" si="54"/>
        <v>0</v>
      </c>
      <c r="G93" s="409">
        <f t="shared" ca="1" si="40"/>
        <v>0</v>
      </c>
      <c r="H93" s="409">
        <f t="shared" ca="1" si="41"/>
        <v>0</v>
      </c>
      <c r="I93" s="275">
        <f t="shared" ca="1" si="55"/>
        <v>0</v>
      </c>
      <c r="J93" s="275">
        <f t="shared" ca="1" si="44"/>
        <v>0</v>
      </c>
      <c r="K93" s="137">
        <f t="shared" ca="1" si="57"/>
        <v>0</v>
      </c>
      <c r="L93" s="15" t="str">
        <f t="shared" ca="1" si="37"/>
        <v>F</v>
      </c>
      <c r="M93" s="88">
        <f t="shared" ca="1" si="37"/>
        <v>0</v>
      </c>
      <c r="N93" s="88">
        <f t="shared" ca="1" si="37"/>
        <v>0</v>
      </c>
      <c r="O93" s="432">
        <v>1000000000000000</v>
      </c>
      <c r="P93" s="69">
        <v>109575</v>
      </c>
      <c r="Q93" s="3">
        <f t="shared" si="45"/>
        <v>64588</v>
      </c>
      <c r="R93" s="107">
        <f t="shared" ca="1" si="46"/>
        <v>18.189999999999998</v>
      </c>
      <c r="S93" s="105">
        <f t="shared" ca="1" si="47"/>
        <v>30526306.859062586</v>
      </c>
      <c r="T93" s="341">
        <v>0</v>
      </c>
      <c r="U93" s="341">
        <v>0.11849999999999999</v>
      </c>
      <c r="V93" s="341">
        <v>0.11849999999999999</v>
      </c>
      <c r="W93" s="341">
        <v>0.11849999999999999</v>
      </c>
      <c r="X93" s="281">
        <f t="shared" si="34"/>
        <v>1.9E-2</v>
      </c>
      <c r="Y93" s="282">
        <f t="shared" si="56"/>
        <v>0.1</v>
      </c>
      <c r="AA93" s="391">
        <f t="shared" ca="1" si="48"/>
        <v>0</v>
      </c>
      <c r="AB93" s="400">
        <f t="shared" ca="1" si="48"/>
        <v>0</v>
      </c>
      <c r="AC93" s="258">
        <f t="shared" ca="1" si="48"/>
        <v>0</v>
      </c>
      <c r="AD93" s="258">
        <f t="shared" ca="1" si="48"/>
        <v>0</v>
      </c>
      <c r="AE93" s="402">
        <f t="shared" ca="1" si="48"/>
        <v>0</v>
      </c>
      <c r="AF93" s="402">
        <f t="shared" ca="1" si="48"/>
        <v>0</v>
      </c>
      <c r="AG93" s="404">
        <f t="shared" ca="1" si="49"/>
        <v>0</v>
      </c>
      <c r="AH93" s="415">
        <f t="shared" ca="1" si="50"/>
        <v>0</v>
      </c>
      <c r="AI93" s="415">
        <f t="shared" ca="1" si="51"/>
        <v>0</v>
      </c>
      <c r="AJ93" s="416">
        <f t="shared" ca="1" si="52"/>
        <v>0</v>
      </c>
      <c r="AK93" s="416">
        <f t="shared" ca="1" si="53"/>
        <v>0</v>
      </c>
      <c r="AL93" s="417">
        <v>0</v>
      </c>
      <c r="AM93" s="269">
        <f t="shared" ca="1" si="58"/>
        <v>0</v>
      </c>
      <c r="AN93" s="422">
        <f t="shared" ca="1" si="38"/>
        <v>18.29</v>
      </c>
      <c r="AO93" s="423">
        <f t="shared" ca="1" si="38"/>
        <v>25727391.2880999</v>
      </c>
      <c r="AP93" s="271">
        <f t="shared" ca="1" si="38"/>
        <v>0</v>
      </c>
      <c r="AQ93" s="271">
        <f t="shared" ca="1" si="38"/>
        <v>0.11849999999999999</v>
      </c>
      <c r="AR93" s="271">
        <f t="shared" ca="1" si="38"/>
        <v>0.11849999999999999</v>
      </c>
      <c r="AS93" s="271">
        <f t="shared" ca="1" si="38"/>
        <v>0.11849999999999999</v>
      </c>
      <c r="AT93" s="271">
        <f t="shared" ca="1" si="38"/>
        <v>0.02</v>
      </c>
      <c r="AU93" s="278">
        <f t="shared" ca="1" si="36"/>
        <v>0.1</v>
      </c>
    </row>
    <row r="94" spans="2:47" ht="13.15" thickBot="1" x14ac:dyDescent="0.4">
      <c r="B94" s="18">
        <f t="shared" ref="B94:B110" si="59">B93+1</f>
        <v>75</v>
      </c>
      <c r="C94" s="85">
        <f t="shared" ca="1" si="42"/>
        <v>0</v>
      </c>
      <c r="D94" s="85">
        <f t="shared" ca="1" si="39"/>
        <v>0</v>
      </c>
      <c r="E94" s="84">
        <f t="shared" ca="1" si="43"/>
        <v>0</v>
      </c>
      <c r="F94" s="135">
        <f t="shared" ca="1" si="54"/>
        <v>0</v>
      </c>
      <c r="G94" s="409">
        <f t="shared" ca="1" si="40"/>
        <v>0</v>
      </c>
      <c r="H94" s="409">
        <f t="shared" ca="1" si="41"/>
        <v>0</v>
      </c>
      <c r="I94" s="275">
        <f t="shared" ca="1" si="55"/>
        <v>0</v>
      </c>
      <c r="J94" s="275">
        <f t="shared" ca="1" si="44"/>
        <v>0</v>
      </c>
      <c r="K94" s="137">
        <f t="shared" ca="1" si="57"/>
        <v>0</v>
      </c>
      <c r="L94" s="15" t="str">
        <f t="shared" ca="1" si="37"/>
        <v>F</v>
      </c>
      <c r="M94" s="88">
        <f t="shared" ca="1" si="37"/>
        <v>0</v>
      </c>
      <c r="N94" s="88">
        <f t="shared" ca="1" si="37"/>
        <v>0</v>
      </c>
      <c r="O94" s="432">
        <v>1000000000000000</v>
      </c>
      <c r="P94" s="69">
        <v>109575</v>
      </c>
      <c r="Q94" s="3">
        <f t="shared" si="45"/>
        <v>64588</v>
      </c>
      <c r="R94" s="107">
        <f t="shared" ca="1" si="46"/>
        <v>18.189999999999998</v>
      </c>
      <c r="S94" s="105">
        <f t="shared" ca="1" si="47"/>
        <v>30526306.859062586</v>
      </c>
      <c r="T94" s="341">
        <v>0</v>
      </c>
      <c r="U94" s="341">
        <v>0.11849999999999999</v>
      </c>
      <c r="V94" s="341">
        <v>0.11849999999999999</v>
      </c>
      <c r="W94" s="341">
        <v>0.11849999999999999</v>
      </c>
      <c r="X94" s="281">
        <f t="shared" si="34"/>
        <v>1.9E-2</v>
      </c>
      <c r="Y94" s="282">
        <f t="shared" si="56"/>
        <v>0.1</v>
      </c>
      <c r="AA94" s="391">
        <f t="shared" ca="1" si="48"/>
        <v>0</v>
      </c>
      <c r="AB94" s="400">
        <f t="shared" ca="1" si="48"/>
        <v>0</v>
      </c>
      <c r="AC94" s="258">
        <f t="shared" ca="1" si="48"/>
        <v>0</v>
      </c>
      <c r="AD94" s="258">
        <f t="shared" ca="1" si="48"/>
        <v>0</v>
      </c>
      <c r="AE94" s="402">
        <f t="shared" ca="1" si="48"/>
        <v>0</v>
      </c>
      <c r="AF94" s="402">
        <f t="shared" ca="1" si="48"/>
        <v>0</v>
      </c>
      <c r="AG94" s="404">
        <f t="shared" ca="1" si="49"/>
        <v>0</v>
      </c>
      <c r="AH94" s="415">
        <f t="shared" ca="1" si="50"/>
        <v>0</v>
      </c>
      <c r="AI94" s="415">
        <f t="shared" ca="1" si="51"/>
        <v>0</v>
      </c>
      <c r="AJ94" s="416">
        <f t="shared" ca="1" si="52"/>
        <v>0</v>
      </c>
      <c r="AK94" s="416">
        <f t="shared" ca="1" si="53"/>
        <v>0</v>
      </c>
      <c r="AL94" s="417">
        <v>0</v>
      </c>
      <c r="AM94" s="269">
        <f t="shared" ref="AM94:AM110" ca="1" si="60">SUM(AG94:AL94)</f>
        <v>0</v>
      </c>
      <c r="AN94" s="422">
        <f t="shared" ca="1" si="38"/>
        <v>18.29</v>
      </c>
      <c r="AO94" s="423">
        <f t="shared" ca="1" si="38"/>
        <v>25727391.2880999</v>
      </c>
      <c r="AP94" s="271">
        <f t="shared" ca="1" si="38"/>
        <v>0</v>
      </c>
      <c r="AQ94" s="271">
        <f t="shared" ca="1" si="38"/>
        <v>0.11849999999999999</v>
      </c>
      <c r="AR94" s="271">
        <f t="shared" ca="1" si="38"/>
        <v>0.11849999999999999</v>
      </c>
      <c r="AS94" s="271">
        <f t="shared" ca="1" si="38"/>
        <v>0.11849999999999999</v>
      </c>
      <c r="AT94" s="271">
        <f t="shared" ca="1" si="38"/>
        <v>0.02</v>
      </c>
      <c r="AU94" s="278">
        <f t="shared" ca="1" si="36"/>
        <v>0.1</v>
      </c>
    </row>
    <row r="95" spans="2:47" ht="13.15" thickBot="1" x14ac:dyDescent="0.4">
      <c r="B95" s="18">
        <f t="shared" si="59"/>
        <v>76</v>
      </c>
      <c r="C95" s="85">
        <f t="shared" ca="1" si="42"/>
        <v>0</v>
      </c>
      <c r="D95" s="85">
        <f t="shared" ca="1" si="39"/>
        <v>0</v>
      </c>
      <c r="E95" s="84">
        <f t="shared" ca="1" si="43"/>
        <v>0</v>
      </c>
      <c r="F95" s="135">
        <f t="shared" ca="1" si="54"/>
        <v>0</v>
      </c>
      <c r="G95" s="409">
        <f t="shared" ca="1" si="40"/>
        <v>0</v>
      </c>
      <c r="H95" s="409">
        <f t="shared" ca="1" si="41"/>
        <v>0</v>
      </c>
      <c r="I95" s="275">
        <f t="shared" ca="1" si="55"/>
        <v>0</v>
      </c>
      <c r="J95" s="275">
        <f t="shared" ca="1" si="44"/>
        <v>0</v>
      </c>
      <c r="K95" s="137">
        <f t="shared" ca="1" si="57"/>
        <v>0</v>
      </c>
      <c r="L95" s="15" t="str">
        <f t="shared" ca="1" si="37"/>
        <v>F</v>
      </c>
      <c r="M95" s="88">
        <f t="shared" ca="1" si="37"/>
        <v>0</v>
      </c>
      <c r="N95" s="88">
        <f t="shared" ca="1" si="37"/>
        <v>0</v>
      </c>
      <c r="O95" s="432">
        <v>1000000000000000</v>
      </c>
      <c r="P95" s="69">
        <v>109575</v>
      </c>
      <c r="Q95" s="3">
        <f t="shared" si="45"/>
        <v>64588</v>
      </c>
      <c r="R95" s="107">
        <f t="shared" ca="1" si="46"/>
        <v>18.189999999999998</v>
      </c>
      <c r="S95" s="105">
        <f t="shared" ca="1" si="47"/>
        <v>30526306.859062586</v>
      </c>
      <c r="T95" s="341">
        <v>0</v>
      </c>
      <c r="U95" s="341">
        <v>0.11849999999999999</v>
      </c>
      <c r="V95" s="341">
        <v>0.11849999999999999</v>
      </c>
      <c r="W95" s="341">
        <v>0.11849999999999999</v>
      </c>
      <c r="X95" s="281">
        <f t="shared" si="34"/>
        <v>1.9E-2</v>
      </c>
      <c r="Y95" s="282">
        <f t="shared" si="56"/>
        <v>0.1</v>
      </c>
      <c r="AA95" s="391">
        <f t="shared" ca="1" si="48"/>
        <v>0</v>
      </c>
      <c r="AB95" s="400">
        <f t="shared" ca="1" si="48"/>
        <v>0</v>
      </c>
      <c r="AC95" s="258">
        <f t="shared" ca="1" si="48"/>
        <v>0</v>
      </c>
      <c r="AD95" s="258">
        <f t="shared" ca="1" si="48"/>
        <v>0</v>
      </c>
      <c r="AE95" s="402">
        <f t="shared" ca="1" si="48"/>
        <v>0</v>
      </c>
      <c r="AF95" s="402">
        <f t="shared" ca="1" si="48"/>
        <v>0</v>
      </c>
      <c r="AG95" s="404">
        <f t="shared" ca="1" si="49"/>
        <v>0</v>
      </c>
      <c r="AH95" s="415">
        <f t="shared" ca="1" si="50"/>
        <v>0</v>
      </c>
      <c r="AI95" s="415">
        <f t="shared" ca="1" si="51"/>
        <v>0</v>
      </c>
      <c r="AJ95" s="416">
        <f t="shared" ca="1" si="52"/>
        <v>0</v>
      </c>
      <c r="AK95" s="416">
        <f t="shared" ca="1" si="53"/>
        <v>0</v>
      </c>
      <c r="AL95" s="417">
        <v>0</v>
      </c>
      <c r="AM95" s="269">
        <f t="shared" ca="1" si="60"/>
        <v>0</v>
      </c>
      <c r="AN95" s="422">
        <f t="shared" ca="1" si="38"/>
        <v>18.29</v>
      </c>
      <c r="AO95" s="423">
        <f t="shared" ca="1" si="38"/>
        <v>25727391.2880999</v>
      </c>
      <c r="AP95" s="271">
        <f t="shared" ca="1" si="38"/>
        <v>0</v>
      </c>
      <c r="AQ95" s="271">
        <f t="shared" ca="1" si="38"/>
        <v>0.11849999999999999</v>
      </c>
      <c r="AR95" s="271">
        <f t="shared" ca="1" si="38"/>
        <v>0.11849999999999999</v>
      </c>
      <c r="AS95" s="271">
        <f t="shared" ca="1" si="38"/>
        <v>0.11849999999999999</v>
      </c>
      <c r="AT95" s="271">
        <f t="shared" ca="1" si="38"/>
        <v>0.02</v>
      </c>
      <c r="AU95" s="278">
        <f t="shared" ca="1" si="36"/>
        <v>0.1</v>
      </c>
    </row>
    <row r="96" spans="2:47" ht="13.15" thickBot="1" x14ac:dyDescent="0.4">
      <c r="B96" s="18">
        <f t="shared" si="59"/>
        <v>77</v>
      </c>
      <c r="C96" s="85">
        <f t="shared" ca="1" si="42"/>
        <v>0</v>
      </c>
      <c r="D96" s="85">
        <f t="shared" ca="1" si="39"/>
        <v>0</v>
      </c>
      <c r="E96" s="84">
        <f t="shared" ca="1" si="43"/>
        <v>0</v>
      </c>
      <c r="F96" s="135">
        <f t="shared" ca="1" si="54"/>
        <v>0</v>
      </c>
      <c r="G96" s="409">
        <f t="shared" ca="1" si="40"/>
        <v>0</v>
      </c>
      <c r="H96" s="409">
        <f t="shared" ca="1" si="41"/>
        <v>0</v>
      </c>
      <c r="I96" s="275">
        <f t="shared" ca="1" si="55"/>
        <v>0</v>
      </c>
      <c r="J96" s="275">
        <f t="shared" ca="1" si="44"/>
        <v>0</v>
      </c>
      <c r="K96" s="137">
        <f t="shared" ca="1" si="57"/>
        <v>0</v>
      </c>
      <c r="L96" s="15" t="str">
        <f t="shared" ca="1" si="37"/>
        <v>F</v>
      </c>
      <c r="M96" s="88">
        <f t="shared" ca="1" si="37"/>
        <v>0</v>
      </c>
      <c r="N96" s="88">
        <f t="shared" ca="1" si="37"/>
        <v>0</v>
      </c>
      <c r="O96" s="432">
        <v>1000000000000000</v>
      </c>
      <c r="P96" s="69">
        <v>109575</v>
      </c>
      <c r="Q96" s="3">
        <f t="shared" si="45"/>
        <v>64588</v>
      </c>
      <c r="R96" s="107">
        <f t="shared" ca="1" si="46"/>
        <v>18.189999999999998</v>
      </c>
      <c r="S96" s="105">
        <f t="shared" ca="1" si="47"/>
        <v>30526306.859062586</v>
      </c>
      <c r="T96" s="341">
        <v>0</v>
      </c>
      <c r="U96" s="341">
        <v>0.11849999999999999</v>
      </c>
      <c r="V96" s="341">
        <v>0.11849999999999999</v>
      </c>
      <c r="W96" s="341">
        <v>0.11849999999999999</v>
      </c>
      <c r="X96" s="281">
        <f t="shared" si="34"/>
        <v>1.9E-2</v>
      </c>
      <c r="Y96" s="282">
        <f t="shared" si="56"/>
        <v>0.1</v>
      </c>
      <c r="AA96" s="391">
        <f t="shared" ca="1" si="48"/>
        <v>0</v>
      </c>
      <c r="AB96" s="400">
        <f t="shared" ca="1" si="48"/>
        <v>0</v>
      </c>
      <c r="AC96" s="258">
        <f t="shared" ca="1" si="48"/>
        <v>0</v>
      </c>
      <c r="AD96" s="258">
        <f t="shared" ca="1" si="48"/>
        <v>0</v>
      </c>
      <c r="AE96" s="402">
        <f t="shared" ca="1" si="48"/>
        <v>0</v>
      </c>
      <c r="AF96" s="402">
        <f t="shared" ca="1" si="48"/>
        <v>0</v>
      </c>
      <c r="AG96" s="404">
        <f t="shared" ca="1" si="49"/>
        <v>0</v>
      </c>
      <c r="AH96" s="415">
        <f t="shared" ca="1" si="50"/>
        <v>0</v>
      </c>
      <c r="AI96" s="415">
        <f t="shared" ca="1" si="51"/>
        <v>0</v>
      </c>
      <c r="AJ96" s="416">
        <f t="shared" ca="1" si="52"/>
        <v>0</v>
      </c>
      <c r="AK96" s="416">
        <f t="shared" ca="1" si="53"/>
        <v>0</v>
      </c>
      <c r="AL96" s="417">
        <v>0</v>
      </c>
      <c r="AM96" s="269">
        <f t="shared" ca="1" si="60"/>
        <v>0</v>
      </c>
      <c r="AN96" s="422">
        <f t="shared" ca="1" si="38"/>
        <v>18.29</v>
      </c>
      <c r="AO96" s="423">
        <f t="shared" ca="1" si="38"/>
        <v>25727391.2880999</v>
      </c>
      <c r="AP96" s="271">
        <f t="shared" ca="1" si="38"/>
        <v>0</v>
      </c>
      <c r="AQ96" s="271">
        <f t="shared" ca="1" si="38"/>
        <v>0.11849999999999999</v>
      </c>
      <c r="AR96" s="271">
        <f t="shared" ca="1" si="38"/>
        <v>0.11849999999999999</v>
      </c>
      <c r="AS96" s="271">
        <f t="shared" ca="1" si="38"/>
        <v>0.11849999999999999</v>
      </c>
      <c r="AT96" s="271">
        <f t="shared" ca="1" si="38"/>
        <v>0.02</v>
      </c>
      <c r="AU96" s="278">
        <f t="shared" ca="1" si="36"/>
        <v>0.1</v>
      </c>
    </row>
    <row r="97" spans="2:47" ht="13.15" thickBot="1" x14ac:dyDescent="0.4">
      <c r="B97" s="18">
        <f t="shared" si="59"/>
        <v>78</v>
      </c>
      <c r="C97" s="85">
        <f t="shared" ca="1" si="42"/>
        <v>0</v>
      </c>
      <c r="D97" s="85">
        <f t="shared" ca="1" si="39"/>
        <v>0</v>
      </c>
      <c r="E97" s="84">
        <f t="shared" ca="1" si="43"/>
        <v>0</v>
      </c>
      <c r="F97" s="135">
        <f t="shared" ca="1" si="54"/>
        <v>0</v>
      </c>
      <c r="G97" s="409">
        <f t="shared" ca="1" si="40"/>
        <v>0</v>
      </c>
      <c r="H97" s="409">
        <f t="shared" ca="1" si="41"/>
        <v>0</v>
      </c>
      <c r="I97" s="275">
        <f t="shared" ca="1" si="55"/>
        <v>0</v>
      </c>
      <c r="J97" s="275">
        <f t="shared" ca="1" si="44"/>
        <v>0</v>
      </c>
      <c r="K97" s="137">
        <f t="shared" ca="1" si="57"/>
        <v>0</v>
      </c>
      <c r="L97" s="15" t="str">
        <f t="shared" ca="1" si="37"/>
        <v>F</v>
      </c>
      <c r="M97" s="88">
        <f t="shared" ca="1" si="37"/>
        <v>0</v>
      </c>
      <c r="N97" s="88">
        <f t="shared" ca="1" si="37"/>
        <v>0</v>
      </c>
      <c r="O97" s="432">
        <v>1000000000000000</v>
      </c>
      <c r="P97" s="69">
        <v>109575</v>
      </c>
      <c r="Q97" s="3">
        <f t="shared" si="45"/>
        <v>64588</v>
      </c>
      <c r="R97" s="107">
        <f t="shared" ca="1" si="46"/>
        <v>18.189999999999998</v>
      </c>
      <c r="S97" s="105">
        <f t="shared" ca="1" si="47"/>
        <v>30526306.859062586</v>
      </c>
      <c r="T97" s="341">
        <v>0</v>
      </c>
      <c r="U97" s="341">
        <v>0.11849999999999999</v>
      </c>
      <c r="V97" s="341">
        <v>0.11849999999999999</v>
      </c>
      <c r="W97" s="341">
        <v>0.11849999999999999</v>
      </c>
      <c r="X97" s="281">
        <f t="shared" si="34"/>
        <v>1.9E-2</v>
      </c>
      <c r="Y97" s="282">
        <f t="shared" si="56"/>
        <v>0.1</v>
      </c>
      <c r="AA97" s="391">
        <f t="shared" ca="1" si="48"/>
        <v>0</v>
      </c>
      <c r="AB97" s="400">
        <f t="shared" ca="1" si="48"/>
        <v>0</v>
      </c>
      <c r="AC97" s="258">
        <f t="shared" ca="1" si="48"/>
        <v>0</v>
      </c>
      <c r="AD97" s="258">
        <f t="shared" ca="1" si="48"/>
        <v>0</v>
      </c>
      <c r="AE97" s="402">
        <f t="shared" ca="1" si="48"/>
        <v>0</v>
      </c>
      <c r="AF97" s="402">
        <f t="shared" ca="1" si="48"/>
        <v>0</v>
      </c>
      <c r="AG97" s="404">
        <f t="shared" ca="1" si="49"/>
        <v>0</v>
      </c>
      <c r="AH97" s="415">
        <f t="shared" ca="1" si="50"/>
        <v>0</v>
      </c>
      <c r="AI97" s="415">
        <f t="shared" ca="1" si="51"/>
        <v>0</v>
      </c>
      <c r="AJ97" s="416">
        <f t="shared" ca="1" si="52"/>
        <v>0</v>
      </c>
      <c r="AK97" s="416">
        <f t="shared" ca="1" si="53"/>
        <v>0</v>
      </c>
      <c r="AL97" s="417">
        <v>0</v>
      </c>
      <c r="AM97" s="269">
        <f t="shared" ca="1" si="60"/>
        <v>0</v>
      </c>
      <c r="AN97" s="422">
        <f t="shared" ca="1" si="38"/>
        <v>18.29</v>
      </c>
      <c r="AO97" s="423">
        <f t="shared" ca="1" si="38"/>
        <v>25727391.2880999</v>
      </c>
      <c r="AP97" s="271">
        <f t="shared" ca="1" si="38"/>
        <v>0</v>
      </c>
      <c r="AQ97" s="271">
        <f t="shared" ca="1" si="38"/>
        <v>0.11849999999999999</v>
      </c>
      <c r="AR97" s="271">
        <f t="shared" ca="1" si="38"/>
        <v>0.11849999999999999</v>
      </c>
      <c r="AS97" s="271">
        <f t="shared" ca="1" si="38"/>
        <v>0.11849999999999999</v>
      </c>
      <c r="AT97" s="271">
        <f t="shared" ca="1" si="38"/>
        <v>0.02</v>
      </c>
      <c r="AU97" s="278">
        <f t="shared" ca="1" si="36"/>
        <v>0.1</v>
      </c>
    </row>
    <row r="98" spans="2:47" ht="13.15" thickBot="1" x14ac:dyDescent="0.4">
      <c r="B98" s="18">
        <f t="shared" si="59"/>
        <v>79</v>
      </c>
      <c r="C98" s="85">
        <f t="shared" ca="1" si="42"/>
        <v>0</v>
      </c>
      <c r="D98" s="85">
        <f t="shared" ca="1" si="39"/>
        <v>0</v>
      </c>
      <c r="E98" s="84">
        <f t="shared" ca="1" si="43"/>
        <v>0</v>
      </c>
      <c r="F98" s="135">
        <f t="shared" ca="1" si="54"/>
        <v>0</v>
      </c>
      <c r="G98" s="409">
        <f t="shared" ca="1" si="40"/>
        <v>0</v>
      </c>
      <c r="H98" s="409">
        <f t="shared" ca="1" si="41"/>
        <v>0</v>
      </c>
      <c r="I98" s="275">
        <f t="shared" ca="1" si="55"/>
        <v>0</v>
      </c>
      <c r="J98" s="275">
        <f t="shared" ca="1" si="44"/>
        <v>0</v>
      </c>
      <c r="K98" s="137">
        <f t="shared" ca="1" si="57"/>
        <v>0</v>
      </c>
      <c r="L98" s="15" t="str">
        <f t="shared" ca="1" si="37"/>
        <v>F</v>
      </c>
      <c r="M98" s="88">
        <f t="shared" ca="1" si="37"/>
        <v>0</v>
      </c>
      <c r="N98" s="88">
        <f t="shared" ca="1" si="37"/>
        <v>0</v>
      </c>
      <c r="O98" s="432">
        <v>1000000000000000</v>
      </c>
      <c r="P98" s="69">
        <v>109575</v>
      </c>
      <c r="Q98" s="3">
        <f t="shared" si="45"/>
        <v>64588</v>
      </c>
      <c r="R98" s="107">
        <f t="shared" ca="1" si="46"/>
        <v>18.189999999999998</v>
      </c>
      <c r="S98" s="105">
        <f t="shared" ca="1" si="47"/>
        <v>30526306.859062586</v>
      </c>
      <c r="T98" s="341">
        <v>0</v>
      </c>
      <c r="U98" s="341">
        <v>0.11849999999999999</v>
      </c>
      <c r="V98" s="341">
        <v>0.11849999999999999</v>
      </c>
      <c r="W98" s="341">
        <v>0.11849999999999999</v>
      </c>
      <c r="X98" s="281">
        <f t="shared" si="34"/>
        <v>1.9E-2</v>
      </c>
      <c r="Y98" s="282">
        <f t="shared" si="56"/>
        <v>0.1</v>
      </c>
      <c r="AA98" s="391">
        <f t="shared" ca="1" si="48"/>
        <v>0</v>
      </c>
      <c r="AB98" s="400">
        <f t="shared" ca="1" si="48"/>
        <v>0</v>
      </c>
      <c r="AC98" s="258">
        <f t="shared" ca="1" si="48"/>
        <v>0</v>
      </c>
      <c r="AD98" s="258">
        <f t="shared" ca="1" si="48"/>
        <v>0</v>
      </c>
      <c r="AE98" s="402">
        <f t="shared" ca="1" si="48"/>
        <v>0</v>
      </c>
      <c r="AF98" s="402">
        <f t="shared" ca="1" si="48"/>
        <v>0</v>
      </c>
      <c r="AG98" s="404">
        <f t="shared" ca="1" si="49"/>
        <v>0</v>
      </c>
      <c r="AH98" s="415">
        <f t="shared" ca="1" si="50"/>
        <v>0</v>
      </c>
      <c r="AI98" s="415">
        <f t="shared" ca="1" si="51"/>
        <v>0</v>
      </c>
      <c r="AJ98" s="416">
        <f t="shared" ca="1" si="52"/>
        <v>0</v>
      </c>
      <c r="AK98" s="416">
        <f t="shared" ca="1" si="53"/>
        <v>0</v>
      </c>
      <c r="AL98" s="417">
        <v>0</v>
      </c>
      <c r="AM98" s="269">
        <f t="shared" ca="1" si="60"/>
        <v>0</v>
      </c>
      <c r="AN98" s="422">
        <f t="shared" ca="1" si="38"/>
        <v>18.29</v>
      </c>
      <c r="AO98" s="423">
        <f t="shared" ca="1" si="38"/>
        <v>25727391.2880999</v>
      </c>
      <c r="AP98" s="271">
        <f t="shared" ca="1" si="38"/>
        <v>0</v>
      </c>
      <c r="AQ98" s="271">
        <f t="shared" ca="1" si="38"/>
        <v>0.11849999999999999</v>
      </c>
      <c r="AR98" s="271">
        <f t="shared" ca="1" si="38"/>
        <v>0.11849999999999999</v>
      </c>
      <c r="AS98" s="271">
        <f t="shared" ca="1" si="38"/>
        <v>0.11849999999999999</v>
      </c>
      <c r="AT98" s="271">
        <f t="shared" ca="1" si="38"/>
        <v>0.02</v>
      </c>
      <c r="AU98" s="278">
        <f t="shared" ca="1" si="36"/>
        <v>0.1</v>
      </c>
    </row>
    <row r="99" spans="2:47" ht="13.15" thickBot="1" x14ac:dyDescent="0.4">
      <c r="B99" s="18">
        <f t="shared" si="59"/>
        <v>80</v>
      </c>
      <c r="C99" s="85">
        <f t="shared" ca="1" si="42"/>
        <v>0</v>
      </c>
      <c r="D99" s="85">
        <f t="shared" ca="1" si="39"/>
        <v>0</v>
      </c>
      <c r="E99" s="84">
        <f t="shared" ca="1" si="43"/>
        <v>0</v>
      </c>
      <c r="F99" s="135">
        <f t="shared" ca="1" si="54"/>
        <v>0</v>
      </c>
      <c r="G99" s="409">
        <f t="shared" ca="1" si="40"/>
        <v>0</v>
      </c>
      <c r="H99" s="409">
        <f t="shared" ca="1" si="41"/>
        <v>0</v>
      </c>
      <c r="I99" s="275">
        <f t="shared" ca="1" si="55"/>
        <v>0</v>
      </c>
      <c r="J99" s="275">
        <f t="shared" ca="1" si="44"/>
        <v>0</v>
      </c>
      <c r="K99" s="137">
        <f t="shared" ca="1" si="57"/>
        <v>0</v>
      </c>
      <c r="L99" s="15" t="str">
        <f t="shared" ca="1" si="37"/>
        <v>F</v>
      </c>
      <c r="M99" s="88">
        <f t="shared" ca="1" si="37"/>
        <v>0</v>
      </c>
      <c r="N99" s="88">
        <f t="shared" ca="1" si="37"/>
        <v>0</v>
      </c>
      <c r="O99" s="432">
        <v>1000000000000000</v>
      </c>
      <c r="P99" s="69">
        <v>109575</v>
      </c>
      <c r="Q99" s="3">
        <f t="shared" si="45"/>
        <v>64588</v>
      </c>
      <c r="R99" s="107">
        <f t="shared" ca="1" si="46"/>
        <v>18.189999999999998</v>
      </c>
      <c r="S99" s="105">
        <f t="shared" ca="1" si="47"/>
        <v>30526306.859062586</v>
      </c>
      <c r="T99" s="341">
        <v>0</v>
      </c>
      <c r="U99" s="341">
        <v>0.11849999999999999</v>
      </c>
      <c r="V99" s="341">
        <v>0.11849999999999999</v>
      </c>
      <c r="W99" s="341">
        <v>0.11849999999999999</v>
      </c>
      <c r="X99" s="281">
        <f t="shared" si="34"/>
        <v>1.9E-2</v>
      </c>
      <c r="Y99" s="282">
        <f t="shared" si="56"/>
        <v>0.1</v>
      </c>
      <c r="AA99" s="391">
        <f t="shared" ca="1" si="48"/>
        <v>0</v>
      </c>
      <c r="AB99" s="400">
        <f t="shared" ca="1" si="48"/>
        <v>0</v>
      </c>
      <c r="AC99" s="258">
        <f t="shared" ca="1" si="48"/>
        <v>0</v>
      </c>
      <c r="AD99" s="258">
        <f t="shared" ca="1" si="48"/>
        <v>0</v>
      </c>
      <c r="AE99" s="402">
        <f t="shared" ca="1" si="48"/>
        <v>0</v>
      </c>
      <c r="AF99" s="402">
        <f t="shared" ca="1" si="48"/>
        <v>0</v>
      </c>
      <c r="AG99" s="404">
        <f t="shared" ca="1" si="49"/>
        <v>0</v>
      </c>
      <c r="AH99" s="415">
        <f t="shared" ca="1" si="50"/>
        <v>0</v>
      </c>
      <c r="AI99" s="415">
        <f t="shared" ca="1" si="51"/>
        <v>0</v>
      </c>
      <c r="AJ99" s="416">
        <f t="shared" ca="1" si="52"/>
        <v>0</v>
      </c>
      <c r="AK99" s="416">
        <f t="shared" ca="1" si="53"/>
        <v>0</v>
      </c>
      <c r="AL99" s="417">
        <v>0</v>
      </c>
      <c r="AM99" s="269">
        <f t="shared" ca="1" si="60"/>
        <v>0</v>
      </c>
      <c r="AN99" s="422">
        <f t="shared" ca="1" si="38"/>
        <v>18.29</v>
      </c>
      <c r="AO99" s="423">
        <f t="shared" ca="1" si="38"/>
        <v>25727391.2880999</v>
      </c>
      <c r="AP99" s="271">
        <f t="shared" ca="1" si="38"/>
        <v>0</v>
      </c>
      <c r="AQ99" s="271">
        <f t="shared" ca="1" si="38"/>
        <v>0.11849999999999999</v>
      </c>
      <c r="AR99" s="271">
        <f t="shared" ca="1" si="38"/>
        <v>0.11849999999999999</v>
      </c>
      <c r="AS99" s="271">
        <f t="shared" ca="1" si="38"/>
        <v>0.11849999999999999</v>
      </c>
      <c r="AT99" s="271">
        <f t="shared" ca="1" si="38"/>
        <v>0.02</v>
      </c>
      <c r="AU99" s="278">
        <f t="shared" ca="1" si="36"/>
        <v>0.1</v>
      </c>
    </row>
    <row r="100" spans="2:47" ht="13.15" thickBot="1" x14ac:dyDescent="0.4">
      <c r="B100" s="18">
        <f t="shared" si="59"/>
        <v>81</v>
      </c>
      <c r="C100" s="85">
        <f t="shared" ca="1" si="42"/>
        <v>0</v>
      </c>
      <c r="D100" s="85">
        <f t="shared" ca="1" si="39"/>
        <v>0</v>
      </c>
      <c r="E100" s="84">
        <f t="shared" ca="1" si="43"/>
        <v>0</v>
      </c>
      <c r="F100" s="135">
        <f t="shared" ca="1" si="54"/>
        <v>0</v>
      </c>
      <c r="G100" s="409">
        <f t="shared" ca="1" si="40"/>
        <v>0</v>
      </c>
      <c r="H100" s="409">
        <f t="shared" ca="1" si="41"/>
        <v>0</v>
      </c>
      <c r="I100" s="275">
        <f t="shared" ca="1" si="55"/>
        <v>0</v>
      </c>
      <c r="J100" s="275">
        <f t="shared" ca="1" si="44"/>
        <v>0</v>
      </c>
      <c r="K100" s="137">
        <f t="shared" ca="1" si="57"/>
        <v>0</v>
      </c>
      <c r="L100" s="15" t="str">
        <f t="shared" ca="1" si="37"/>
        <v>F</v>
      </c>
      <c r="M100" s="88">
        <f t="shared" ca="1" si="37"/>
        <v>0</v>
      </c>
      <c r="N100" s="88">
        <f t="shared" ca="1" si="37"/>
        <v>0</v>
      </c>
      <c r="O100" s="432">
        <v>1000000000000000</v>
      </c>
      <c r="P100" s="69">
        <v>109575</v>
      </c>
      <c r="Q100" s="3">
        <f t="shared" si="45"/>
        <v>64588</v>
      </c>
      <c r="R100" s="107">
        <f t="shared" ca="1" si="46"/>
        <v>18.189999999999998</v>
      </c>
      <c r="S100" s="105">
        <f t="shared" ca="1" si="47"/>
        <v>30526306.859062586</v>
      </c>
      <c r="T100" s="341">
        <v>0</v>
      </c>
      <c r="U100" s="341">
        <v>0.11849999999999999</v>
      </c>
      <c r="V100" s="341">
        <v>0.11849999999999999</v>
      </c>
      <c r="W100" s="341">
        <v>0.11849999999999999</v>
      </c>
      <c r="X100" s="281">
        <f t="shared" si="34"/>
        <v>1.9E-2</v>
      </c>
      <c r="Y100" s="282">
        <f t="shared" si="56"/>
        <v>0.1</v>
      </c>
      <c r="AA100" s="391">
        <f t="shared" ca="1" si="48"/>
        <v>0</v>
      </c>
      <c r="AB100" s="400">
        <f t="shared" ca="1" si="48"/>
        <v>0</v>
      </c>
      <c r="AC100" s="258">
        <f t="shared" ca="1" si="48"/>
        <v>0</v>
      </c>
      <c r="AD100" s="258">
        <f t="shared" ca="1" si="48"/>
        <v>0</v>
      </c>
      <c r="AE100" s="402">
        <f t="shared" ca="1" si="48"/>
        <v>0</v>
      </c>
      <c r="AF100" s="402">
        <f t="shared" ca="1" si="48"/>
        <v>0</v>
      </c>
      <c r="AG100" s="404">
        <f t="shared" ca="1" si="49"/>
        <v>0</v>
      </c>
      <c r="AH100" s="415">
        <f t="shared" ca="1" si="50"/>
        <v>0</v>
      </c>
      <c r="AI100" s="415">
        <f t="shared" ca="1" si="51"/>
        <v>0</v>
      </c>
      <c r="AJ100" s="416">
        <f t="shared" ca="1" si="52"/>
        <v>0</v>
      </c>
      <c r="AK100" s="416">
        <f t="shared" ca="1" si="53"/>
        <v>0</v>
      </c>
      <c r="AL100" s="417">
        <v>0</v>
      </c>
      <c r="AM100" s="269">
        <f t="shared" ca="1" si="60"/>
        <v>0</v>
      </c>
      <c r="AN100" s="422">
        <f t="shared" ca="1" si="38"/>
        <v>18.29</v>
      </c>
      <c r="AO100" s="423">
        <f t="shared" ca="1" si="38"/>
        <v>25727391.2880999</v>
      </c>
      <c r="AP100" s="271">
        <f t="shared" ca="1" si="38"/>
        <v>0</v>
      </c>
      <c r="AQ100" s="271">
        <f t="shared" ca="1" si="38"/>
        <v>0.11849999999999999</v>
      </c>
      <c r="AR100" s="271">
        <f t="shared" ca="1" si="38"/>
        <v>0.11849999999999999</v>
      </c>
      <c r="AS100" s="271">
        <f t="shared" ca="1" si="38"/>
        <v>0.11849999999999999</v>
      </c>
      <c r="AT100" s="271">
        <f t="shared" ca="1" si="38"/>
        <v>0.02</v>
      </c>
      <c r="AU100" s="278">
        <f t="shared" ca="1" si="36"/>
        <v>0.1</v>
      </c>
    </row>
    <row r="101" spans="2:47" ht="13.15" thickBot="1" x14ac:dyDescent="0.4">
      <c r="B101" s="18">
        <f t="shared" si="59"/>
        <v>82</v>
      </c>
      <c r="C101" s="85">
        <f t="shared" ca="1" si="42"/>
        <v>0</v>
      </c>
      <c r="D101" s="85">
        <f t="shared" ca="1" si="39"/>
        <v>0</v>
      </c>
      <c r="E101" s="84">
        <f t="shared" ca="1" si="43"/>
        <v>0</v>
      </c>
      <c r="F101" s="135">
        <f t="shared" ca="1" si="54"/>
        <v>0</v>
      </c>
      <c r="G101" s="409">
        <f t="shared" ca="1" si="40"/>
        <v>0</v>
      </c>
      <c r="H101" s="409">
        <f t="shared" ca="1" si="41"/>
        <v>0</v>
      </c>
      <c r="I101" s="275">
        <f t="shared" ca="1" si="55"/>
        <v>0</v>
      </c>
      <c r="J101" s="275">
        <f t="shared" ca="1" si="44"/>
        <v>0</v>
      </c>
      <c r="K101" s="137">
        <f t="shared" ca="1" si="57"/>
        <v>0</v>
      </c>
      <c r="L101" s="15" t="str">
        <f t="shared" ca="1" si="37"/>
        <v>F</v>
      </c>
      <c r="M101" s="88">
        <f t="shared" ca="1" si="37"/>
        <v>0</v>
      </c>
      <c r="N101" s="88">
        <f t="shared" ca="1" si="37"/>
        <v>0</v>
      </c>
      <c r="O101" s="432">
        <v>1000000000000000</v>
      </c>
      <c r="P101" s="69">
        <v>109575</v>
      </c>
      <c r="Q101" s="3">
        <f t="shared" si="45"/>
        <v>64588</v>
      </c>
      <c r="R101" s="107">
        <f t="shared" ca="1" si="46"/>
        <v>18.189999999999998</v>
      </c>
      <c r="S101" s="105">
        <f t="shared" ca="1" si="47"/>
        <v>30526306.859062586</v>
      </c>
      <c r="T101" s="341">
        <v>0</v>
      </c>
      <c r="U101" s="341">
        <v>0.11849999999999999</v>
      </c>
      <c r="V101" s="341">
        <v>0.11849999999999999</v>
      </c>
      <c r="W101" s="341">
        <v>0.11849999999999999</v>
      </c>
      <c r="X101" s="281">
        <f t="shared" si="34"/>
        <v>1.9E-2</v>
      </c>
      <c r="Y101" s="282">
        <f t="shared" si="56"/>
        <v>0.1</v>
      </c>
      <c r="AA101" s="391">
        <f t="shared" ca="1" si="48"/>
        <v>0</v>
      </c>
      <c r="AB101" s="400">
        <f t="shared" ca="1" si="48"/>
        <v>0</v>
      </c>
      <c r="AC101" s="258">
        <f t="shared" ca="1" si="48"/>
        <v>0</v>
      </c>
      <c r="AD101" s="258">
        <f t="shared" ca="1" si="48"/>
        <v>0</v>
      </c>
      <c r="AE101" s="402">
        <f t="shared" ca="1" si="48"/>
        <v>0</v>
      </c>
      <c r="AF101" s="402">
        <f t="shared" ca="1" si="48"/>
        <v>0</v>
      </c>
      <c r="AG101" s="404">
        <f t="shared" ca="1" si="49"/>
        <v>0</v>
      </c>
      <c r="AH101" s="415">
        <f t="shared" ca="1" si="50"/>
        <v>0</v>
      </c>
      <c r="AI101" s="415">
        <f t="shared" ca="1" si="51"/>
        <v>0</v>
      </c>
      <c r="AJ101" s="416">
        <f t="shared" ca="1" si="52"/>
        <v>0</v>
      </c>
      <c r="AK101" s="416">
        <f t="shared" ca="1" si="53"/>
        <v>0</v>
      </c>
      <c r="AL101" s="417">
        <v>0</v>
      </c>
      <c r="AM101" s="269">
        <f t="shared" ca="1" si="60"/>
        <v>0</v>
      </c>
      <c r="AN101" s="422">
        <f t="shared" ca="1" si="38"/>
        <v>18.29</v>
      </c>
      <c r="AO101" s="423">
        <f t="shared" ca="1" si="38"/>
        <v>25727391.2880999</v>
      </c>
      <c r="AP101" s="271">
        <f t="shared" ca="1" si="38"/>
        <v>0</v>
      </c>
      <c r="AQ101" s="271">
        <f t="shared" ca="1" si="38"/>
        <v>0.11849999999999999</v>
      </c>
      <c r="AR101" s="271">
        <f t="shared" ca="1" si="38"/>
        <v>0.11849999999999999</v>
      </c>
      <c r="AS101" s="271">
        <f t="shared" ca="1" si="38"/>
        <v>0.11849999999999999</v>
      </c>
      <c r="AT101" s="271">
        <f t="shared" ca="1" si="38"/>
        <v>0.02</v>
      </c>
      <c r="AU101" s="278">
        <f t="shared" ca="1" si="36"/>
        <v>0.1</v>
      </c>
    </row>
    <row r="102" spans="2:47" ht="13.15" thickBot="1" x14ac:dyDescent="0.4">
      <c r="B102" s="18">
        <f t="shared" si="59"/>
        <v>83</v>
      </c>
      <c r="C102" s="85">
        <f t="shared" ca="1" si="42"/>
        <v>0</v>
      </c>
      <c r="D102" s="85">
        <f t="shared" ca="1" si="39"/>
        <v>0</v>
      </c>
      <c r="E102" s="84">
        <f t="shared" ca="1" si="43"/>
        <v>0</v>
      </c>
      <c r="F102" s="135">
        <f t="shared" ca="1" si="54"/>
        <v>0</v>
      </c>
      <c r="G102" s="409">
        <f t="shared" ca="1" si="40"/>
        <v>0</v>
      </c>
      <c r="H102" s="409">
        <f t="shared" ca="1" si="41"/>
        <v>0</v>
      </c>
      <c r="I102" s="275">
        <f t="shared" ca="1" si="55"/>
        <v>0</v>
      </c>
      <c r="J102" s="275">
        <f t="shared" ca="1" si="44"/>
        <v>0</v>
      </c>
      <c r="K102" s="137">
        <f t="shared" ca="1" si="57"/>
        <v>0</v>
      </c>
      <c r="L102" s="15" t="str">
        <f t="shared" ca="1" si="37"/>
        <v>F</v>
      </c>
      <c r="M102" s="88">
        <f t="shared" ca="1" si="37"/>
        <v>0</v>
      </c>
      <c r="N102" s="88">
        <f t="shared" ca="1" si="37"/>
        <v>0</v>
      </c>
      <c r="O102" s="432">
        <v>1000000000000000</v>
      </c>
      <c r="P102" s="69">
        <v>109575</v>
      </c>
      <c r="Q102" s="3">
        <f t="shared" si="45"/>
        <v>64588</v>
      </c>
      <c r="R102" s="107">
        <f t="shared" ca="1" si="46"/>
        <v>18.189999999999998</v>
      </c>
      <c r="S102" s="105">
        <f t="shared" ca="1" si="47"/>
        <v>30526306.859062586</v>
      </c>
      <c r="T102" s="341">
        <v>0</v>
      </c>
      <c r="U102" s="341">
        <v>0.11849999999999999</v>
      </c>
      <c r="V102" s="341">
        <v>0.11849999999999999</v>
      </c>
      <c r="W102" s="341">
        <v>0.11849999999999999</v>
      </c>
      <c r="X102" s="281">
        <f t="shared" si="34"/>
        <v>1.9E-2</v>
      </c>
      <c r="Y102" s="282">
        <f t="shared" si="56"/>
        <v>0.1</v>
      </c>
      <c r="AA102" s="391">
        <f t="shared" ca="1" si="48"/>
        <v>0</v>
      </c>
      <c r="AB102" s="400">
        <f t="shared" ca="1" si="48"/>
        <v>0</v>
      </c>
      <c r="AC102" s="258">
        <f t="shared" ca="1" si="48"/>
        <v>0</v>
      </c>
      <c r="AD102" s="258">
        <f t="shared" ca="1" si="48"/>
        <v>0</v>
      </c>
      <c r="AE102" s="402">
        <f t="shared" ca="1" si="48"/>
        <v>0</v>
      </c>
      <c r="AF102" s="402">
        <f t="shared" ca="1" si="48"/>
        <v>0</v>
      </c>
      <c r="AG102" s="404">
        <f t="shared" ca="1" si="49"/>
        <v>0</v>
      </c>
      <c r="AH102" s="415">
        <f t="shared" ca="1" si="50"/>
        <v>0</v>
      </c>
      <c r="AI102" s="415">
        <f t="shared" ca="1" si="51"/>
        <v>0</v>
      </c>
      <c r="AJ102" s="416">
        <f t="shared" ca="1" si="52"/>
        <v>0</v>
      </c>
      <c r="AK102" s="416">
        <f t="shared" ca="1" si="53"/>
        <v>0</v>
      </c>
      <c r="AL102" s="417">
        <v>0</v>
      </c>
      <c r="AM102" s="269">
        <f t="shared" ca="1" si="60"/>
        <v>0</v>
      </c>
      <c r="AN102" s="422">
        <f t="shared" ca="1" si="38"/>
        <v>18.29</v>
      </c>
      <c r="AO102" s="423">
        <f t="shared" ca="1" si="38"/>
        <v>25727391.2880999</v>
      </c>
      <c r="AP102" s="271">
        <f t="shared" ca="1" si="38"/>
        <v>0</v>
      </c>
      <c r="AQ102" s="271">
        <f t="shared" ca="1" si="38"/>
        <v>0.11849999999999999</v>
      </c>
      <c r="AR102" s="271">
        <f t="shared" ca="1" si="38"/>
        <v>0.11849999999999999</v>
      </c>
      <c r="AS102" s="271">
        <f t="shared" ca="1" si="38"/>
        <v>0.11849999999999999</v>
      </c>
      <c r="AT102" s="271">
        <f t="shared" ca="1" si="38"/>
        <v>0.02</v>
      </c>
      <c r="AU102" s="278">
        <f t="shared" ca="1" si="36"/>
        <v>0.1</v>
      </c>
    </row>
    <row r="103" spans="2:47" ht="13.15" thickBot="1" x14ac:dyDescent="0.4">
      <c r="B103" s="18">
        <f t="shared" si="59"/>
        <v>84</v>
      </c>
      <c r="C103" s="85">
        <f t="shared" ca="1" si="42"/>
        <v>0</v>
      </c>
      <c r="D103" s="85">
        <f t="shared" ca="1" si="39"/>
        <v>0</v>
      </c>
      <c r="E103" s="84">
        <f t="shared" ca="1" si="43"/>
        <v>0</v>
      </c>
      <c r="F103" s="135">
        <f t="shared" ca="1" si="54"/>
        <v>0</v>
      </c>
      <c r="G103" s="409">
        <f t="shared" ca="1" si="40"/>
        <v>0</v>
      </c>
      <c r="H103" s="409">
        <f t="shared" ca="1" si="41"/>
        <v>0</v>
      </c>
      <c r="I103" s="275">
        <f t="shared" ca="1" si="55"/>
        <v>0</v>
      </c>
      <c r="J103" s="275">
        <f t="shared" ca="1" si="44"/>
        <v>0</v>
      </c>
      <c r="K103" s="137">
        <f t="shared" ca="1" si="57"/>
        <v>0</v>
      </c>
      <c r="L103" s="15" t="str">
        <f t="shared" ca="1" si="37"/>
        <v>F</v>
      </c>
      <c r="M103" s="88">
        <f t="shared" ca="1" si="37"/>
        <v>0</v>
      </c>
      <c r="N103" s="88">
        <f t="shared" ca="1" si="37"/>
        <v>0</v>
      </c>
      <c r="O103" s="432">
        <v>1000000000000000</v>
      </c>
      <c r="P103" s="69">
        <v>109575</v>
      </c>
      <c r="Q103" s="3">
        <f t="shared" si="45"/>
        <v>64588</v>
      </c>
      <c r="R103" s="107">
        <f t="shared" ca="1" si="46"/>
        <v>18.189999999999998</v>
      </c>
      <c r="S103" s="105">
        <f t="shared" ca="1" si="47"/>
        <v>30526306.859062586</v>
      </c>
      <c r="T103" s="341">
        <v>0</v>
      </c>
      <c r="U103" s="341">
        <v>0.11849999999999999</v>
      </c>
      <c r="V103" s="341">
        <v>0.11849999999999999</v>
      </c>
      <c r="W103" s="341">
        <v>0.11849999999999999</v>
      </c>
      <c r="X103" s="281">
        <f t="shared" ref="X103:X110" si="61">$I$10</f>
        <v>1.9E-2</v>
      </c>
      <c r="Y103" s="282">
        <f t="shared" si="56"/>
        <v>0.1</v>
      </c>
      <c r="AA103" s="391">
        <f t="shared" ca="1" si="48"/>
        <v>0</v>
      </c>
      <c r="AB103" s="400">
        <f t="shared" ca="1" si="48"/>
        <v>0</v>
      </c>
      <c r="AC103" s="258">
        <f t="shared" ca="1" si="48"/>
        <v>0</v>
      </c>
      <c r="AD103" s="258">
        <f t="shared" ca="1" si="48"/>
        <v>0</v>
      </c>
      <c r="AE103" s="402">
        <f t="shared" ca="1" si="48"/>
        <v>0</v>
      </c>
      <c r="AF103" s="402">
        <f t="shared" ca="1" si="48"/>
        <v>0</v>
      </c>
      <c r="AG103" s="404">
        <f t="shared" ca="1" si="49"/>
        <v>0</v>
      </c>
      <c r="AH103" s="415">
        <f t="shared" ca="1" si="50"/>
        <v>0</v>
      </c>
      <c r="AI103" s="415">
        <f t="shared" ca="1" si="51"/>
        <v>0</v>
      </c>
      <c r="AJ103" s="416">
        <f t="shared" ca="1" si="52"/>
        <v>0</v>
      </c>
      <c r="AK103" s="416">
        <f t="shared" ca="1" si="53"/>
        <v>0</v>
      </c>
      <c r="AL103" s="417">
        <v>0</v>
      </c>
      <c r="AM103" s="269">
        <f t="shared" ca="1" si="60"/>
        <v>0</v>
      </c>
      <c r="AN103" s="422">
        <f t="shared" ca="1" si="38"/>
        <v>18.29</v>
      </c>
      <c r="AO103" s="423">
        <f t="shared" ca="1" si="38"/>
        <v>25727391.2880999</v>
      </c>
      <c r="AP103" s="271">
        <f t="shared" ca="1" si="38"/>
        <v>0</v>
      </c>
      <c r="AQ103" s="271">
        <f t="shared" ca="1" si="38"/>
        <v>0.11849999999999999</v>
      </c>
      <c r="AR103" s="271">
        <f t="shared" ca="1" si="38"/>
        <v>0.11849999999999999</v>
      </c>
      <c r="AS103" s="271">
        <f t="shared" ca="1" si="38"/>
        <v>0.11849999999999999</v>
      </c>
      <c r="AT103" s="271">
        <f t="shared" ca="1" si="38"/>
        <v>0.02</v>
      </c>
      <c r="AU103" s="278">
        <f t="shared" ca="1" si="36"/>
        <v>0.1</v>
      </c>
    </row>
    <row r="104" spans="2:47" ht="13.15" thickBot="1" x14ac:dyDescent="0.4">
      <c r="B104" s="18">
        <f t="shared" si="59"/>
        <v>85</v>
      </c>
      <c r="C104" s="85">
        <f t="shared" ca="1" si="42"/>
        <v>0</v>
      </c>
      <c r="D104" s="85">
        <f t="shared" ca="1" si="39"/>
        <v>0</v>
      </c>
      <c r="E104" s="84">
        <f t="shared" ca="1" si="43"/>
        <v>0</v>
      </c>
      <c r="F104" s="135">
        <f t="shared" ca="1" si="54"/>
        <v>0</v>
      </c>
      <c r="G104" s="409">
        <f t="shared" ca="1" si="40"/>
        <v>0</v>
      </c>
      <c r="H104" s="409">
        <f t="shared" ca="1" si="41"/>
        <v>0</v>
      </c>
      <c r="I104" s="275">
        <f t="shared" ca="1" si="55"/>
        <v>0</v>
      </c>
      <c r="J104" s="275">
        <f t="shared" ca="1" si="44"/>
        <v>0</v>
      </c>
      <c r="K104" s="137">
        <f t="shared" ca="1" si="57"/>
        <v>0</v>
      </c>
      <c r="L104" s="15" t="str">
        <f t="shared" ca="1" si="37"/>
        <v>F</v>
      </c>
      <c r="M104" s="88">
        <f t="shared" ca="1" si="37"/>
        <v>0</v>
      </c>
      <c r="N104" s="88">
        <f t="shared" ca="1" si="37"/>
        <v>0</v>
      </c>
      <c r="O104" s="432">
        <v>1000000000000000</v>
      </c>
      <c r="P104" s="69">
        <v>109575</v>
      </c>
      <c r="Q104" s="3">
        <f t="shared" si="45"/>
        <v>64588</v>
      </c>
      <c r="R104" s="107">
        <f t="shared" ca="1" si="46"/>
        <v>18.189999999999998</v>
      </c>
      <c r="S104" s="105">
        <f t="shared" ca="1" si="47"/>
        <v>30526306.859062586</v>
      </c>
      <c r="T104" s="341">
        <v>0</v>
      </c>
      <c r="U104" s="341">
        <v>0.11849999999999999</v>
      </c>
      <c r="V104" s="341">
        <v>0.11849999999999999</v>
      </c>
      <c r="W104" s="341">
        <v>0.11849999999999999</v>
      </c>
      <c r="X104" s="281">
        <f t="shared" si="61"/>
        <v>1.9E-2</v>
      </c>
      <c r="Y104" s="282">
        <f t="shared" si="56"/>
        <v>0.1</v>
      </c>
      <c r="AA104" s="391">
        <f t="shared" ca="1" si="48"/>
        <v>0</v>
      </c>
      <c r="AB104" s="400">
        <f t="shared" ca="1" si="48"/>
        <v>0</v>
      </c>
      <c r="AC104" s="258">
        <f t="shared" ca="1" si="48"/>
        <v>0</v>
      </c>
      <c r="AD104" s="258">
        <f t="shared" ca="1" si="48"/>
        <v>0</v>
      </c>
      <c r="AE104" s="402">
        <f t="shared" ca="1" si="48"/>
        <v>0</v>
      </c>
      <c r="AF104" s="402">
        <f t="shared" ca="1" si="48"/>
        <v>0</v>
      </c>
      <c r="AG104" s="404">
        <f t="shared" ca="1" si="49"/>
        <v>0</v>
      </c>
      <c r="AH104" s="415">
        <f t="shared" ca="1" si="50"/>
        <v>0</v>
      </c>
      <c r="AI104" s="415">
        <f t="shared" ca="1" si="51"/>
        <v>0</v>
      </c>
      <c r="AJ104" s="416">
        <f t="shared" ca="1" si="52"/>
        <v>0</v>
      </c>
      <c r="AK104" s="416">
        <f t="shared" ca="1" si="53"/>
        <v>0</v>
      </c>
      <c r="AL104" s="417">
        <v>0</v>
      </c>
      <c r="AM104" s="269">
        <f t="shared" ca="1" si="60"/>
        <v>0</v>
      </c>
      <c r="AN104" s="422">
        <f t="shared" ca="1" si="38"/>
        <v>18.29</v>
      </c>
      <c r="AO104" s="423">
        <f t="shared" ca="1" si="38"/>
        <v>25727391.2880999</v>
      </c>
      <c r="AP104" s="271">
        <f t="shared" ca="1" si="38"/>
        <v>0</v>
      </c>
      <c r="AQ104" s="271">
        <f t="shared" ca="1" si="38"/>
        <v>0.11849999999999999</v>
      </c>
      <c r="AR104" s="271">
        <f t="shared" ca="1" si="38"/>
        <v>0.11849999999999999</v>
      </c>
      <c r="AS104" s="271">
        <f t="shared" ca="1" si="38"/>
        <v>0.11849999999999999</v>
      </c>
      <c r="AT104" s="271">
        <f t="shared" ca="1" si="38"/>
        <v>0.02</v>
      </c>
      <c r="AU104" s="278">
        <f t="shared" ca="1" si="36"/>
        <v>0.1</v>
      </c>
    </row>
    <row r="105" spans="2:47" ht="13.15" thickBot="1" x14ac:dyDescent="0.4">
      <c r="B105" s="18">
        <f t="shared" si="59"/>
        <v>86</v>
      </c>
      <c r="C105" s="85">
        <f t="shared" ca="1" si="42"/>
        <v>0</v>
      </c>
      <c r="D105" s="85">
        <f t="shared" ca="1" si="39"/>
        <v>0</v>
      </c>
      <c r="E105" s="84">
        <f t="shared" ca="1" si="43"/>
        <v>0</v>
      </c>
      <c r="F105" s="135">
        <f t="shared" ca="1" si="54"/>
        <v>0</v>
      </c>
      <c r="G105" s="409">
        <f t="shared" ca="1" si="40"/>
        <v>0</v>
      </c>
      <c r="H105" s="409">
        <f t="shared" ca="1" si="41"/>
        <v>0</v>
      </c>
      <c r="I105" s="275">
        <f t="shared" ca="1" si="55"/>
        <v>0</v>
      </c>
      <c r="J105" s="275">
        <f t="shared" ca="1" si="44"/>
        <v>0</v>
      </c>
      <c r="K105" s="137">
        <f t="shared" ca="1" si="57"/>
        <v>0</v>
      </c>
      <c r="L105" s="15" t="str">
        <f t="shared" ca="1" si="37"/>
        <v>F</v>
      </c>
      <c r="M105" s="88">
        <f t="shared" ca="1" si="37"/>
        <v>0</v>
      </c>
      <c r="N105" s="88">
        <f t="shared" ca="1" si="37"/>
        <v>0</v>
      </c>
      <c r="O105" s="432">
        <v>1000000000000000</v>
      </c>
      <c r="P105" s="69">
        <v>109575</v>
      </c>
      <c r="Q105" s="3">
        <f t="shared" si="45"/>
        <v>64588</v>
      </c>
      <c r="R105" s="107">
        <f t="shared" ca="1" si="46"/>
        <v>18.189999999999998</v>
      </c>
      <c r="S105" s="105">
        <f t="shared" ca="1" si="47"/>
        <v>30526306.859062586</v>
      </c>
      <c r="T105" s="341">
        <v>0</v>
      </c>
      <c r="U105" s="341">
        <v>0.11849999999999999</v>
      </c>
      <c r="V105" s="341">
        <v>0.11849999999999999</v>
      </c>
      <c r="W105" s="341">
        <v>0.11849999999999999</v>
      </c>
      <c r="X105" s="281">
        <f t="shared" si="61"/>
        <v>1.9E-2</v>
      </c>
      <c r="Y105" s="282">
        <f t="shared" si="56"/>
        <v>0.1</v>
      </c>
      <c r="AA105" s="391">
        <f t="shared" ca="1" si="48"/>
        <v>0</v>
      </c>
      <c r="AB105" s="400">
        <f t="shared" ca="1" si="48"/>
        <v>0</v>
      </c>
      <c r="AC105" s="258">
        <f t="shared" ca="1" si="48"/>
        <v>0</v>
      </c>
      <c r="AD105" s="258">
        <f t="shared" ca="1" si="48"/>
        <v>0</v>
      </c>
      <c r="AE105" s="402">
        <f t="shared" ca="1" si="48"/>
        <v>0</v>
      </c>
      <c r="AF105" s="402">
        <f t="shared" ca="1" si="48"/>
        <v>0</v>
      </c>
      <c r="AG105" s="404">
        <f t="shared" ca="1" si="49"/>
        <v>0</v>
      </c>
      <c r="AH105" s="415">
        <f t="shared" ca="1" si="50"/>
        <v>0</v>
      </c>
      <c r="AI105" s="415">
        <f t="shared" ca="1" si="51"/>
        <v>0</v>
      </c>
      <c r="AJ105" s="416">
        <f t="shared" ca="1" si="52"/>
        <v>0</v>
      </c>
      <c r="AK105" s="416">
        <f t="shared" ca="1" si="53"/>
        <v>0</v>
      </c>
      <c r="AL105" s="417">
        <v>0</v>
      </c>
      <c r="AM105" s="269">
        <f t="shared" ca="1" si="60"/>
        <v>0</v>
      </c>
      <c r="AN105" s="422">
        <f t="shared" ca="1" si="38"/>
        <v>18.29</v>
      </c>
      <c r="AO105" s="423">
        <f t="shared" ca="1" si="38"/>
        <v>25727391.2880999</v>
      </c>
      <c r="AP105" s="271">
        <f t="shared" ca="1" si="38"/>
        <v>0</v>
      </c>
      <c r="AQ105" s="271">
        <f t="shared" ref="AQ105:AT110" ca="1" si="62">INDIRECT("'"&amp; $AB$16 &amp;"'!"&amp; ADDRESS(ROW(U105),COLUMN(U105),4))</f>
        <v>0.11849999999999999</v>
      </c>
      <c r="AR105" s="271">
        <f t="shared" ca="1" si="62"/>
        <v>0.11849999999999999</v>
      </c>
      <c r="AS105" s="271">
        <f t="shared" ca="1" si="62"/>
        <v>0.11849999999999999</v>
      </c>
      <c r="AT105" s="271">
        <f t="shared" ca="1" si="62"/>
        <v>0.02</v>
      </c>
      <c r="AU105" s="278">
        <f t="shared" ca="1" si="36"/>
        <v>0.1</v>
      </c>
    </row>
    <row r="106" spans="2:47" ht="13.15" thickBot="1" x14ac:dyDescent="0.4">
      <c r="B106" s="18">
        <f t="shared" si="59"/>
        <v>87</v>
      </c>
      <c r="C106" s="85">
        <f t="shared" ca="1" si="42"/>
        <v>0</v>
      </c>
      <c r="D106" s="85">
        <f t="shared" ca="1" si="39"/>
        <v>0</v>
      </c>
      <c r="E106" s="84">
        <f t="shared" ca="1" si="43"/>
        <v>0</v>
      </c>
      <c r="F106" s="135">
        <f t="shared" ca="1" si="54"/>
        <v>0</v>
      </c>
      <c r="G106" s="409">
        <f t="shared" ca="1" si="40"/>
        <v>0</v>
      </c>
      <c r="H106" s="409">
        <f t="shared" ca="1" si="41"/>
        <v>0</v>
      </c>
      <c r="I106" s="275">
        <f t="shared" ca="1" si="55"/>
        <v>0</v>
      </c>
      <c r="J106" s="275">
        <f t="shared" ca="1" si="44"/>
        <v>0</v>
      </c>
      <c r="K106" s="137">
        <f t="shared" ca="1" si="57"/>
        <v>0</v>
      </c>
      <c r="L106" s="15" t="str">
        <f t="shared" ca="1" si="37"/>
        <v>F</v>
      </c>
      <c r="M106" s="88">
        <f t="shared" ca="1" si="37"/>
        <v>0</v>
      </c>
      <c r="N106" s="88">
        <f t="shared" ca="1" si="37"/>
        <v>0</v>
      </c>
      <c r="O106" s="432">
        <v>1000000000000000</v>
      </c>
      <c r="P106" s="69">
        <v>109575</v>
      </c>
      <c r="Q106" s="3">
        <f t="shared" si="45"/>
        <v>64588</v>
      </c>
      <c r="R106" s="107">
        <f t="shared" ca="1" si="46"/>
        <v>18.189999999999998</v>
      </c>
      <c r="S106" s="105">
        <f t="shared" ca="1" si="47"/>
        <v>30526306.859062586</v>
      </c>
      <c r="T106" s="341">
        <v>0</v>
      </c>
      <c r="U106" s="341">
        <v>0.11849999999999999</v>
      </c>
      <c r="V106" s="341">
        <v>0.11849999999999999</v>
      </c>
      <c r="W106" s="341">
        <v>0.11849999999999999</v>
      </c>
      <c r="X106" s="281">
        <f t="shared" si="61"/>
        <v>1.9E-2</v>
      </c>
      <c r="Y106" s="282">
        <f t="shared" si="56"/>
        <v>0.1</v>
      </c>
      <c r="AA106" s="391">
        <f t="shared" ca="1" si="48"/>
        <v>0</v>
      </c>
      <c r="AB106" s="400">
        <f t="shared" ca="1" si="48"/>
        <v>0</v>
      </c>
      <c r="AC106" s="258">
        <f t="shared" ca="1" si="48"/>
        <v>0</v>
      </c>
      <c r="AD106" s="258">
        <f t="shared" ca="1" si="48"/>
        <v>0</v>
      </c>
      <c r="AE106" s="402">
        <f t="shared" ca="1" si="48"/>
        <v>0</v>
      </c>
      <c r="AF106" s="402">
        <f t="shared" ca="1" si="48"/>
        <v>0</v>
      </c>
      <c r="AG106" s="404">
        <f t="shared" ca="1" si="49"/>
        <v>0</v>
      </c>
      <c r="AH106" s="415">
        <f t="shared" ca="1" si="50"/>
        <v>0</v>
      </c>
      <c r="AI106" s="415">
        <f t="shared" ca="1" si="51"/>
        <v>0</v>
      </c>
      <c r="AJ106" s="416">
        <f t="shared" ca="1" si="52"/>
        <v>0</v>
      </c>
      <c r="AK106" s="416">
        <f t="shared" ca="1" si="53"/>
        <v>0</v>
      </c>
      <c r="AL106" s="417">
        <v>0</v>
      </c>
      <c r="AM106" s="269">
        <f t="shared" ca="1" si="60"/>
        <v>0</v>
      </c>
      <c r="AN106" s="422">
        <f t="shared" ref="AN106:AP110" ca="1" si="63">INDIRECT("'"&amp; $AB$16 &amp;"'!"&amp; ADDRESS(ROW(R106),COLUMN(R106),4))</f>
        <v>18.29</v>
      </c>
      <c r="AO106" s="423">
        <f t="shared" ca="1" si="63"/>
        <v>25727391.2880999</v>
      </c>
      <c r="AP106" s="271">
        <f t="shared" ca="1" si="63"/>
        <v>0</v>
      </c>
      <c r="AQ106" s="271">
        <f t="shared" ca="1" si="62"/>
        <v>0.11849999999999999</v>
      </c>
      <c r="AR106" s="271">
        <f t="shared" ca="1" si="62"/>
        <v>0.11849999999999999</v>
      </c>
      <c r="AS106" s="271">
        <f t="shared" ca="1" si="62"/>
        <v>0.11849999999999999</v>
      </c>
      <c r="AT106" s="271">
        <f t="shared" ca="1" si="62"/>
        <v>0.02</v>
      </c>
      <c r="AU106" s="278">
        <f t="shared" ca="1" si="36"/>
        <v>0.1</v>
      </c>
    </row>
    <row r="107" spans="2:47" ht="13.15" thickBot="1" x14ac:dyDescent="0.4">
      <c r="B107" s="18">
        <f t="shared" si="59"/>
        <v>88</v>
      </c>
      <c r="C107" s="85">
        <f t="shared" ca="1" si="42"/>
        <v>0</v>
      </c>
      <c r="D107" s="85">
        <f t="shared" ca="1" si="39"/>
        <v>0</v>
      </c>
      <c r="E107" s="84">
        <f t="shared" ca="1" si="43"/>
        <v>0</v>
      </c>
      <c r="F107" s="135">
        <f t="shared" ca="1" si="54"/>
        <v>0</v>
      </c>
      <c r="G107" s="409">
        <f t="shared" ca="1" si="40"/>
        <v>0</v>
      </c>
      <c r="H107" s="409">
        <f t="shared" ca="1" si="41"/>
        <v>0</v>
      </c>
      <c r="I107" s="275">
        <f t="shared" ca="1" si="55"/>
        <v>0</v>
      </c>
      <c r="J107" s="275">
        <f t="shared" ca="1" si="44"/>
        <v>0</v>
      </c>
      <c r="K107" s="137">
        <f t="shared" ca="1" si="57"/>
        <v>0</v>
      </c>
      <c r="L107" s="15" t="str">
        <f t="shared" ca="1" si="37"/>
        <v>F</v>
      </c>
      <c r="M107" s="88">
        <f t="shared" ca="1" si="37"/>
        <v>0</v>
      </c>
      <c r="N107" s="88">
        <f t="shared" ca="1" si="37"/>
        <v>0</v>
      </c>
      <c r="O107" s="432">
        <v>1000000000000000</v>
      </c>
      <c r="P107" s="69">
        <v>109575</v>
      </c>
      <c r="Q107" s="3">
        <f t="shared" si="45"/>
        <v>64588</v>
      </c>
      <c r="R107" s="107">
        <f t="shared" ca="1" si="46"/>
        <v>18.189999999999998</v>
      </c>
      <c r="S107" s="105">
        <f t="shared" ca="1" si="47"/>
        <v>30526306.859062586</v>
      </c>
      <c r="T107" s="341">
        <v>0</v>
      </c>
      <c r="U107" s="341">
        <v>0.11849999999999999</v>
      </c>
      <c r="V107" s="341">
        <v>0.11849999999999999</v>
      </c>
      <c r="W107" s="341">
        <v>0.11849999999999999</v>
      </c>
      <c r="X107" s="281">
        <f t="shared" si="61"/>
        <v>1.9E-2</v>
      </c>
      <c r="Y107" s="282">
        <f t="shared" si="56"/>
        <v>0.1</v>
      </c>
      <c r="AA107" s="391">
        <f t="shared" ca="1" si="48"/>
        <v>0</v>
      </c>
      <c r="AB107" s="400">
        <f t="shared" ca="1" si="48"/>
        <v>0</v>
      </c>
      <c r="AC107" s="258">
        <f t="shared" ca="1" si="48"/>
        <v>0</v>
      </c>
      <c r="AD107" s="258">
        <f t="shared" ca="1" si="48"/>
        <v>0</v>
      </c>
      <c r="AE107" s="402">
        <f t="shared" ca="1" si="48"/>
        <v>0</v>
      </c>
      <c r="AF107" s="402">
        <f t="shared" ca="1" si="48"/>
        <v>0</v>
      </c>
      <c r="AG107" s="404">
        <f t="shared" ca="1" si="49"/>
        <v>0</v>
      </c>
      <c r="AH107" s="415">
        <f t="shared" ca="1" si="50"/>
        <v>0</v>
      </c>
      <c r="AI107" s="415">
        <f t="shared" ca="1" si="51"/>
        <v>0</v>
      </c>
      <c r="AJ107" s="416">
        <f t="shared" ca="1" si="52"/>
        <v>0</v>
      </c>
      <c r="AK107" s="416">
        <f t="shared" ca="1" si="53"/>
        <v>0</v>
      </c>
      <c r="AL107" s="417">
        <v>0</v>
      </c>
      <c r="AM107" s="269">
        <f t="shared" ca="1" si="60"/>
        <v>0</v>
      </c>
      <c r="AN107" s="422">
        <f t="shared" ca="1" si="63"/>
        <v>18.29</v>
      </c>
      <c r="AO107" s="423">
        <f t="shared" ca="1" si="63"/>
        <v>25727391.2880999</v>
      </c>
      <c r="AP107" s="271">
        <f t="shared" ca="1" si="63"/>
        <v>0</v>
      </c>
      <c r="AQ107" s="271">
        <f t="shared" ca="1" si="62"/>
        <v>0.11849999999999999</v>
      </c>
      <c r="AR107" s="271">
        <f t="shared" ca="1" si="62"/>
        <v>0.11849999999999999</v>
      </c>
      <c r="AS107" s="271">
        <f t="shared" ca="1" si="62"/>
        <v>0.11849999999999999</v>
      </c>
      <c r="AT107" s="271">
        <f t="shared" ca="1" si="62"/>
        <v>0.02</v>
      </c>
      <c r="AU107" s="278">
        <f t="shared" ca="1" si="36"/>
        <v>0.1</v>
      </c>
    </row>
    <row r="108" spans="2:47" ht="13.15" thickBot="1" x14ac:dyDescent="0.4">
      <c r="B108" s="18">
        <f t="shared" si="59"/>
        <v>89</v>
      </c>
      <c r="C108" s="85">
        <f t="shared" ca="1" si="42"/>
        <v>0</v>
      </c>
      <c r="D108" s="85">
        <f t="shared" ca="1" si="39"/>
        <v>0</v>
      </c>
      <c r="E108" s="84">
        <f t="shared" ca="1" si="43"/>
        <v>0</v>
      </c>
      <c r="F108" s="135">
        <f t="shared" ca="1" si="54"/>
        <v>0</v>
      </c>
      <c r="G108" s="409">
        <f t="shared" ca="1" si="40"/>
        <v>0</v>
      </c>
      <c r="H108" s="409">
        <f t="shared" ca="1" si="41"/>
        <v>0</v>
      </c>
      <c r="I108" s="275">
        <f t="shared" ca="1" si="55"/>
        <v>0</v>
      </c>
      <c r="J108" s="275">
        <f t="shared" ca="1" si="44"/>
        <v>0</v>
      </c>
      <c r="K108" s="137">
        <f t="shared" ca="1" si="57"/>
        <v>0</v>
      </c>
      <c r="L108" s="15" t="str">
        <f t="shared" ca="1" si="37"/>
        <v>F</v>
      </c>
      <c r="M108" s="88">
        <f t="shared" ca="1" si="37"/>
        <v>0</v>
      </c>
      <c r="N108" s="88">
        <f t="shared" ca="1" si="37"/>
        <v>0</v>
      </c>
      <c r="O108" s="432">
        <v>1000000000000000</v>
      </c>
      <c r="P108" s="69">
        <v>109575</v>
      </c>
      <c r="Q108" s="3">
        <f t="shared" si="45"/>
        <v>64588</v>
      </c>
      <c r="R108" s="107">
        <f t="shared" ca="1" si="46"/>
        <v>18.189999999999998</v>
      </c>
      <c r="S108" s="105">
        <f t="shared" ca="1" si="47"/>
        <v>30526306.859062586</v>
      </c>
      <c r="T108" s="341">
        <v>0</v>
      </c>
      <c r="U108" s="341">
        <v>0.11849999999999999</v>
      </c>
      <c r="V108" s="341">
        <v>0.11849999999999999</v>
      </c>
      <c r="W108" s="341">
        <v>0.11849999999999999</v>
      </c>
      <c r="X108" s="281">
        <f t="shared" si="61"/>
        <v>1.9E-2</v>
      </c>
      <c r="Y108" s="282">
        <f t="shared" si="56"/>
        <v>0.1</v>
      </c>
      <c r="AA108" s="391">
        <f t="shared" ca="1" si="48"/>
        <v>0</v>
      </c>
      <c r="AB108" s="400">
        <f t="shared" ca="1" si="48"/>
        <v>0</v>
      </c>
      <c r="AC108" s="258">
        <f t="shared" ca="1" si="48"/>
        <v>0</v>
      </c>
      <c r="AD108" s="258">
        <f t="shared" ca="1" si="48"/>
        <v>0</v>
      </c>
      <c r="AE108" s="402">
        <f t="shared" ca="1" si="48"/>
        <v>0</v>
      </c>
      <c r="AF108" s="402">
        <f t="shared" ca="1" si="48"/>
        <v>0</v>
      </c>
      <c r="AG108" s="404">
        <f t="shared" ca="1" si="49"/>
        <v>0</v>
      </c>
      <c r="AH108" s="415">
        <f t="shared" ca="1" si="50"/>
        <v>0</v>
      </c>
      <c r="AI108" s="415">
        <f t="shared" ca="1" si="51"/>
        <v>0</v>
      </c>
      <c r="AJ108" s="416">
        <f t="shared" ca="1" si="52"/>
        <v>0</v>
      </c>
      <c r="AK108" s="416">
        <f t="shared" ca="1" si="53"/>
        <v>0</v>
      </c>
      <c r="AL108" s="417">
        <v>0</v>
      </c>
      <c r="AM108" s="269">
        <f t="shared" ca="1" si="60"/>
        <v>0</v>
      </c>
      <c r="AN108" s="422">
        <f t="shared" ca="1" si="63"/>
        <v>18.29</v>
      </c>
      <c r="AO108" s="423">
        <f t="shared" ca="1" si="63"/>
        <v>25727391.2880999</v>
      </c>
      <c r="AP108" s="271">
        <f t="shared" ca="1" si="63"/>
        <v>0</v>
      </c>
      <c r="AQ108" s="271">
        <f t="shared" ca="1" si="62"/>
        <v>0.11849999999999999</v>
      </c>
      <c r="AR108" s="271">
        <f t="shared" ca="1" si="62"/>
        <v>0.11849999999999999</v>
      </c>
      <c r="AS108" s="271">
        <f t="shared" ca="1" si="62"/>
        <v>0.11849999999999999</v>
      </c>
      <c r="AT108" s="271">
        <f t="shared" ca="1" si="62"/>
        <v>0.02</v>
      </c>
      <c r="AU108" s="278">
        <f t="shared" ca="1" si="36"/>
        <v>0.1</v>
      </c>
    </row>
    <row r="109" spans="2:47" ht="13.15" thickBot="1" x14ac:dyDescent="0.4">
      <c r="B109" s="18">
        <f t="shared" si="59"/>
        <v>90</v>
      </c>
      <c r="C109" s="85">
        <f t="shared" ca="1" si="42"/>
        <v>0</v>
      </c>
      <c r="D109" s="85">
        <f t="shared" ca="1" si="39"/>
        <v>0</v>
      </c>
      <c r="E109" s="84">
        <f t="shared" ca="1" si="43"/>
        <v>0</v>
      </c>
      <c r="F109" s="135">
        <f t="shared" ca="1" si="54"/>
        <v>0</v>
      </c>
      <c r="G109" s="409">
        <f t="shared" ca="1" si="40"/>
        <v>0</v>
      </c>
      <c r="H109" s="409">
        <f t="shared" ca="1" si="41"/>
        <v>0</v>
      </c>
      <c r="I109" s="275">
        <f t="shared" ca="1" si="55"/>
        <v>0</v>
      </c>
      <c r="J109" s="275">
        <f t="shared" ca="1" si="44"/>
        <v>0</v>
      </c>
      <c r="K109" s="137">
        <f t="shared" ca="1" si="57"/>
        <v>0</v>
      </c>
      <c r="L109" s="15" t="str">
        <f t="shared" ca="1" si="37"/>
        <v>F</v>
      </c>
      <c r="M109" s="88">
        <f t="shared" ca="1" si="37"/>
        <v>0</v>
      </c>
      <c r="N109" s="88">
        <f t="shared" ca="1" si="37"/>
        <v>0</v>
      </c>
      <c r="O109" s="432">
        <v>1000000000000000</v>
      </c>
      <c r="P109" s="69">
        <v>109575</v>
      </c>
      <c r="Q109" s="3">
        <f t="shared" si="45"/>
        <v>64588</v>
      </c>
      <c r="R109" s="107">
        <f t="shared" ca="1" si="46"/>
        <v>18.189999999999998</v>
      </c>
      <c r="S109" s="105">
        <f t="shared" ca="1" si="47"/>
        <v>30526306.859062586</v>
      </c>
      <c r="T109" s="341">
        <v>0</v>
      </c>
      <c r="U109" s="341">
        <v>0.11849999999999999</v>
      </c>
      <c r="V109" s="341">
        <v>0.11849999999999999</v>
      </c>
      <c r="W109" s="341">
        <v>0.11849999999999999</v>
      </c>
      <c r="X109" s="281">
        <f t="shared" si="61"/>
        <v>1.9E-2</v>
      </c>
      <c r="Y109" s="282">
        <f t="shared" si="56"/>
        <v>0.1</v>
      </c>
      <c r="AA109" s="391">
        <f t="shared" ca="1" si="48"/>
        <v>0</v>
      </c>
      <c r="AB109" s="400">
        <f t="shared" ca="1" si="48"/>
        <v>0</v>
      </c>
      <c r="AC109" s="258">
        <f t="shared" ca="1" si="48"/>
        <v>0</v>
      </c>
      <c r="AD109" s="258">
        <f t="shared" ca="1" si="48"/>
        <v>0</v>
      </c>
      <c r="AE109" s="402">
        <f t="shared" ca="1" si="48"/>
        <v>0</v>
      </c>
      <c r="AF109" s="402">
        <f t="shared" ca="1" si="48"/>
        <v>0</v>
      </c>
      <c r="AG109" s="404">
        <f t="shared" ca="1" si="49"/>
        <v>0</v>
      </c>
      <c r="AH109" s="415">
        <f t="shared" ca="1" si="50"/>
        <v>0</v>
      </c>
      <c r="AI109" s="415">
        <f t="shared" ca="1" si="51"/>
        <v>0</v>
      </c>
      <c r="AJ109" s="416">
        <f t="shared" ca="1" si="52"/>
        <v>0</v>
      </c>
      <c r="AK109" s="416">
        <f t="shared" ca="1" si="53"/>
        <v>0</v>
      </c>
      <c r="AL109" s="417">
        <v>0</v>
      </c>
      <c r="AM109" s="269">
        <f t="shared" ca="1" si="60"/>
        <v>0</v>
      </c>
      <c r="AN109" s="422">
        <f t="shared" ca="1" si="63"/>
        <v>18.29</v>
      </c>
      <c r="AO109" s="423">
        <f t="shared" ca="1" si="63"/>
        <v>25727391.2880999</v>
      </c>
      <c r="AP109" s="271">
        <f t="shared" ca="1" si="63"/>
        <v>0</v>
      </c>
      <c r="AQ109" s="271">
        <f t="shared" ca="1" si="62"/>
        <v>0.11849999999999999</v>
      </c>
      <c r="AR109" s="271">
        <f t="shared" ca="1" si="62"/>
        <v>0.11849999999999999</v>
      </c>
      <c r="AS109" s="271">
        <f t="shared" ca="1" si="62"/>
        <v>0.11849999999999999</v>
      </c>
      <c r="AT109" s="271">
        <f t="shared" ca="1" si="62"/>
        <v>0.02</v>
      </c>
      <c r="AU109" s="278">
        <f t="shared" ca="1" si="36"/>
        <v>0.1</v>
      </c>
    </row>
    <row r="110" spans="2:47" x14ac:dyDescent="0.35">
      <c r="B110" s="18">
        <f t="shared" si="59"/>
        <v>91</v>
      </c>
      <c r="C110" s="85">
        <f t="shared" ca="1" si="42"/>
        <v>0</v>
      </c>
      <c r="D110" s="85">
        <f t="shared" ca="1" si="39"/>
        <v>0</v>
      </c>
      <c r="E110" s="84">
        <f t="shared" ca="1" si="43"/>
        <v>0</v>
      </c>
      <c r="F110" s="135">
        <f t="shared" ca="1" si="54"/>
        <v>0</v>
      </c>
      <c r="G110" s="409">
        <f t="shared" ca="1" si="40"/>
        <v>0</v>
      </c>
      <c r="H110" s="409">
        <f t="shared" ca="1" si="41"/>
        <v>0</v>
      </c>
      <c r="I110" s="275">
        <f t="shared" ca="1" si="55"/>
        <v>0</v>
      </c>
      <c r="J110" s="275">
        <f t="shared" ca="1" si="44"/>
        <v>0</v>
      </c>
      <c r="K110" s="137">
        <f t="shared" ca="1" si="57"/>
        <v>0</v>
      </c>
      <c r="L110" s="15" t="str">
        <f t="shared" ca="1" si="37"/>
        <v>F</v>
      </c>
      <c r="M110" s="88">
        <f t="shared" ca="1" si="37"/>
        <v>0</v>
      </c>
      <c r="N110" s="88">
        <f t="shared" ca="1" si="37"/>
        <v>0</v>
      </c>
      <c r="O110" s="432">
        <v>1000000000000000</v>
      </c>
      <c r="P110" s="69">
        <v>109575</v>
      </c>
      <c r="Q110" s="3">
        <f t="shared" si="45"/>
        <v>64588</v>
      </c>
      <c r="R110" s="107">
        <f t="shared" ca="1" si="46"/>
        <v>18.189999999999998</v>
      </c>
      <c r="S110" s="105">
        <f t="shared" ca="1" si="47"/>
        <v>30526306.859062586</v>
      </c>
      <c r="T110" s="341">
        <v>0</v>
      </c>
      <c r="U110" s="341">
        <v>0.11849999999999999</v>
      </c>
      <c r="V110" s="341">
        <v>0.11849999999999999</v>
      </c>
      <c r="W110" s="341">
        <v>0.11849999999999999</v>
      </c>
      <c r="X110" s="281">
        <f t="shared" si="61"/>
        <v>1.9E-2</v>
      </c>
      <c r="Y110" s="282">
        <f t="shared" si="56"/>
        <v>0.1</v>
      </c>
      <c r="AA110" s="391">
        <f t="shared" ca="1" si="48"/>
        <v>0</v>
      </c>
      <c r="AB110" s="400">
        <f t="shared" ca="1" si="48"/>
        <v>0</v>
      </c>
      <c r="AC110" s="258">
        <f t="shared" ca="1" si="48"/>
        <v>0</v>
      </c>
      <c r="AD110" s="258">
        <f t="shared" ca="1" si="48"/>
        <v>0</v>
      </c>
      <c r="AE110" s="402">
        <f t="shared" ca="1" si="48"/>
        <v>0</v>
      </c>
      <c r="AF110" s="402">
        <f t="shared" ca="1" si="48"/>
        <v>0</v>
      </c>
      <c r="AG110" s="404">
        <f t="shared" ca="1" si="49"/>
        <v>0</v>
      </c>
      <c r="AH110" s="415">
        <f t="shared" ca="1" si="50"/>
        <v>0</v>
      </c>
      <c r="AI110" s="415">
        <f t="shared" ca="1" si="51"/>
        <v>0</v>
      </c>
      <c r="AJ110" s="416">
        <f t="shared" ca="1" si="52"/>
        <v>0</v>
      </c>
      <c r="AK110" s="416">
        <f t="shared" ca="1" si="53"/>
        <v>0</v>
      </c>
      <c r="AL110" s="417">
        <v>0</v>
      </c>
      <c r="AM110" s="269">
        <f t="shared" ca="1" si="60"/>
        <v>0</v>
      </c>
      <c r="AN110" s="422">
        <f t="shared" ca="1" si="63"/>
        <v>18.29</v>
      </c>
      <c r="AO110" s="423">
        <f t="shared" ca="1" si="63"/>
        <v>25727391.2880999</v>
      </c>
      <c r="AP110" s="271">
        <f t="shared" ca="1" si="63"/>
        <v>0</v>
      </c>
      <c r="AQ110" s="271">
        <f t="shared" ca="1" si="62"/>
        <v>0.11849999999999999</v>
      </c>
      <c r="AR110" s="271">
        <f t="shared" ca="1" si="62"/>
        <v>0.11849999999999999</v>
      </c>
      <c r="AS110" s="271">
        <f t="shared" ca="1" si="62"/>
        <v>0.11849999999999999</v>
      </c>
      <c r="AT110" s="271">
        <f t="shared" ca="1" si="62"/>
        <v>0.02</v>
      </c>
      <c r="AU110" s="278">
        <f t="shared" ca="1" si="36"/>
        <v>0.1</v>
      </c>
    </row>
  </sheetData>
  <mergeCells count="8">
    <mergeCell ref="R17:Y17"/>
    <mergeCell ref="F2:G2"/>
    <mergeCell ref="L2:M2"/>
    <mergeCell ref="F3:G3"/>
    <mergeCell ref="L7:M7"/>
    <mergeCell ref="L12:M12"/>
    <mergeCell ref="E17:K17"/>
    <mergeCell ref="L17:Q17"/>
  </mergeCells>
  <pageMargins left="0.75" right="0.75" top="1" bottom="1" header="0.5" footer="0.5"/>
  <pageSetup orientation="portrait" horizontalDpi="1200" verticalDpi="90" r:id="rId1"/>
  <headerFooter alignWithMargins="0"/>
  <ignoredErrors>
    <ignoredError sqref="N34 N37 N3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17468-1331-43F3-8546-3BD6A0FC0EED}">
  <sheetPr codeName="Sheet17"/>
  <dimension ref="B1:AU110"/>
  <sheetViews>
    <sheetView topLeftCell="E18" zoomScale="133" zoomScaleNormal="166" workbookViewId="0">
      <selection activeCell="O31" sqref="M29:O31"/>
    </sheetView>
  </sheetViews>
  <sheetFormatPr defaultRowHeight="12.75" x14ac:dyDescent="0.35"/>
  <cols>
    <col min="1" max="1" width="4.3984375" customWidth="1"/>
    <col min="2" max="5" width="14.265625" customWidth="1"/>
    <col min="6" max="25" width="10" customWidth="1"/>
    <col min="26" max="26" width="4.265625" customWidth="1"/>
    <col min="27" max="27" width="14.265625" customWidth="1"/>
    <col min="28" max="29" width="10" customWidth="1"/>
    <col min="30" max="32" width="9" customWidth="1"/>
    <col min="33" max="39" width="14.265625" customWidth="1"/>
    <col min="40" max="47" width="10" customWidth="1"/>
  </cols>
  <sheetData>
    <row r="1" spans="3:37" ht="13.15" thickBot="1" x14ac:dyDescent="0.4"/>
    <row r="2" spans="3:37" ht="13.15" thickBot="1" x14ac:dyDescent="0.4">
      <c r="F2" s="557" t="s">
        <v>38</v>
      </c>
      <c r="G2" s="558"/>
      <c r="H2" s="378">
        <v>44985</v>
      </c>
      <c r="K2" s="46" t="s">
        <v>57</v>
      </c>
      <c r="L2" s="559" t="s">
        <v>157</v>
      </c>
      <c r="M2" s="560"/>
      <c r="O2" s="41" t="s">
        <v>54</v>
      </c>
      <c r="P2" s="41" t="s">
        <v>35</v>
      </c>
      <c r="Q2" s="41" t="s">
        <v>51</v>
      </c>
      <c r="R2" s="41" t="s">
        <v>53</v>
      </c>
      <c r="S2" s="41" t="s">
        <v>3</v>
      </c>
      <c r="T2" s="41"/>
    </row>
    <row r="3" spans="3:37" ht="13.15" thickBot="1" x14ac:dyDescent="0.4">
      <c r="F3" s="561" t="s">
        <v>61</v>
      </c>
      <c r="G3" s="562"/>
      <c r="H3" s="379">
        <v>44978</v>
      </c>
      <c r="K3" s="259" t="s">
        <v>47</v>
      </c>
      <c r="L3" s="485">
        <v>0.125</v>
      </c>
      <c r="M3" s="486">
        <v>0.13</v>
      </c>
      <c r="O3" s="48" t="s">
        <v>32</v>
      </c>
      <c r="P3" s="330">
        <f>AVERAGE($L$3:$M$3)</f>
        <v>0.1275</v>
      </c>
      <c r="Q3" s="331">
        <f>AVERAGE($L$4:$M$4)</f>
        <v>-1.7500000000000002E-2</v>
      </c>
      <c r="R3" s="332">
        <f>AVERAGE($L$5:$M$5)</f>
        <v>3.5000000000000003E-2</v>
      </c>
      <c r="S3" s="354">
        <f>$I$6*EXP(-($I$10-$I$11)*365/365)</f>
        <v>19.813320467774993</v>
      </c>
    </row>
    <row r="4" spans="3:37" ht="13.15" thickBot="1" x14ac:dyDescent="0.4">
      <c r="K4" s="262" t="s">
        <v>48</v>
      </c>
      <c r="L4" s="263">
        <v>-0.02</v>
      </c>
      <c r="M4" s="264">
        <v>-1.4999999999999999E-2</v>
      </c>
      <c r="O4" s="344" t="s">
        <v>33</v>
      </c>
      <c r="P4" s="345">
        <f>AVERAGE($L$8:$M$8)</f>
        <v>0.121</v>
      </c>
      <c r="Q4" s="346">
        <f>AVERAGE($L$9:$M$9)</f>
        <v>-7.4999999999999997E-3</v>
      </c>
      <c r="R4" s="347">
        <f>AVERAGE($L$10:$M$10)</f>
        <v>1.7500000000000002E-2</v>
      </c>
      <c r="S4" s="355">
        <f>$I$6*EXP(-($I$10-$I$11)*5*365/365)</f>
        <v>27.285473719858832</v>
      </c>
    </row>
    <row r="5" spans="3:37" ht="13.15" thickBot="1" x14ac:dyDescent="0.4">
      <c r="F5" s="46" t="s">
        <v>60</v>
      </c>
      <c r="G5" s="45" t="s">
        <v>40</v>
      </c>
      <c r="H5" s="47" t="s">
        <v>41</v>
      </c>
      <c r="I5" s="48" t="s">
        <v>44</v>
      </c>
      <c r="K5" s="265" t="s">
        <v>49</v>
      </c>
      <c r="L5" s="386">
        <v>0.03</v>
      </c>
      <c r="M5" s="387">
        <v>0.04</v>
      </c>
      <c r="O5" s="348" t="s">
        <v>34</v>
      </c>
      <c r="P5" s="349">
        <f>AVERAGE($L$13:$M$13)</f>
        <v>0.121</v>
      </c>
      <c r="Q5" s="350">
        <f>AVERAGE($L$10:$M$10)</f>
        <v>1.7500000000000002E-2</v>
      </c>
      <c r="R5" s="351">
        <f>AVERAGE($L$15:$M$15)</f>
        <v>1.4999999999999999E-2</v>
      </c>
      <c r="S5" s="356">
        <f>$I$6*EXP(-($I$10-$I$11)*10*365/365)</f>
        <v>40.705143582127235</v>
      </c>
    </row>
    <row r="6" spans="3:37" ht="13.15" thickBot="1" x14ac:dyDescent="0.4">
      <c r="F6" s="53" t="s">
        <v>39</v>
      </c>
      <c r="G6" s="146">
        <v>18.239999999999998</v>
      </c>
      <c r="H6" s="147">
        <v>18.34</v>
      </c>
      <c r="I6" s="148">
        <f>AVERAGE(G6:H6)</f>
        <v>18.29</v>
      </c>
      <c r="K6" s="266"/>
      <c r="L6" s="266"/>
      <c r="M6" s="266"/>
      <c r="O6" s="267"/>
      <c r="P6" s="267"/>
      <c r="Q6" s="267"/>
      <c r="R6" s="267"/>
      <c r="S6" s="267"/>
    </row>
    <row r="7" spans="3:37" ht="13.15" thickBot="1" x14ac:dyDescent="0.4">
      <c r="F7" s="54" t="s">
        <v>45</v>
      </c>
      <c r="G7" s="336">
        <v>1.05</v>
      </c>
      <c r="H7" s="62">
        <v>1.07</v>
      </c>
      <c r="I7" s="55">
        <f>AVERAGE(G7:H7)</f>
        <v>1.06</v>
      </c>
      <c r="K7" s="46" t="s">
        <v>58</v>
      </c>
      <c r="L7" s="559" t="s">
        <v>157</v>
      </c>
      <c r="M7" s="560"/>
      <c r="O7" s="41" t="s">
        <v>31</v>
      </c>
      <c r="P7" s="41" t="s">
        <v>36</v>
      </c>
      <c r="Q7" s="41" t="s">
        <v>35</v>
      </c>
      <c r="R7" s="41" t="s">
        <v>55</v>
      </c>
      <c r="S7" s="266"/>
    </row>
    <row r="8" spans="3:37" ht="13.15" thickBot="1" x14ac:dyDescent="0.4">
      <c r="K8" s="259" t="s">
        <v>47</v>
      </c>
      <c r="L8" s="260">
        <v>0.12</v>
      </c>
      <c r="M8" s="261">
        <v>0.122</v>
      </c>
      <c r="O8" s="48" t="str">
        <f>O3</f>
        <v>1Y</v>
      </c>
      <c r="P8" s="330">
        <f>P3-Q3/2+R3</f>
        <v>0.17125000000000001</v>
      </c>
      <c r="Q8" s="331">
        <f>P3</f>
        <v>0.1275</v>
      </c>
      <c r="R8" s="335">
        <f>P3+Q3/2+R3</f>
        <v>0.15375</v>
      </c>
      <c r="S8" s="266"/>
    </row>
    <row r="9" spans="3:37" ht="13.15" thickBot="1" x14ac:dyDescent="0.4">
      <c r="F9" s="46" t="s">
        <v>46</v>
      </c>
      <c r="G9" s="45" t="s">
        <v>40</v>
      </c>
      <c r="H9" s="47" t="s">
        <v>41</v>
      </c>
      <c r="I9" s="48" t="s">
        <v>44</v>
      </c>
      <c r="K9" s="262" t="s">
        <v>48</v>
      </c>
      <c r="L9" s="263">
        <v>-5.0000000000000001E-3</v>
      </c>
      <c r="M9" s="264">
        <v>-0.01</v>
      </c>
      <c r="O9" s="344" t="str">
        <f>O4</f>
        <v>5Y</v>
      </c>
      <c r="P9" s="345">
        <f>P4-Q4/2+R4</f>
        <v>0.14224999999999999</v>
      </c>
      <c r="Q9" s="346">
        <f>P4</f>
        <v>0.121</v>
      </c>
      <c r="R9" s="352">
        <f>P4+Q4/2+R4</f>
        <v>0.13474999999999998</v>
      </c>
      <c r="S9" s="266"/>
    </row>
    <row r="10" spans="3:37" ht="13.15" thickBot="1" x14ac:dyDescent="0.4">
      <c r="F10" s="56" t="s">
        <v>42</v>
      </c>
      <c r="G10" s="63">
        <v>1.9E-2</v>
      </c>
      <c r="H10" s="64">
        <v>2.1000000000000001E-2</v>
      </c>
      <c r="I10" s="57">
        <f>AVERAGE(G10:H10)</f>
        <v>0.02</v>
      </c>
      <c r="K10" s="265" t="s">
        <v>49</v>
      </c>
      <c r="L10" s="386">
        <v>1.4999999999999999E-2</v>
      </c>
      <c r="M10" s="387">
        <v>0.02</v>
      </c>
      <c r="O10" s="348" t="str">
        <f>O5</f>
        <v>10Y</v>
      </c>
      <c r="P10" s="349">
        <f>P5-Q5/2+R5</f>
        <v>0.12724999999999997</v>
      </c>
      <c r="Q10" s="350">
        <f>P5</f>
        <v>0.121</v>
      </c>
      <c r="R10" s="353">
        <f>P5+Q5/2+R5</f>
        <v>0.14474999999999999</v>
      </c>
      <c r="S10" s="266"/>
    </row>
    <row r="11" spans="3:37" ht="13.15" thickBot="1" x14ac:dyDescent="0.4">
      <c r="F11" s="58" t="s">
        <v>43</v>
      </c>
      <c r="G11" s="65">
        <v>9.9000000000000005E-2</v>
      </c>
      <c r="H11" s="66">
        <v>0.10100000000000001</v>
      </c>
      <c r="I11" s="59">
        <f>AVERAGE(G11:H11)</f>
        <v>0.1</v>
      </c>
      <c r="K11" s="266"/>
      <c r="L11" s="266"/>
      <c r="M11" s="266"/>
      <c r="O11" s="267"/>
      <c r="P11" s="267"/>
      <c r="Q11" s="267"/>
      <c r="R11" s="267"/>
      <c r="S11" s="266"/>
    </row>
    <row r="12" spans="3:37" ht="13.15" thickBot="1" x14ac:dyDescent="0.4">
      <c r="F12" s="50"/>
      <c r="G12" s="51"/>
      <c r="H12" s="52"/>
      <c r="I12" s="1"/>
      <c r="K12" s="46" t="s">
        <v>59</v>
      </c>
      <c r="L12" s="559" t="s">
        <v>157</v>
      </c>
      <c r="M12" s="560"/>
      <c r="O12" s="41" t="s">
        <v>56</v>
      </c>
      <c r="P12" s="41" t="s">
        <v>36</v>
      </c>
      <c r="Q12" s="41" t="s">
        <v>35</v>
      </c>
      <c r="R12" s="41" t="s">
        <v>55</v>
      </c>
      <c r="S12" s="266"/>
    </row>
    <row r="13" spans="3:37" x14ac:dyDescent="0.35">
      <c r="F13" s="50"/>
      <c r="G13" s="51"/>
      <c r="H13" s="52"/>
      <c r="I13" s="1"/>
      <c r="K13" s="259" t="s">
        <v>47</v>
      </c>
      <c r="L13" s="260">
        <v>0.12</v>
      </c>
      <c r="M13" s="261">
        <v>0.122</v>
      </c>
      <c r="O13" s="48" t="str">
        <f>O8</f>
        <v>1Y</v>
      </c>
      <c r="P13" s="357">
        <v>17.7961406391323</v>
      </c>
      <c r="Q13" s="358">
        <f>S3</f>
        <v>19.813320467774993</v>
      </c>
      <c r="R13" s="359">
        <v>21.571140639132299</v>
      </c>
      <c r="S13" s="266"/>
    </row>
    <row r="14" spans="3:37" x14ac:dyDescent="0.35">
      <c r="F14" s="50"/>
      <c r="G14" s="51"/>
      <c r="H14" s="76"/>
      <c r="I14" s="77"/>
      <c r="K14" s="262" t="s">
        <v>48</v>
      </c>
      <c r="L14" s="263">
        <v>-0.01</v>
      </c>
      <c r="M14" s="264">
        <v>-1.4999999999999999E-2</v>
      </c>
      <c r="O14" s="344" t="str">
        <f>O9</f>
        <v>5Y</v>
      </c>
      <c r="P14" s="380">
        <v>23.94</v>
      </c>
      <c r="Q14" s="381">
        <f>S4</f>
        <v>27.285473719858832</v>
      </c>
      <c r="R14" s="382">
        <v>29.786000000000001</v>
      </c>
      <c r="S14" s="266"/>
    </row>
    <row r="15" spans="3:37" ht="13.15" thickBot="1" x14ac:dyDescent="0.4">
      <c r="E15" s="39"/>
      <c r="F15" s="50"/>
      <c r="G15" s="51"/>
      <c r="H15" s="157"/>
      <c r="I15" s="75"/>
      <c r="K15" s="265" t="s">
        <v>49</v>
      </c>
      <c r="L15" s="386">
        <v>0.01</v>
      </c>
      <c r="M15" s="387">
        <v>0.02</v>
      </c>
      <c r="O15" s="348" t="str">
        <f>O10</f>
        <v>10Y</v>
      </c>
      <c r="P15" s="383">
        <v>35.298999999999999</v>
      </c>
      <c r="Q15" s="384">
        <f>S5</f>
        <v>40.705143582127235</v>
      </c>
      <c r="R15" s="385">
        <v>43.604999999999997</v>
      </c>
      <c r="S15" s="266"/>
      <c r="AG15" s="71"/>
    </row>
    <row r="16" spans="3:37" ht="13.15" thickBot="1" x14ac:dyDescent="0.4">
      <c r="C16" s="360" t="s">
        <v>142</v>
      </c>
      <c r="D16" s="361" t="s">
        <v>143</v>
      </c>
      <c r="I16" s="110"/>
      <c r="N16" s="285"/>
      <c r="AA16" s="40" t="s">
        <v>62</v>
      </c>
      <c r="AB16" s="82" t="str">
        <f>TEXT(H3,"mmm-dd")</f>
        <v>Feb-21</v>
      </c>
      <c r="AI16" s="40"/>
      <c r="AJ16" s="40"/>
      <c r="AK16" s="40"/>
    </row>
    <row r="17" spans="2:47" ht="13.15" thickBot="1" x14ac:dyDescent="0.4">
      <c r="B17" s="1"/>
      <c r="C17" s="328">
        <f ca="1">D19-C19-D17</f>
        <v>0.64131725556217134</v>
      </c>
      <c r="D17" s="273">
        <f ca="1">SUM(D26:D31)</f>
        <v>844564.96639205737</v>
      </c>
      <c r="E17" s="563" t="s">
        <v>16</v>
      </c>
      <c r="F17" s="563"/>
      <c r="G17" s="563"/>
      <c r="H17" s="563"/>
      <c r="I17" s="563"/>
      <c r="J17" s="563"/>
      <c r="K17" s="564"/>
      <c r="L17" s="565" t="s">
        <v>15</v>
      </c>
      <c r="M17" s="566"/>
      <c r="N17" s="566"/>
      <c r="O17" s="566"/>
      <c r="P17" s="566"/>
      <c r="Q17" s="567"/>
      <c r="R17" s="554" t="s">
        <v>37</v>
      </c>
      <c r="S17" s="555"/>
      <c r="T17" s="555"/>
      <c r="U17" s="555"/>
      <c r="V17" s="555"/>
      <c r="W17" s="555"/>
      <c r="X17" s="555"/>
      <c r="Y17" s="556"/>
      <c r="AA17" t="s">
        <v>17</v>
      </c>
      <c r="AH17" s="23"/>
      <c r="AN17" s="82"/>
    </row>
    <row r="18" spans="2:47" ht="27" customHeight="1" thickBot="1" x14ac:dyDescent="0.4">
      <c r="B18" s="362" t="s">
        <v>19</v>
      </c>
      <c r="C18" s="362" t="s">
        <v>137</v>
      </c>
      <c r="D18" s="362" t="s">
        <v>12</v>
      </c>
      <c r="E18" s="363" t="s">
        <v>4</v>
      </c>
      <c r="F18" s="373" t="s">
        <v>159</v>
      </c>
      <c r="G18" s="377" t="s">
        <v>25</v>
      </c>
      <c r="H18" s="377" t="s">
        <v>27</v>
      </c>
      <c r="I18" s="365" t="s">
        <v>140</v>
      </c>
      <c r="J18" s="365" t="s">
        <v>141</v>
      </c>
      <c r="K18" s="366" t="s">
        <v>68</v>
      </c>
      <c r="L18" s="374" t="s">
        <v>160</v>
      </c>
      <c r="M18" s="374" t="s">
        <v>161</v>
      </c>
      <c r="N18" s="374" t="s">
        <v>155</v>
      </c>
      <c r="O18" s="367" t="s">
        <v>2</v>
      </c>
      <c r="P18" s="367" t="s">
        <v>5</v>
      </c>
      <c r="Q18" s="374" t="s">
        <v>162</v>
      </c>
      <c r="R18" s="368" t="s">
        <v>13</v>
      </c>
      <c r="S18" s="369" t="s">
        <v>3</v>
      </c>
      <c r="T18" s="375" t="s">
        <v>163</v>
      </c>
      <c r="U18" s="370" t="s">
        <v>35</v>
      </c>
      <c r="V18" s="370" t="s">
        <v>51</v>
      </c>
      <c r="W18" s="370" t="s">
        <v>52</v>
      </c>
      <c r="X18" s="369" t="s">
        <v>7</v>
      </c>
      <c r="Y18" s="371" t="s">
        <v>138</v>
      </c>
      <c r="AA18" s="392" t="s">
        <v>11</v>
      </c>
      <c r="AB18" s="393" t="s">
        <v>164</v>
      </c>
      <c r="AC18" s="397" t="s">
        <v>165</v>
      </c>
      <c r="AD18" s="397" t="s">
        <v>166</v>
      </c>
      <c r="AE18" s="393" t="s">
        <v>167</v>
      </c>
      <c r="AF18" s="393" t="s">
        <v>168</v>
      </c>
      <c r="AG18" s="403" t="s">
        <v>169</v>
      </c>
      <c r="AH18" s="397" t="s">
        <v>170</v>
      </c>
      <c r="AI18" s="397" t="s">
        <v>171</v>
      </c>
      <c r="AJ18" s="393" t="s">
        <v>172</v>
      </c>
      <c r="AK18" s="393" t="s">
        <v>173</v>
      </c>
      <c r="AL18" s="394" t="s">
        <v>22</v>
      </c>
      <c r="AM18" s="395" t="s">
        <v>21</v>
      </c>
      <c r="AN18" s="396" t="s">
        <v>13</v>
      </c>
      <c r="AO18" s="396" t="s">
        <v>3</v>
      </c>
      <c r="AP18" s="419" t="s">
        <v>163</v>
      </c>
      <c r="AQ18" s="396" t="s">
        <v>35</v>
      </c>
      <c r="AR18" s="396" t="s">
        <v>51</v>
      </c>
      <c r="AS18" s="396" t="s">
        <v>52</v>
      </c>
      <c r="AT18" s="396" t="s">
        <v>7</v>
      </c>
      <c r="AU18" s="418" t="s">
        <v>138</v>
      </c>
    </row>
    <row r="19" spans="2:47" ht="13.5" thickBot="1" x14ac:dyDescent="0.45">
      <c r="B19" s="8"/>
      <c r="C19" s="86">
        <f ca="1">SUM(C20:C158)</f>
        <v>-2104.9654845369514</v>
      </c>
      <c r="D19" s="86">
        <f ca="1">SUM(D20:D331)</f>
        <v>842460.64222477598</v>
      </c>
      <c r="E19" s="87">
        <f ca="1">SUM(E20:E331)</f>
        <v>304120.90430000646</v>
      </c>
      <c r="F19" s="274">
        <f t="shared" ref="F19:K19" ca="1" si="0">SUM(F20:F331)</f>
        <v>-24.461730992434241</v>
      </c>
      <c r="G19" s="405">
        <f t="shared" ca="1" si="0"/>
        <v>55973.815443953703</v>
      </c>
      <c r="H19" s="405">
        <f t="shared" ca="1" si="0"/>
        <v>35159.954139504676</v>
      </c>
      <c r="I19" s="129">
        <f t="shared" ca="1" si="0"/>
        <v>-15.605494826625318</v>
      </c>
      <c r="J19" s="129">
        <f t="shared" ca="1" si="0"/>
        <v>54.282764090164619</v>
      </c>
      <c r="K19" s="129">
        <f t="shared" ca="1" si="0"/>
        <v>-4163.330198390413</v>
      </c>
      <c r="L19" s="2"/>
      <c r="M19" s="2"/>
      <c r="N19" s="2"/>
      <c r="O19" s="2"/>
      <c r="P19" s="2"/>
      <c r="Q19" s="2"/>
      <c r="S19" s="2"/>
      <c r="T19" s="339"/>
      <c r="U19" s="339"/>
      <c r="V19" s="339"/>
      <c r="W19" s="339"/>
      <c r="X19" s="2"/>
      <c r="Y19" s="2"/>
      <c r="AA19" s="389">
        <f t="shared" ref="AA19:AM19" ca="1" si="1">SUM(AA20:AA239)</f>
        <v>-538339.73792476021</v>
      </c>
      <c r="AB19" s="398">
        <f t="shared" ca="1" si="1"/>
        <v>-5.3944560443655973</v>
      </c>
      <c r="AC19" s="120">
        <f t="shared" ca="1" si="1"/>
        <v>0</v>
      </c>
      <c r="AD19" s="120">
        <f t="shared" ca="1" si="1"/>
        <v>0</v>
      </c>
      <c r="AE19" s="272">
        <f t="shared" ca="1" si="1"/>
        <v>15.309032254002886</v>
      </c>
      <c r="AF19" s="272">
        <f t="shared" ca="1" si="1"/>
        <v>37.727095535837179</v>
      </c>
      <c r="AG19" s="388">
        <f t="shared" ca="1" si="1"/>
        <v>-1444.2120211515576</v>
      </c>
      <c r="AH19" s="414">
        <f t="shared" ca="1" si="1"/>
        <v>0</v>
      </c>
      <c r="AI19" s="414">
        <f t="shared" ca="1" si="1"/>
        <v>0</v>
      </c>
      <c r="AJ19" s="388">
        <f t="shared" ca="1" si="1"/>
        <v>0</v>
      </c>
      <c r="AK19" s="388">
        <f t="shared" ca="1" si="1"/>
        <v>0</v>
      </c>
      <c r="AL19" s="388">
        <f t="shared" ca="1" si="1"/>
        <v>-660.75346338536474</v>
      </c>
      <c r="AM19" s="129">
        <f t="shared" ca="1" si="1"/>
        <v>-2104.9654845369514</v>
      </c>
      <c r="AU19" s="20"/>
    </row>
    <row r="20" spans="2:47" ht="13.15" thickBot="1" x14ac:dyDescent="0.4">
      <c r="B20" s="293">
        <v>1</v>
      </c>
      <c r="C20" s="295">
        <f ca="1">AM20</f>
        <v>38380.341642846637</v>
      </c>
      <c r="D20" s="295">
        <f t="shared" ref="D20:D83" ca="1" si="2">E20-AA20</f>
        <v>38371.930665448308</v>
      </c>
      <c r="E20" s="295">
        <f ca="1">N20*BSPrice(L20,1/S20,1/O20,Q20,X20,Y20,T20)*1000000</f>
        <v>100060292.1410117</v>
      </c>
      <c r="F20" s="296">
        <f t="shared" ref="F20" ca="1" si="3">N20*BSDelta(L20,1/S20,1/O20,Q20,X20,Y20,T20)</f>
        <v>0</v>
      </c>
      <c r="G20" s="406">
        <f t="shared" ref="G20:G83" ca="1" si="4">BSGamma(L20,1/S20,1/O20,Q20,X20,Y20,T20)*N20</f>
        <v>0</v>
      </c>
      <c r="H20" s="406">
        <f t="shared" ref="H20:H83" ca="1" si="5">BSVega(L20,1/S20,1/O20,Q20,X20,Y20,T20)*N20*1000000</f>
        <v>0</v>
      </c>
      <c r="I20" s="297">
        <f ca="1">N20*BSDailyRhoUSD(L20,1/S20,1/O20,Q20,X20,Y20,T20)*1000000</f>
        <v>-9704.4776487446961</v>
      </c>
      <c r="J20" s="297">
        <f ca="1">N20*BSDailyRhoExt(L20,1/S20,1/O20,Q20,X20,Y20,T20)*1000000</f>
        <v>0</v>
      </c>
      <c r="K20" s="298">
        <f ca="1">N20*BSDailyTheta(L20,1/S20,1/O20,Q20,X20,Y20,T20)*1000000</f>
        <v>5482.9059489780911</v>
      </c>
      <c r="L20" s="299" t="str">
        <f t="shared" ref="L20:P35" ca="1" si="6">INDIRECT("'"&amp; $AB$16 &amp;"'!"&amp; ADDRESS(ROW(L20),COLUMN(L20),4))</f>
        <v>D</v>
      </c>
      <c r="M20" s="300">
        <f t="shared" ca="1" si="6"/>
        <v>100</v>
      </c>
      <c r="N20" s="300">
        <f t="shared" ca="1" si="6"/>
        <v>102.02013400267558</v>
      </c>
      <c r="O20" s="430">
        <f t="shared" ca="1" si="6"/>
        <v>1000000000000000</v>
      </c>
      <c r="P20" s="307">
        <f t="shared" ca="1" si="6"/>
        <v>45339</v>
      </c>
      <c r="Q20" s="301">
        <f ca="1">(P20-$H$2)</f>
        <v>354</v>
      </c>
      <c r="R20" s="106">
        <f ca="1">IF(L20="D",1,$I$6)</f>
        <v>1</v>
      </c>
      <c r="S20" s="104">
        <f ca="1">IF(L20="D",1,R20*EXP(-($I$10-$I$11)*Q20/365))</f>
        <v>1</v>
      </c>
      <c r="T20" s="340">
        <v>0</v>
      </c>
      <c r="U20" s="340">
        <v>0.13</v>
      </c>
      <c r="V20" s="340">
        <v>0.13</v>
      </c>
      <c r="W20" s="340">
        <v>0.13</v>
      </c>
      <c r="X20" s="279">
        <f t="shared" ref="X20:X30" si="7">$I$10</f>
        <v>0.02</v>
      </c>
      <c r="Y20" s="280">
        <f>$I$11</f>
        <v>0.1</v>
      </c>
      <c r="AA20" s="390">
        <f ca="1">INDIRECT("'"&amp; $AB$16 &amp;"'!"&amp; ADDRESS(ROW(E20),COLUMN(E20),4))</f>
        <v>100021920.21034625</v>
      </c>
      <c r="AB20" s="399">
        <f t="shared" ref="AB20:AF70" ca="1" si="8">INDIRECT("'"&amp; $AB$16 &amp;"'!"&amp; ADDRESS(ROW(F20),COLUMN(F20),4))</f>
        <v>0</v>
      </c>
      <c r="AC20" s="257">
        <f t="shared" ca="1" si="8"/>
        <v>0</v>
      </c>
      <c r="AD20" s="257">
        <f t="shared" ca="1" si="8"/>
        <v>0</v>
      </c>
      <c r="AE20" s="401">
        <f t="shared" ca="1" si="8"/>
        <v>-9892.5789577904106</v>
      </c>
      <c r="AF20" s="401">
        <f t="shared" ca="1" si="8"/>
        <v>0</v>
      </c>
      <c r="AG20" s="404">
        <f ca="1">AB20*((1/R20)-(1/AN20))*1000000</f>
        <v>0</v>
      </c>
      <c r="AH20" s="415">
        <f ca="1">0.5*AC20*((1/R20)-(1/AN20))^2*1000000</f>
        <v>0</v>
      </c>
      <c r="AI20" s="415">
        <f ca="1">AD20*(T20-AP20)</f>
        <v>0</v>
      </c>
      <c r="AJ20" s="416">
        <f ca="1">(AE20*(X20-AT20))/0.01%</f>
        <v>0</v>
      </c>
      <c r="AK20" s="416">
        <f ca="1">(AF20*(Y20-AU20))/0.01%</f>
        <v>0</v>
      </c>
      <c r="AL20" s="416">
        <f ca="1">K20*(Today-$H$3)</f>
        <v>38380.341642846637</v>
      </c>
      <c r="AM20" s="268">
        <f ca="1">SUM(AG20:AL20)</f>
        <v>38380.341642846637</v>
      </c>
      <c r="AN20" s="420">
        <f ca="1">INDIRECT("'"&amp; $AB$16 &amp;"'!"&amp; ADDRESS(ROW(R20),COLUMN(R20),4))</f>
        <v>1</v>
      </c>
      <c r="AO20" s="421">
        <f t="shared" ref="AO20:AU35" ca="1" si="9">INDIRECT("'"&amp; $AB$16 &amp;"'!"&amp; ADDRESS(ROW(S20),COLUMN(S20),4))</f>
        <v>1</v>
      </c>
      <c r="AP20" s="270">
        <f t="shared" ca="1" si="9"/>
        <v>0</v>
      </c>
      <c r="AQ20" s="270">
        <f t="shared" ca="1" si="9"/>
        <v>0.13</v>
      </c>
      <c r="AR20" s="270">
        <f t="shared" ca="1" si="9"/>
        <v>0.13</v>
      </c>
      <c r="AS20" s="270">
        <f t="shared" ca="1" si="9"/>
        <v>0.13</v>
      </c>
      <c r="AT20" s="270">
        <f t="shared" ca="1" si="9"/>
        <v>0.02</v>
      </c>
      <c r="AU20" s="277">
        <f t="shared" ca="1" si="9"/>
        <v>0.1</v>
      </c>
    </row>
    <row r="21" spans="2:47" ht="13.15" thickBot="1" x14ac:dyDescent="0.4">
      <c r="B21" s="144">
        <f>B20+1</f>
        <v>2</v>
      </c>
      <c r="C21" s="92">
        <f t="shared" ref="C21:C84" ca="1" si="10">AM21</f>
        <v>-700126.07600434264</v>
      </c>
      <c r="D21" s="92">
        <f t="shared" ca="1" si="2"/>
        <v>-699909.97223314643</v>
      </c>
      <c r="E21" s="92">
        <f t="shared" ref="E21:E84" ca="1" si="11">N21*BSPrice(L21,1/S21,1/O21,Q21,X21,Y21,T21)*1000000</f>
        <v>-102879290.6761418</v>
      </c>
      <c r="F21" s="134">
        <f ca="1">N21*BSDelta(L21,1/S21,1/O21,Q21,X21,Y21,T21)</f>
        <v>-1881.6622264666705</v>
      </c>
      <c r="G21" s="407">
        <f t="shared" ca="1" si="4"/>
        <v>0</v>
      </c>
      <c r="H21" s="407">
        <f t="shared" ca="1" si="5"/>
        <v>0</v>
      </c>
      <c r="I21" s="276">
        <f ca="1">N21*BSDailyRhoUSD(L21,1/S21,1/O21,Q21,X21,Y21,T21)*1000000</f>
        <v>-1.4386413187891214E-8</v>
      </c>
      <c r="J21" s="276">
        <f t="shared" ref="J21:J84" ca="1" si="12">N21*BSDailyRhoExt(L21,1/S21,1/O21,Q21,X21,Y21,T21)*1000000</f>
        <v>9977.3980469497856</v>
      </c>
      <c r="K21" s="136">
        <f ca="1">N21*BSDailyTheta(L21,1/S21,1/O21,Q21,X21,Y21,T21)*1000000</f>
        <v>-28189.968497752056</v>
      </c>
      <c r="L21" s="72" t="str">
        <f t="shared" ca="1" si="6"/>
        <v>F</v>
      </c>
      <c r="M21" s="89">
        <f t="shared" ca="1" si="6"/>
        <v>-1876.0000000000002</v>
      </c>
      <c r="N21" s="89">
        <f t="shared" ca="1" si="6"/>
        <v>-2073.3006423099155</v>
      </c>
      <c r="O21" s="429">
        <f t="shared" ca="1" si="6"/>
        <v>1000000000000000</v>
      </c>
      <c r="P21" s="308">
        <f t="shared" ca="1" si="6"/>
        <v>45339</v>
      </c>
      <c r="Q21" s="73">
        <f t="shared" ref="Q21:Q84" ca="1" si="13">(P21-$H$2)</f>
        <v>354</v>
      </c>
      <c r="R21" s="107">
        <f t="shared" ref="R21:R84" ca="1" si="14">IF(L21="D",1,$I$6)</f>
        <v>18.29</v>
      </c>
      <c r="S21" s="105">
        <f t="shared" ref="S21:S84" ca="1" si="15">IF(L21="D",1,R21*EXP(-($I$10-$I$11)*Q21/365))</f>
        <v>19.765608904793204</v>
      </c>
      <c r="T21" s="341">
        <v>0</v>
      </c>
      <c r="U21" s="341">
        <v>9.9199999999999997E-2</v>
      </c>
      <c r="V21" s="341">
        <v>9.9199999999999997E-2</v>
      </c>
      <c r="W21" s="341">
        <v>9.9199999999999997E-2</v>
      </c>
      <c r="X21" s="281">
        <f t="shared" si="7"/>
        <v>0.02</v>
      </c>
      <c r="Y21" s="282">
        <f>Y20</f>
        <v>0.1</v>
      </c>
      <c r="AA21" s="391">
        <f t="shared" ref="AA21:AF84" ca="1" si="16">INDIRECT("'"&amp; $AB$16 &amp;"'!"&amp; ADDRESS(ROW(E21),COLUMN(E21),4))</f>
        <v>-102179380.70390865</v>
      </c>
      <c r="AB21" s="400">
        <f t="shared" ca="1" si="8"/>
        <v>-1878.0570173378783</v>
      </c>
      <c r="AC21" s="258">
        <f t="shared" ca="1" si="8"/>
        <v>0</v>
      </c>
      <c r="AD21" s="258">
        <f t="shared" ca="1" si="8"/>
        <v>0</v>
      </c>
      <c r="AE21" s="402">
        <f t="shared" ca="1" si="8"/>
        <v>1.4386413187891214E-8</v>
      </c>
      <c r="AF21" s="402">
        <f t="shared" ca="1" si="8"/>
        <v>10105.460922844626</v>
      </c>
      <c r="AG21" s="404">
        <f t="shared" ref="AG21:AG84" ca="1" si="17">AB21*((1/R21)-(1/AN21))*1000000</f>
        <v>-502796.29652007826</v>
      </c>
      <c r="AH21" s="415">
        <f t="shared" ref="AH21:AH84" ca="1" si="18">0.5*AC21*((1/R21)-(1/AN21))^2*1000000</f>
        <v>0</v>
      </c>
      <c r="AI21" s="415">
        <f t="shared" ref="AI21:AI84" ca="1" si="19">AD21*(T21-AP21)</f>
        <v>0</v>
      </c>
      <c r="AJ21" s="416">
        <f t="shared" ref="AJ21:AJ84" ca="1" si="20">(AE21*(X21-AT21))/0.01%</f>
        <v>0</v>
      </c>
      <c r="AK21" s="416">
        <f t="shared" ref="AK21:AK84" ca="1" si="21">(AF21*(Y21-AU21))/0.01%</f>
        <v>0</v>
      </c>
      <c r="AL21" s="417">
        <f t="shared" ref="AL21:AL25" ca="1" si="22">K21*(Today-$H$3)</f>
        <v>-197329.77948426438</v>
      </c>
      <c r="AM21" s="269">
        <f ca="1">SUM(AG21:AL21)</f>
        <v>-700126.07600434264</v>
      </c>
      <c r="AN21" s="422">
        <f t="shared" ref="AN21:AU36" ca="1" si="23">INDIRECT("'"&amp; $AB$16 &amp;"'!"&amp; ADDRESS(ROW(R21),COLUMN(R21),4))</f>
        <v>18.380000000000003</v>
      </c>
      <c r="AO21" s="423">
        <f t="shared" ca="1" si="9"/>
        <v>19.893367895471307</v>
      </c>
      <c r="AP21" s="271">
        <f t="shared" ca="1" si="9"/>
        <v>0</v>
      </c>
      <c r="AQ21" s="271">
        <f t="shared" ca="1" si="9"/>
        <v>9.9199999999999997E-2</v>
      </c>
      <c r="AR21" s="271">
        <f t="shared" ca="1" si="9"/>
        <v>9.9199999999999997E-2</v>
      </c>
      <c r="AS21" s="271">
        <f t="shared" ca="1" si="9"/>
        <v>9.9199999999999997E-2</v>
      </c>
      <c r="AT21" s="271">
        <f t="shared" ca="1" si="9"/>
        <v>0.02</v>
      </c>
      <c r="AU21" s="278">
        <f t="shared" ca="1" si="9"/>
        <v>0.1</v>
      </c>
    </row>
    <row r="22" spans="2:47" ht="13.15" thickBot="1" x14ac:dyDescent="0.4">
      <c r="B22" s="318">
        <f t="shared" ref="B22:B28" si="24">B21+1</f>
        <v>3</v>
      </c>
      <c r="C22" s="309">
        <f t="shared" ca="1" si="10"/>
        <v>657913.59403558681</v>
      </c>
      <c r="D22" s="309">
        <f t="shared" ca="1" si="2"/>
        <v>657707.08476399188</v>
      </c>
      <c r="E22" s="309">
        <f t="shared" ca="1" si="11"/>
        <v>2274522.8979783719</v>
      </c>
      <c r="F22" s="310">
        <f t="shared" ref="F22:F85" ca="1" si="25">N22*BSDelta(L22,1/S22,1/O22,Q22,X22,Y22,T22)</f>
        <v>1871.3425903808038</v>
      </c>
      <c r="G22" s="408">
        <f t="shared" ca="1" si="4"/>
        <v>0</v>
      </c>
      <c r="H22" s="408">
        <f t="shared" ca="1" si="5"/>
        <v>0</v>
      </c>
      <c r="I22" s="311">
        <f t="shared" ref="I22:I85" ca="1" si="26">N22*BSDailyRhoUSD(L22,1/S22,1/O22,Q22,X22,Y22,T22)*1000000</f>
        <v>9702.0919461624744</v>
      </c>
      <c r="J22" s="311">
        <f t="shared" ca="1" si="12"/>
        <v>-9922.678812286711</v>
      </c>
      <c r="K22" s="312">
        <f ca="1">N22*BSDailyTheta(L22,1/S22,1/O22,Q22,X22,Y22,T22)*1000000</f>
        <v>22553.541835322379</v>
      </c>
      <c r="L22" s="313" t="str">
        <f t="shared" ca="1" si="6"/>
        <v>F</v>
      </c>
      <c r="M22" s="314">
        <f t="shared" ca="1" si="6"/>
        <v>102</v>
      </c>
      <c r="N22" s="314">
        <f t="shared" ca="1" si="6"/>
        <v>2061.9299999999998</v>
      </c>
      <c r="O22" s="470">
        <f t="shared" ca="1" si="6"/>
        <v>20.215</v>
      </c>
      <c r="P22" s="315">
        <f t="shared" ca="1" si="6"/>
        <v>45339</v>
      </c>
      <c r="Q22" s="481">
        <f ca="1">(P22-$H$2)</f>
        <v>354</v>
      </c>
      <c r="R22" s="303">
        <f t="shared" ca="1" si="14"/>
        <v>18.29</v>
      </c>
      <c r="S22" s="304">
        <f t="shared" ca="1" si="15"/>
        <v>19.765608904793204</v>
      </c>
      <c r="T22" s="342">
        <v>0</v>
      </c>
      <c r="U22" s="342">
        <v>9.1899999999999996E-2</v>
      </c>
      <c r="V22" s="342">
        <v>9.1899999999999996E-2</v>
      </c>
      <c r="W22" s="342">
        <v>9.1899999999999996E-2</v>
      </c>
      <c r="X22" s="305">
        <f t="shared" si="7"/>
        <v>0.02</v>
      </c>
      <c r="Y22" s="306">
        <f t="shared" ref="Y22:Y85" si="27">Y21</f>
        <v>0.1</v>
      </c>
      <c r="AA22" s="391">
        <f t="shared" ca="1" si="16"/>
        <v>1616815.8132143801</v>
      </c>
      <c r="AB22" s="400">
        <f t="shared" ca="1" si="8"/>
        <v>1867.7571533692915</v>
      </c>
      <c r="AC22" s="258">
        <f t="shared" ca="1" si="8"/>
        <v>0</v>
      </c>
      <c r="AD22" s="258">
        <f t="shared" ca="1" si="8"/>
        <v>0</v>
      </c>
      <c r="AE22" s="402">
        <f t="shared" ca="1" si="8"/>
        <v>9890.1375297239611</v>
      </c>
      <c r="AF22" s="402">
        <f t="shared" ca="1" si="8"/>
        <v>-10050.039350499188</v>
      </c>
      <c r="AG22" s="404">
        <f t="shared" ca="1" si="17"/>
        <v>500038.80118833011</v>
      </c>
      <c r="AH22" s="415">
        <f t="shared" ca="1" si="18"/>
        <v>0</v>
      </c>
      <c r="AI22" s="415">
        <f t="shared" ca="1" si="19"/>
        <v>0</v>
      </c>
      <c r="AJ22" s="416">
        <f t="shared" ca="1" si="20"/>
        <v>0</v>
      </c>
      <c r="AK22" s="416">
        <f t="shared" ca="1" si="21"/>
        <v>0</v>
      </c>
      <c r="AL22" s="417">
        <f t="shared" ca="1" si="22"/>
        <v>157874.79284725664</v>
      </c>
      <c r="AM22" s="269">
        <f ca="1">SUM(AG22:AL22)</f>
        <v>657913.59403558681</v>
      </c>
      <c r="AN22" s="422">
        <f t="shared" ca="1" si="23"/>
        <v>18.380000000000003</v>
      </c>
      <c r="AO22" s="423">
        <f t="shared" ca="1" si="9"/>
        <v>19.893367895471307</v>
      </c>
      <c r="AP22" s="271">
        <f t="shared" ca="1" si="9"/>
        <v>0</v>
      </c>
      <c r="AQ22" s="271">
        <f t="shared" ca="1" si="9"/>
        <v>9.1899999999999996E-2</v>
      </c>
      <c r="AR22" s="271">
        <f t="shared" ca="1" si="9"/>
        <v>9.1899999999999996E-2</v>
      </c>
      <c r="AS22" s="271">
        <f t="shared" ca="1" si="9"/>
        <v>9.1899999999999996E-2</v>
      </c>
      <c r="AT22" s="271">
        <f t="shared" ca="1" si="9"/>
        <v>0.02</v>
      </c>
      <c r="AU22" s="278">
        <f t="shared" ca="1" si="9"/>
        <v>0.1</v>
      </c>
    </row>
    <row r="23" spans="2:47" ht="13.15" thickBot="1" x14ac:dyDescent="0.4">
      <c r="B23" s="471">
        <f t="shared" si="24"/>
        <v>4</v>
      </c>
      <c r="C23" s="472">
        <f t="shared" ca="1" si="10"/>
        <v>-36453.333913248389</v>
      </c>
      <c r="D23" s="472">
        <f t="shared" ca="1" si="2"/>
        <v>-36445.345235839486</v>
      </c>
      <c r="E23" s="472">
        <f t="shared" ca="1" si="11"/>
        <v>-95036445.345235854</v>
      </c>
      <c r="F23" s="473">
        <f t="shared" ca="1" si="25"/>
        <v>0</v>
      </c>
      <c r="G23" s="474">
        <f t="shared" ca="1" si="4"/>
        <v>0</v>
      </c>
      <c r="H23" s="474">
        <f t="shared" ca="1" si="5"/>
        <v>0</v>
      </c>
      <c r="I23" s="475">
        <f t="shared" ca="1" si="26"/>
        <v>6118.784837296007</v>
      </c>
      <c r="J23" s="475">
        <f t="shared" ca="1" si="12"/>
        <v>0</v>
      </c>
      <c r="K23" s="476">
        <f t="shared" ref="K23:K86" ca="1" si="28">N23*BSDailyTheta(L23,1/S23,1/O23,Q23,X23,Y23,T23)*1000000</f>
        <v>-5207.6191304640552</v>
      </c>
      <c r="L23" s="477" t="str">
        <f ca="1">INDIRECT("'"&amp; $AB$16 &amp;"'!"&amp; ADDRESS(ROW(L23),COLUMN(L23),4))</f>
        <v>D</v>
      </c>
      <c r="M23" s="478">
        <f ca="1">INDIRECT("'"&amp; $AB$16 &amp;"'!"&amp; ADDRESS(ROW(M23),COLUMN(M23),4))</f>
        <v>-95</v>
      </c>
      <c r="N23" s="478">
        <f ca="1">INDIRECT("'"&amp; $AB$16 &amp;"'!"&amp; ADDRESS(ROW(N23),COLUMN(N23),4))</f>
        <v>-96.268115223525598</v>
      </c>
      <c r="O23" s="479">
        <v>1000000000000000</v>
      </c>
      <c r="P23" s="480">
        <v>45220</v>
      </c>
      <c r="Q23" s="482">
        <f t="shared" si="13"/>
        <v>235</v>
      </c>
      <c r="R23" s="107">
        <f t="shared" ca="1" si="14"/>
        <v>1</v>
      </c>
      <c r="S23" s="105">
        <f t="shared" ca="1" si="15"/>
        <v>1</v>
      </c>
      <c r="T23" s="341">
        <v>0</v>
      </c>
      <c r="U23" s="341">
        <v>9.4200000000000006E-2</v>
      </c>
      <c r="V23" s="341">
        <v>9.4200000000000006E-2</v>
      </c>
      <c r="W23" s="341">
        <v>9.4200000000000006E-2</v>
      </c>
      <c r="X23" s="281">
        <f t="shared" si="7"/>
        <v>0.02</v>
      </c>
      <c r="Y23" s="282">
        <f t="shared" si="27"/>
        <v>0.1</v>
      </c>
      <c r="AA23" s="391">
        <f t="shared" ca="1" si="16"/>
        <v>-95000000.000000015</v>
      </c>
      <c r="AB23" s="400">
        <f t="shared" ca="1" si="8"/>
        <v>0</v>
      </c>
      <c r="AC23" s="258">
        <f t="shared" ca="1" si="8"/>
        <v>0</v>
      </c>
      <c r="AD23" s="258">
        <f t="shared" ca="1" si="8"/>
        <v>0</v>
      </c>
      <c r="AE23" s="402">
        <f t="shared" ca="1" si="8"/>
        <v>6298.6301369863022</v>
      </c>
      <c r="AF23" s="402">
        <f t="shared" ca="1" si="8"/>
        <v>0</v>
      </c>
      <c r="AG23" s="404">
        <f t="shared" ca="1" si="17"/>
        <v>0</v>
      </c>
      <c r="AH23" s="415">
        <f t="shared" ca="1" si="18"/>
        <v>0</v>
      </c>
      <c r="AI23" s="415">
        <f t="shared" ca="1" si="19"/>
        <v>0</v>
      </c>
      <c r="AJ23" s="416">
        <f t="shared" ca="1" si="20"/>
        <v>0</v>
      </c>
      <c r="AK23" s="416">
        <f t="shared" ca="1" si="21"/>
        <v>0</v>
      </c>
      <c r="AL23" s="417">
        <f t="shared" ca="1" si="22"/>
        <v>-36453.333913248389</v>
      </c>
      <c r="AM23" s="269">
        <f t="shared" ref="AM23:AM28" ca="1" si="29">SUM(AG23:AL23)</f>
        <v>-36453.333913248389</v>
      </c>
      <c r="AN23" s="422">
        <f t="shared" ca="1" si="23"/>
        <v>1</v>
      </c>
      <c r="AO23" s="423">
        <f t="shared" ca="1" si="9"/>
        <v>1</v>
      </c>
      <c r="AP23" s="271">
        <f t="shared" ca="1" si="9"/>
        <v>0</v>
      </c>
      <c r="AQ23" s="271">
        <f t="shared" ca="1" si="9"/>
        <v>9.4200000000000006E-2</v>
      </c>
      <c r="AR23" s="271">
        <f t="shared" ca="1" si="9"/>
        <v>9.4200000000000006E-2</v>
      </c>
      <c r="AS23" s="271">
        <f t="shared" ca="1" si="9"/>
        <v>9.4200000000000006E-2</v>
      </c>
      <c r="AT23" s="271">
        <f t="shared" ca="1" si="9"/>
        <v>0.02</v>
      </c>
      <c r="AU23" s="278">
        <f t="shared" ca="1" si="9"/>
        <v>0.1</v>
      </c>
    </row>
    <row r="24" spans="2:47" ht="13.15" thickBot="1" x14ac:dyDescent="0.4">
      <c r="B24" s="317">
        <f t="shared" si="24"/>
        <v>5</v>
      </c>
      <c r="C24" s="92">
        <f t="shared" ca="1" si="10"/>
        <v>647391.92280349089</v>
      </c>
      <c r="D24" s="92">
        <f t="shared" ca="1" si="2"/>
        <v>647192.09617130458</v>
      </c>
      <c r="E24" s="92">
        <f t="shared" ca="1" si="11"/>
        <v>95130325.937301114</v>
      </c>
      <c r="F24" s="134">
        <f t="shared" ca="1" si="25"/>
        <v>1739.9336613932705</v>
      </c>
      <c r="G24" s="407">
        <f t="shared" ca="1" si="4"/>
        <v>0</v>
      </c>
      <c r="H24" s="407">
        <f t="shared" ca="1" si="5"/>
        <v>0</v>
      </c>
      <c r="I24" s="276">
        <f t="shared" ca="1" si="26"/>
        <v>0</v>
      </c>
      <c r="J24" s="276">
        <f t="shared" ca="1" si="12"/>
        <v>-6124.6320392605858</v>
      </c>
      <c r="K24" s="136">
        <f t="shared" ca="1" si="28"/>
        <v>26066.673610667414</v>
      </c>
      <c r="L24" s="72" t="str">
        <f t="shared" ca="1" si="6"/>
        <v>F</v>
      </c>
      <c r="M24" s="89">
        <f t="shared" ca="1" si="6"/>
        <v>1736.6000000000001</v>
      </c>
      <c r="N24" s="89">
        <f t="shared" ca="1" si="6"/>
        <v>1855.6416672457804</v>
      </c>
      <c r="O24" s="429">
        <v>1000000000000000</v>
      </c>
      <c r="P24" s="308">
        <v>45220</v>
      </c>
      <c r="Q24" s="483">
        <f t="shared" si="13"/>
        <v>235</v>
      </c>
      <c r="R24" s="107">
        <f t="shared" ca="1" si="14"/>
        <v>18.29</v>
      </c>
      <c r="S24" s="105">
        <f t="shared" ca="1" si="15"/>
        <v>19.256743512334932</v>
      </c>
      <c r="T24" s="341">
        <v>0</v>
      </c>
      <c r="U24" s="341">
        <v>9.9699999999999997E-2</v>
      </c>
      <c r="V24" s="341">
        <v>9.9699999999999997E-2</v>
      </c>
      <c r="W24" s="341">
        <v>9.9699999999999997E-2</v>
      </c>
      <c r="X24" s="281">
        <f t="shared" si="7"/>
        <v>0.02</v>
      </c>
      <c r="Y24" s="282">
        <f t="shared" si="27"/>
        <v>0.1</v>
      </c>
      <c r="AA24" s="391">
        <f t="shared" ca="1" si="16"/>
        <v>94483133.84112981</v>
      </c>
      <c r="AB24" s="400">
        <f t="shared" ca="1" si="8"/>
        <v>1736.6</v>
      </c>
      <c r="AC24" s="258">
        <f t="shared" ca="1" si="8"/>
        <v>0</v>
      </c>
      <c r="AD24" s="258">
        <f t="shared" ca="1" si="8"/>
        <v>0</v>
      </c>
      <c r="AE24" s="402">
        <f t="shared" ca="1" si="8"/>
        <v>-1.2876100652687992E-8</v>
      </c>
      <c r="AF24" s="402">
        <f t="shared" ca="1" si="8"/>
        <v>-6264.1535393533422</v>
      </c>
      <c r="AG24" s="404">
        <f t="shared" ca="1" si="17"/>
        <v>464925.20752881898</v>
      </c>
      <c r="AH24" s="415">
        <f t="shared" ca="1" si="18"/>
        <v>0</v>
      </c>
      <c r="AI24" s="415">
        <f t="shared" ca="1" si="19"/>
        <v>0</v>
      </c>
      <c r="AJ24" s="416">
        <f t="shared" ca="1" si="20"/>
        <v>0</v>
      </c>
      <c r="AK24" s="416">
        <f t="shared" ca="1" si="21"/>
        <v>0</v>
      </c>
      <c r="AL24" s="417">
        <f t="shared" ca="1" si="22"/>
        <v>182466.71527467191</v>
      </c>
      <c r="AM24" s="269">
        <f t="shared" ca="1" si="29"/>
        <v>647391.92280349089</v>
      </c>
      <c r="AN24" s="422">
        <f t="shared" ca="1" si="23"/>
        <v>18.380000000000003</v>
      </c>
      <c r="AO24" s="423">
        <f t="shared" ca="1" si="9"/>
        <v>19.381213349147622</v>
      </c>
      <c r="AP24" s="271">
        <f t="shared" ca="1" si="9"/>
        <v>0</v>
      </c>
      <c r="AQ24" s="271">
        <f t="shared" ca="1" si="9"/>
        <v>9.9699999999999997E-2</v>
      </c>
      <c r="AR24" s="271">
        <f t="shared" ca="1" si="9"/>
        <v>9.9699999999999997E-2</v>
      </c>
      <c r="AS24" s="271">
        <f t="shared" ca="1" si="9"/>
        <v>9.9699999999999997E-2</v>
      </c>
      <c r="AT24" s="271">
        <f t="shared" ca="1" si="9"/>
        <v>0.02</v>
      </c>
      <c r="AU24" s="278">
        <f t="shared" ca="1" si="9"/>
        <v>0.1</v>
      </c>
    </row>
    <row r="25" spans="2:47" ht="13.15" thickBot="1" x14ac:dyDescent="0.4">
      <c r="B25" s="317">
        <f t="shared" si="24"/>
        <v>6</v>
      </c>
      <c r="C25" s="92">
        <f t="shared" ca="1" si="10"/>
        <v>-609211.41404887021</v>
      </c>
      <c r="D25" s="459">
        <f t="shared" ca="1" si="2"/>
        <v>-609020.1182990442</v>
      </c>
      <c r="E25" s="459">
        <f t="shared" ca="1" si="11"/>
        <v>-89849.017005575399</v>
      </c>
      <c r="F25" s="460">
        <f t="shared" ca="1" si="25"/>
        <v>-1735.0188368106278</v>
      </c>
      <c r="G25" s="407">
        <f t="shared" ca="1" si="4"/>
        <v>0</v>
      </c>
      <c r="H25" s="407">
        <f t="shared" ca="1" si="5"/>
        <v>0</v>
      </c>
      <c r="I25" s="442">
        <f t="shared" ca="1" si="26"/>
        <v>-6101.5470580576211</v>
      </c>
      <c r="J25" s="442">
        <f t="shared" ca="1" si="12"/>
        <v>6107.3316715613619</v>
      </c>
      <c r="K25" s="136">
        <f t="shared" ca="1" si="28"/>
        <v>-20799.927118663971</v>
      </c>
      <c r="L25" s="463" t="str">
        <f t="shared" ca="1" si="6"/>
        <v>F</v>
      </c>
      <c r="M25" s="445">
        <f t="shared" ca="1" si="6"/>
        <v>-96</v>
      </c>
      <c r="N25" s="89">
        <f t="shared" ca="1" si="6"/>
        <v>-1850.3999999999999</v>
      </c>
      <c r="O25" s="428">
        <f ca="1">INDIRECT("'"&amp; $AB$16 &amp;"'!"&amp; ADDRESS(ROW(O25),COLUMN(O25),4))</f>
        <v>19.274999999999999</v>
      </c>
      <c r="P25" s="308">
        <v>45220</v>
      </c>
      <c r="Q25" s="73">
        <f t="shared" si="13"/>
        <v>235</v>
      </c>
      <c r="R25" s="450">
        <f t="shared" ca="1" si="14"/>
        <v>18.29</v>
      </c>
      <c r="S25" s="451">
        <f ca="1">IF(L25="D",1,R25*EXP(-($I$10-$I$11)*Q25/365))</f>
        <v>19.256743512334932</v>
      </c>
      <c r="T25" s="452">
        <v>0</v>
      </c>
      <c r="U25" s="452">
        <v>0.11219999999999999</v>
      </c>
      <c r="V25" s="452">
        <v>0.11219999999999999</v>
      </c>
      <c r="W25" s="452">
        <v>0.11219999999999999</v>
      </c>
      <c r="X25" s="454">
        <f t="shared" si="7"/>
        <v>0.02</v>
      </c>
      <c r="Y25" s="466">
        <f t="shared" si="27"/>
        <v>0.1</v>
      </c>
      <c r="AA25" s="391">
        <f t="shared" ca="1" si="16"/>
        <v>519171.10129346879</v>
      </c>
      <c r="AB25" s="400">
        <f t="shared" ca="1" si="8"/>
        <v>-1731.6945920757787</v>
      </c>
      <c r="AC25" s="258">
        <f t="shared" ca="1" si="8"/>
        <v>0</v>
      </c>
      <c r="AD25" s="258">
        <f t="shared" ca="1" si="8"/>
        <v>0</v>
      </c>
      <c r="AE25" s="402">
        <f t="shared" ca="1" si="8"/>
        <v>-6280.8796766673604</v>
      </c>
      <c r="AF25" s="402">
        <f t="shared" ca="1" si="8"/>
        <v>6246.4590625437413</v>
      </c>
      <c r="AG25" s="404">
        <f t="shared" ca="1" si="17"/>
        <v>-463611.92421822238</v>
      </c>
      <c r="AH25" s="415">
        <f t="shared" ca="1" si="18"/>
        <v>0</v>
      </c>
      <c r="AI25" s="415">
        <f t="shared" ca="1" si="19"/>
        <v>0</v>
      </c>
      <c r="AJ25" s="416">
        <f t="shared" ca="1" si="20"/>
        <v>0</v>
      </c>
      <c r="AK25" s="416">
        <f t="shared" ca="1" si="21"/>
        <v>0</v>
      </c>
      <c r="AL25" s="417">
        <f t="shared" ca="1" si="22"/>
        <v>-145599.4898306478</v>
      </c>
      <c r="AM25" s="269">
        <f t="shared" ca="1" si="29"/>
        <v>-609211.41404887021</v>
      </c>
      <c r="AN25" s="422">
        <f t="shared" ca="1" si="23"/>
        <v>18.380000000000003</v>
      </c>
      <c r="AO25" s="423">
        <f t="shared" ca="1" si="9"/>
        <v>19.381213349147622</v>
      </c>
      <c r="AP25" s="271">
        <f t="shared" ca="1" si="9"/>
        <v>0</v>
      </c>
      <c r="AQ25" s="271">
        <f t="shared" ca="1" si="9"/>
        <v>0.11219999999999999</v>
      </c>
      <c r="AR25" s="271">
        <f t="shared" ca="1" si="9"/>
        <v>0.11219999999999999</v>
      </c>
      <c r="AS25" s="271">
        <f t="shared" ca="1" si="9"/>
        <v>0.11219999999999999</v>
      </c>
      <c r="AT25" s="271">
        <f t="shared" ca="1" si="9"/>
        <v>0.02</v>
      </c>
      <c r="AU25" s="278">
        <f t="shared" ca="1" si="9"/>
        <v>0.1</v>
      </c>
    </row>
    <row r="26" spans="2:47" ht="13.15" thickBot="1" x14ac:dyDescent="0.4">
      <c r="B26" s="457">
        <f t="shared" si="24"/>
        <v>7</v>
      </c>
      <c r="C26" s="458">
        <f t="shared" ca="1" si="10"/>
        <v>0</v>
      </c>
      <c r="D26" s="92">
        <f t="shared" ca="1" si="2"/>
        <v>9999999.9999999981</v>
      </c>
      <c r="E26" s="92">
        <f t="shared" si="11"/>
        <v>9999999.9999999981</v>
      </c>
      <c r="F26" s="134">
        <f t="shared" si="25"/>
        <v>0</v>
      </c>
      <c r="G26" s="461">
        <f t="shared" si="4"/>
        <v>0</v>
      </c>
      <c r="H26" s="461">
        <f t="shared" si="5"/>
        <v>0</v>
      </c>
      <c r="I26" s="276">
        <f t="shared" si="26"/>
        <v>-161.64383561643834</v>
      </c>
      <c r="J26" s="276">
        <f t="shared" si="12"/>
        <v>0</v>
      </c>
      <c r="K26" s="462">
        <f t="shared" si="28"/>
        <v>547.96021795168269</v>
      </c>
      <c r="L26" s="72" t="s">
        <v>139</v>
      </c>
      <c r="M26" s="464">
        <f>10</f>
        <v>10</v>
      </c>
      <c r="N26" s="464">
        <f>M26*EXP(I10*Q26/365)</f>
        <v>10.03238108094199</v>
      </c>
      <c r="O26" s="465">
        <v>1000000000000000</v>
      </c>
      <c r="P26" s="308">
        <v>45044</v>
      </c>
      <c r="Q26" s="457">
        <f t="shared" si="13"/>
        <v>59</v>
      </c>
      <c r="R26" s="107">
        <f t="shared" si="14"/>
        <v>1</v>
      </c>
      <c r="S26" s="105">
        <f t="shared" si="15"/>
        <v>1</v>
      </c>
      <c r="T26" s="341">
        <v>0</v>
      </c>
      <c r="U26" s="341">
        <v>0.1036</v>
      </c>
      <c r="V26" s="341">
        <v>0.1036</v>
      </c>
      <c r="W26" s="341">
        <v>0.1036</v>
      </c>
      <c r="X26" s="281">
        <f t="shared" si="7"/>
        <v>0.02</v>
      </c>
      <c r="Y26" s="282">
        <f t="shared" si="27"/>
        <v>0.1</v>
      </c>
      <c r="AA26" s="391">
        <f t="shared" ca="1" si="16"/>
        <v>0</v>
      </c>
      <c r="AB26" s="400">
        <f t="shared" ca="1" si="8"/>
        <v>0</v>
      </c>
      <c r="AC26" s="258">
        <f t="shared" ca="1" si="8"/>
        <v>0</v>
      </c>
      <c r="AD26" s="258">
        <f t="shared" ca="1" si="8"/>
        <v>0</v>
      </c>
      <c r="AE26" s="402">
        <f t="shared" ca="1" si="8"/>
        <v>0</v>
      </c>
      <c r="AF26" s="402">
        <f t="shared" ca="1" si="8"/>
        <v>0</v>
      </c>
      <c r="AG26" s="404">
        <f t="shared" ca="1" si="17"/>
        <v>0</v>
      </c>
      <c r="AH26" s="415">
        <f t="shared" ca="1" si="18"/>
        <v>0</v>
      </c>
      <c r="AI26" s="415">
        <f t="shared" ca="1" si="19"/>
        <v>0</v>
      </c>
      <c r="AJ26" s="416">
        <f t="shared" ca="1" si="20"/>
        <v>0</v>
      </c>
      <c r="AK26" s="416">
        <f t="shared" ca="1" si="21"/>
        <v>0</v>
      </c>
      <c r="AL26" s="508">
        <v>0</v>
      </c>
      <c r="AM26" s="435">
        <f t="shared" ca="1" si="29"/>
        <v>0</v>
      </c>
      <c r="AN26" s="422">
        <f t="shared" ca="1" si="23"/>
        <v>18.380000000000003</v>
      </c>
      <c r="AO26" s="423">
        <f t="shared" ca="1" si="9"/>
        <v>25893685.458928723</v>
      </c>
      <c r="AP26" s="271">
        <f t="shared" ca="1" si="9"/>
        <v>0</v>
      </c>
      <c r="AQ26" s="271">
        <f t="shared" ca="1" si="9"/>
        <v>0.1036</v>
      </c>
      <c r="AR26" s="271">
        <f t="shared" ca="1" si="9"/>
        <v>0.1036</v>
      </c>
      <c r="AS26" s="271">
        <f t="shared" ca="1" si="9"/>
        <v>0.1036</v>
      </c>
      <c r="AT26" s="271">
        <f t="shared" ca="1" si="9"/>
        <v>0.02</v>
      </c>
      <c r="AU26" s="278">
        <f t="shared" ca="1" si="9"/>
        <v>0.1</v>
      </c>
    </row>
    <row r="27" spans="2:47" ht="13.15" thickBot="1" x14ac:dyDescent="0.4">
      <c r="B27" s="317">
        <f t="shared" si="24"/>
        <v>8</v>
      </c>
      <c r="C27" s="92">
        <f t="shared" ca="1" si="10"/>
        <v>0</v>
      </c>
      <c r="D27" s="92">
        <f t="shared" ca="1" si="2"/>
        <v>-9972662.6571895368</v>
      </c>
      <c r="E27" s="92">
        <f t="shared" ca="1" si="11"/>
        <v>-9972662.6571895368</v>
      </c>
      <c r="F27" s="134">
        <f t="shared" ca="1" si="25"/>
        <v>-182.39999999999998</v>
      </c>
      <c r="G27" s="407">
        <f t="shared" ca="1" si="4"/>
        <v>0</v>
      </c>
      <c r="H27" s="407">
        <f t="shared" ca="1" si="5"/>
        <v>0</v>
      </c>
      <c r="I27" s="276">
        <f t="shared" ca="1" si="26"/>
        <v>0</v>
      </c>
      <c r="J27" s="276">
        <f t="shared" ca="1" si="12"/>
        <v>161.2006414650036</v>
      </c>
      <c r="K27" s="136">
        <f t="shared" ca="1" si="28"/>
        <v>-2732.6106575707327</v>
      </c>
      <c r="L27" s="72" t="str">
        <f t="shared" ca="1" si="6"/>
        <v>F</v>
      </c>
      <c r="M27" s="89">
        <f>-M26*G6</f>
        <v>-182.39999999999998</v>
      </c>
      <c r="N27" s="89">
        <f>M27*EXP(I11*Q27/365)</f>
        <v>-185.37234187943574</v>
      </c>
      <c r="O27" s="425">
        <v>1000000000000000</v>
      </c>
      <c r="P27" s="308">
        <v>45044</v>
      </c>
      <c r="Q27" s="73">
        <f t="shared" si="13"/>
        <v>59</v>
      </c>
      <c r="R27" s="107">
        <f t="shared" ca="1" si="14"/>
        <v>18.29</v>
      </c>
      <c r="S27" s="105">
        <f t="shared" ca="1" si="15"/>
        <v>18.528053135814151</v>
      </c>
      <c r="T27" s="341">
        <v>0</v>
      </c>
      <c r="U27" s="341">
        <v>8.5699999999999998E-2</v>
      </c>
      <c r="V27" s="341">
        <v>8.5699999999999998E-2</v>
      </c>
      <c r="W27" s="341">
        <v>8.5699999999999998E-2</v>
      </c>
      <c r="X27" s="281">
        <f t="shared" si="7"/>
        <v>0.02</v>
      </c>
      <c r="Y27" s="282">
        <f t="shared" si="27"/>
        <v>0.1</v>
      </c>
      <c r="AA27" s="391">
        <f t="shared" ca="1" si="16"/>
        <v>0</v>
      </c>
      <c r="AB27" s="400">
        <f t="shared" ca="1" si="8"/>
        <v>0</v>
      </c>
      <c r="AC27" s="258">
        <f t="shared" ca="1" si="8"/>
        <v>0</v>
      </c>
      <c r="AD27" s="258">
        <f t="shared" ca="1" si="8"/>
        <v>0</v>
      </c>
      <c r="AE27" s="402">
        <f t="shared" ca="1" si="8"/>
        <v>0</v>
      </c>
      <c r="AF27" s="402">
        <f t="shared" ca="1" si="8"/>
        <v>0</v>
      </c>
      <c r="AG27" s="404">
        <f t="shared" ca="1" si="17"/>
        <v>0</v>
      </c>
      <c r="AH27" s="415">
        <f t="shared" ca="1" si="18"/>
        <v>0</v>
      </c>
      <c r="AI27" s="415">
        <f t="shared" ca="1" si="19"/>
        <v>0</v>
      </c>
      <c r="AJ27" s="416">
        <f t="shared" ca="1" si="20"/>
        <v>0</v>
      </c>
      <c r="AK27" s="416">
        <f t="shared" ca="1" si="21"/>
        <v>0</v>
      </c>
      <c r="AL27" s="417">
        <v>0</v>
      </c>
      <c r="AM27" s="269">
        <f t="shared" ca="1" si="29"/>
        <v>0</v>
      </c>
      <c r="AN27" s="422">
        <f t="shared" ca="1" si="23"/>
        <v>18.380000000000003</v>
      </c>
      <c r="AO27" s="423">
        <f t="shared" ca="1" si="9"/>
        <v>25893685.458928723</v>
      </c>
      <c r="AP27" s="271">
        <f t="shared" ca="1" si="9"/>
        <v>0</v>
      </c>
      <c r="AQ27" s="271">
        <f t="shared" ca="1" si="9"/>
        <v>8.5699999999999998E-2</v>
      </c>
      <c r="AR27" s="271">
        <f t="shared" ca="1" si="9"/>
        <v>8.5699999999999998E-2</v>
      </c>
      <c r="AS27" s="271">
        <f t="shared" ca="1" si="9"/>
        <v>8.5699999999999998E-2</v>
      </c>
      <c r="AT27" s="271">
        <f t="shared" ca="1" si="9"/>
        <v>0.02</v>
      </c>
      <c r="AU27" s="278">
        <f t="shared" ca="1" si="9"/>
        <v>0.1</v>
      </c>
    </row>
    <row r="28" spans="2:47" ht="13.15" thickBot="1" x14ac:dyDescent="0.4">
      <c r="B28" s="144">
        <f t="shared" si="24"/>
        <v>9</v>
      </c>
      <c r="C28" s="92">
        <f ca="1">AM28</f>
        <v>0</v>
      </c>
      <c r="D28" s="92">
        <f t="shared" ca="1" si="2"/>
        <v>457195.78834753</v>
      </c>
      <c r="E28" s="92">
        <f>N28*BSPrice(L28,1/S28,1/O28,Q28,X28,Y28,T28)*1000000</f>
        <v>457195.78834753</v>
      </c>
      <c r="F28" s="134">
        <f t="shared" si="25"/>
        <v>204.72168325444878</v>
      </c>
      <c r="G28" s="407">
        <f t="shared" si="4"/>
        <v>55973.815443953703</v>
      </c>
      <c r="H28" s="407">
        <f t="shared" si="5"/>
        <v>35159.954139504676</v>
      </c>
      <c r="I28" s="276">
        <f t="shared" si="26"/>
        <v>173.55962830051726</v>
      </c>
      <c r="J28" s="276">
        <f t="shared" si="12"/>
        <v>-180.90613744912443</v>
      </c>
      <c r="K28" s="136">
        <f t="shared" si="28"/>
        <v>-1408.0730146751621</v>
      </c>
      <c r="L28" s="72" t="s">
        <v>1</v>
      </c>
      <c r="M28" s="89">
        <v>22</v>
      </c>
      <c r="N28" s="89">
        <f>M28*O28</f>
        <v>407.61716898791241</v>
      </c>
      <c r="O28" s="425">
        <v>18.528053135814201</v>
      </c>
      <c r="P28" s="308">
        <v>45044</v>
      </c>
      <c r="Q28" s="456">
        <f t="shared" si="13"/>
        <v>59</v>
      </c>
      <c r="R28" s="107">
        <f>IF(L28="D",1,$I$6)</f>
        <v>18.29</v>
      </c>
      <c r="S28" s="105">
        <f t="shared" si="15"/>
        <v>18.528053135814151</v>
      </c>
      <c r="T28" s="484">
        <v>0.13</v>
      </c>
      <c r="U28" s="341">
        <v>0.1099</v>
      </c>
      <c r="V28" s="341">
        <v>0.1099</v>
      </c>
      <c r="W28" s="341">
        <v>0.1099</v>
      </c>
      <c r="X28" s="281">
        <f t="shared" si="7"/>
        <v>0.02</v>
      </c>
      <c r="Y28" s="282">
        <f t="shared" si="27"/>
        <v>0.1</v>
      </c>
      <c r="AA28" s="391">
        <f t="shared" ca="1" si="16"/>
        <v>0</v>
      </c>
      <c r="AB28" s="400">
        <f t="shared" ca="1" si="8"/>
        <v>0</v>
      </c>
      <c r="AC28" s="258">
        <f t="shared" ca="1" si="8"/>
        <v>0</v>
      </c>
      <c r="AD28" s="258">
        <f t="shared" ca="1" si="8"/>
        <v>0</v>
      </c>
      <c r="AE28" s="402">
        <f t="shared" ca="1" si="8"/>
        <v>0</v>
      </c>
      <c r="AF28" s="402">
        <f t="shared" ca="1" si="8"/>
        <v>0</v>
      </c>
      <c r="AG28" s="404">
        <f t="shared" ca="1" si="17"/>
        <v>0</v>
      </c>
      <c r="AH28" s="415">
        <f t="shared" ca="1" si="18"/>
        <v>0</v>
      </c>
      <c r="AI28" s="415">
        <f t="shared" ca="1" si="19"/>
        <v>0</v>
      </c>
      <c r="AJ28" s="416">
        <f t="shared" ca="1" si="20"/>
        <v>0</v>
      </c>
      <c r="AK28" s="416">
        <f t="shared" ca="1" si="21"/>
        <v>0</v>
      </c>
      <c r="AL28" s="417">
        <v>0</v>
      </c>
      <c r="AM28" s="269">
        <f t="shared" ca="1" si="29"/>
        <v>0</v>
      </c>
      <c r="AN28" s="422">
        <f t="shared" ca="1" si="23"/>
        <v>18.380000000000003</v>
      </c>
      <c r="AO28" s="423">
        <f t="shared" ca="1" si="9"/>
        <v>25893685.458928723</v>
      </c>
      <c r="AP28" s="271">
        <f t="shared" ca="1" si="9"/>
        <v>0</v>
      </c>
      <c r="AQ28" s="271">
        <f t="shared" ca="1" si="9"/>
        <v>0.1099</v>
      </c>
      <c r="AR28" s="271">
        <f t="shared" ca="1" si="9"/>
        <v>0.1099</v>
      </c>
      <c r="AS28" s="271">
        <f t="shared" ca="1" si="9"/>
        <v>0.1099</v>
      </c>
      <c r="AT28" s="271">
        <f t="shared" ca="1" si="9"/>
        <v>0.02</v>
      </c>
      <c r="AU28" s="278">
        <f t="shared" ca="1" si="9"/>
        <v>0.1</v>
      </c>
    </row>
    <row r="29" spans="2:47" ht="13.15" thickBot="1" x14ac:dyDescent="0.4">
      <c r="B29" s="144">
        <f>B28+1</f>
        <v>10</v>
      </c>
      <c r="C29" s="92">
        <f t="shared" ca="1" si="10"/>
        <v>0</v>
      </c>
      <c r="D29" s="92">
        <f t="shared" ca="1" si="2"/>
        <v>-119980604.30736533</v>
      </c>
      <c r="E29" s="92">
        <f t="shared" si="11"/>
        <v>-119980604.30736533</v>
      </c>
      <c r="F29" s="134">
        <f t="shared" si="25"/>
        <v>0</v>
      </c>
      <c r="G29" s="407">
        <f t="shared" si="4"/>
        <v>0</v>
      </c>
      <c r="H29" s="407">
        <f t="shared" si="5"/>
        <v>0</v>
      </c>
      <c r="I29" s="276">
        <f t="shared" si="26"/>
        <v>1939.4125079820699</v>
      </c>
      <c r="J29" s="276">
        <f t="shared" si="12"/>
        <v>0</v>
      </c>
      <c r="K29" s="136">
        <f t="shared" si="28"/>
        <v>-6574.4598086238502</v>
      </c>
      <c r="L29" s="72" t="s">
        <v>139</v>
      </c>
      <c r="M29" s="89">
        <f>-120</f>
        <v>-120</v>
      </c>
      <c r="N29" s="89">
        <f>M29*EXP(G10*Q29/365)</f>
        <v>-120.36911447331991</v>
      </c>
      <c r="O29" s="429">
        <v>1000000000000000</v>
      </c>
      <c r="P29" s="308">
        <v>45044</v>
      </c>
      <c r="Q29" s="144">
        <f t="shared" si="13"/>
        <v>59</v>
      </c>
      <c r="R29" s="107">
        <f t="shared" si="14"/>
        <v>1</v>
      </c>
      <c r="S29" s="105">
        <f t="shared" si="15"/>
        <v>1</v>
      </c>
      <c r="T29" s="341">
        <v>0</v>
      </c>
      <c r="U29" s="341">
        <v>0.11849999999999999</v>
      </c>
      <c r="V29" s="341">
        <v>0.11849999999999999</v>
      </c>
      <c r="W29" s="341">
        <v>0.11849999999999999</v>
      </c>
      <c r="X29" s="281">
        <f t="shared" si="7"/>
        <v>0.02</v>
      </c>
      <c r="Y29" s="282">
        <f t="shared" si="27"/>
        <v>0.1</v>
      </c>
      <c r="AA29" s="391">
        <f t="shared" ca="1" si="16"/>
        <v>0</v>
      </c>
      <c r="AB29" s="400">
        <f t="shared" ca="1" si="8"/>
        <v>0</v>
      </c>
      <c r="AC29" s="258">
        <f t="shared" ca="1" si="8"/>
        <v>0</v>
      </c>
      <c r="AD29" s="258">
        <f t="shared" ca="1" si="8"/>
        <v>0</v>
      </c>
      <c r="AE29" s="402">
        <f t="shared" ca="1" si="8"/>
        <v>0</v>
      </c>
      <c r="AF29" s="402">
        <f t="shared" ca="1" si="8"/>
        <v>0</v>
      </c>
      <c r="AG29" s="404">
        <f t="shared" ca="1" si="17"/>
        <v>0</v>
      </c>
      <c r="AH29" s="415">
        <f t="shared" ca="1" si="18"/>
        <v>0</v>
      </c>
      <c r="AI29" s="415">
        <f t="shared" ca="1" si="19"/>
        <v>0</v>
      </c>
      <c r="AJ29" s="416">
        <f t="shared" ca="1" si="20"/>
        <v>0</v>
      </c>
      <c r="AK29" s="416">
        <f t="shared" ca="1" si="21"/>
        <v>0</v>
      </c>
      <c r="AL29" s="417">
        <v>0</v>
      </c>
      <c r="AM29" s="269">
        <f t="shared" ref="AM29" ca="1" si="30">SUM(AG29:AL29)</f>
        <v>0</v>
      </c>
      <c r="AN29" s="422">
        <f t="shared" ca="1" si="23"/>
        <v>18.380000000000003</v>
      </c>
      <c r="AO29" s="423">
        <f t="shared" ca="1" si="9"/>
        <v>25893685.458928723</v>
      </c>
      <c r="AP29" s="271">
        <f t="shared" ca="1" si="9"/>
        <v>0</v>
      </c>
      <c r="AQ29" s="271">
        <f t="shared" ca="1" si="9"/>
        <v>0.11849999999999999</v>
      </c>
      <c r="AR29" s="271">
        <f t="shared" ca="1" si="9"/>
        <v>0.11849999999999999</v>
      </c>
      <c r="AS29" s="271">
        <f t="shared" ca="1" si="9"/>
        <v>0.11849999999999999</v>
      </c>
      <c r="AT29" s="271">
        <f t="shared" ca="1" si="9"/>
        <v>0.02</v>
      </c>
      <c r="AU29" s="278">
        <f t="shared" ca="1" si="9"/>
        <v>0.1</v>
      </c>
    </row>
    <row r="30" spans="2:47" ht="13.15" thickBot="1" x14ac:dyDescent="0.4">
      <c r="B30" s="144">
        <f t="shared" ref="B30:B93" si="31">B29+1</f>
        <v>11</v>
      </c>
      <c r="C30" s="92">
        <f t="shared" ca="1" si="10"/>
        <v>0</v>
      </c>
      <c r="D30" s="92">
        <f t="shared" ca="1" si="2"/>
        <v>119671951.88627444</v>
      </c>
      <c r="E30" s="92">
        <f t="shared" ca="1" si="11"/>
        <v>119671951.88627444</v>
      </c>
      <c r="F30" s="134">
        <f t="shared" ca="1" si="25"/>
        <v>2188.8000000000002</v>
      </c>
      <c r="G30" s="407">
        <f t="shared" ca="1" si="4"/>
        <v>0</v>
      </c>
      <c r="H30" s="407">
        <f t="shared" ca="1" si="5"/>
        <v>0</v>
      </c>
      <c r="I30" s="276">
        <f t="shared" ca="1" si="26"/>
        <v>0</v>
      </c>
      <c r="J30" s="276">
        <f t="shared" ca="1" si="12"/>
        <v>-1934.4076975800433</v>
      </c>
      <c r="K30" s="136">
        <f t="shared" ca="1" si="28"/>
        <v>32791.327890848792</v>
      </c>
      <c r="L30" s="72" t="str">
        <f t="shared" ca="1" si="6"/>
        <v>F</v>
      </c>
      <c r="M30" s="89">
        <f>-M29*G6</f>
        <v>2188.7999999999997</v>
      </c>
      <c r="N30" s="89">
        <f>M30*EXP(I11*Q30/365)</f>
        <v>2224.4681025532291</v>
      </c>
      <c r="O30" s="429">
        <v>1000000000000000</v>
      </c>
      <c r="P30" s="308">
        <v>45044</v>
      </c>
      <c r="Q30" s="73">
        <f t="shared" si="13"/>
        <v>59</v>
      </c>
      <c r="R30" s="107">
        <f t="shared" ca="1" si="14"/>
        <v>18.29</v>
      </c>
      <c r="S30" s="105">
        <f t="shared" ca="1" si="15"/>
        <v>18.528053135814151</v>
      </c>
      <c r="T30" s="341">
        <v>0</v>
      </c>
      <c r="U30" s="341">
        <v>0.11849999999999999</v>
      </c>
      <c r="V30" s="341">
        <v>0.11849999999999999</v>
      </c>
      <c r="W30" s="341">
        <v>0.11849999999999999</v>
      </c>
      <c r="X30" s="281">
        <f t="shared" si="7"/>
        <v>0.02</v>
      </c>
      <c r="Y30" s="282">
        <f t="shared" si="27"/>
        <v>0.1</v>
      </c>
      <c r="AA30" s="391">
        <f t="shared" ca="1" si="16"/>
        <v>0</v>
      </c>
      <c r="AB30" s="400">
        <f t="shared" ca="1" si="8"/>
        <v>0</v>
      </c>
      <c r="AC30" s="258">
        <f t="shared" ca="1" si="8"/>
        <v>0</v>
      </c>
      <c r="AD30" s="258">
        <f t="shared" ca="1" si="8"/>
        <v>0</v>
      </c>
      <c r="AE30" s="402">
        <f t="shared" ca="1" si="8"/>
        <v>0</v>
      </c>
      <c r="AF30" s="402">
        <f t="shared" ca="1" si="8"/>
        <v>0</v>
      </c>
      <c r="AG30" s="404">
        <f t="shared" ca="1" si="17"/>
        <v>0</v>
      </c>
      <c r="AH30" s="415">
        <f t="shared" ca="1" si="18"/>
        <v>0</v>
      </c>
      <c r="AI30" s="415">
        <f t="shared" ca="1" si="19"/>
        <v>0</v>
      </c>
      <c r="AJ30" s="416">
        <f t="shared" ca="1" si="20"/>
        <v>0</v>
      </c>
      <c r="AK30" s="416">
        <f t="shared" ca="1" si="21"/>
        <v>0</v>
      </c>
      <c r="AL30" s="417">
        <v>0</v>
      </c>
      <c r="AM30" s="269">
        <f t="shared" ref="AM30:AM93" ca="1" si="32">SUM(AG30:AL30)</f>
        <v>0</v>
      </c>
      <c r="AN30" s="422">
        <f t="shared" ca="1" si="23"/>
        <v>18.380000000000003</v>
      </c>
      <c r="AO30" s="423">
        <f t="shared" ca="1" si="9"/>
        <v>25893685.458928723</v>
      </c>
      <c r="AP30" s="271">
        <f t="shared" ca="1" si="9"/>
        <v>0</v>
      </c>
      <c r="AQ30" s="271">
        <f t="shared" ca="1" si="9"/>
        <v>0.11849999999999999</v>
      </c>
      <c r="AR30" s="271">
        <f t="shared" ca="1" si="9"/>
        <v>0.11849999999999999</v>
      </c>
      <c r="AS30" s="271">
        <f t="shared" ca="1" si="9"/>
        <v>0.11849999999999999</v>
      </c>
      <c r="AT30" s="271">
        <f t="shared" ca="1" si="9"/>
        <v>0.02</v>
      </c>
      <c r="AU30" s="278">
        <f t="shared" ca="1" si="9"/>
        <v>0.1</v>
      </c>
    </row>
    <row r="31" spans="2:47" ht="13.15" thickBot="1" x14ac:dyDescent="0.4">
      <c r="B31" s="144">
        <f t="shared" si="31"/>
        <v>12</v>
      </c>
      <c r="C31" s="92">
        <f ca="1">AM31</f>
        <v>0</v>
      </c>
      <c r="D31" s="92">
        <f t="shared" ca="1" si="2"/>
        <v>668684.25632494909</v>
      </c>
      <c r="E31" s="92">
        <f t="shared" ca="1" si="11"/>
        <v>668684.25632494909</v>
      </c>
      <c r="F31" s="134">
        <f t="shared" ca="1" si="25"/>
        <v>-2230.1786027436592</v>
      </c>
      <c r="G31" s="467">
        <f t="shared" ca="1" si="4"/>
        <v>0</v>
      </c>
      <c r="H31" s="467">
        <f t="shared" ca="1" si="5"/>
        <v>0</v>
      </c>
      <c r="I31" s="442">
        <f t="shared" ca="1" si="26"/>
        <v>-1981.7858721345519</v>
      </c>
      <c r="J31" s="276">
        <f t="shared" ca="1" si="12"/>
        <v>1970.9770906904782</v>
      </c>
      <c r="K31" s="136">
        <f t="shared" ca="1" si="28"/>
        <v>-26693.081474408948</v>
      </c>
      <c r="L31" s="72" t="str">
        <f t="shared" ca="1" si="6"/>
        <v>F</v>
      </c>
      <c r="M31" s="89">
        <v>-123</v>
      </c>
      <c r="N31" s="445">
        <f>M31*O31</f>
        <v>-2266.5209999999997</v>
      </c>
      <c r="O31" s="469">
        <f>ROUNDDOWN(G6*(EXP(I11*(Q31/365))/EXP(I10*(Q31/365))), 3)-0.05</f>
        <v>18.427</v>
      </c>
      <c r="P31" s="448">
        <v>45044</v>
      </c>
      <c r="Q31" s="449">
        <f t="shared" si="13"/>
        <v>59</v>
      </c>
      <c r="R31" s="450">
        <f t="shared" ca="1" si="14"/>
        <v>18.29</v>
      </c>
      <c r="S31" s="451">
        <f t="shared" ca="1" si="15"/>
        <v>18.528053135814151</v>
      </c>
      <c r="T31" s="452">
        <v>0</v>
      </c>
      <c r="U31" s="452">
        <v>0.11849999999999999</v>
      </c>
      <c r="V31" s="452">
        <v>0.11849999999999999</v>
      </c>
      <c r="W31" s="452">
        <v>0.11849999999999999</v>
      </c>
      <c r="X31" s="454">
        <f>$I$10</f>
        <v>0.02</v>
      </c>
      <c r="Y31" s="466">
        <f t="shared" si="27"/>
        <v>0.1</v>
      </c>
      <c r="AA31" s="391">
        <f t="shared" ca="1" si="16"/>
        <v>0</v>
      </c>
      <c r="AB31" s="400">
        <f t="shared" ca="1" si="8"/>
        <v>0</v>
      </c>
      <c r="AC31" s="258">
        <f t="shared" ca="1" si="8"/>
        <v>0</v>
      </c>
      <c r="AD31" s="258">
        <f t="shared" ca="1" si="8"/>
        <v>0</v>
      </c>
      <c r="AE31" s="402">
        <f t="shared" ca="1" si="8"/>
        <v>0</v>
      </c>
      <c r="AF31" s="402">
        <f t="shared" ca="1" si="8"/>
        <v>0</v>
      </c>
      <c r="AG31" s="404">
        <f t="shared" ca="1" si="17"/>
        <v>0</v>
      </c>
      <c r="AH31" s="415">
        <f t="shared" ca="1" si="18"/>
        <v>0</v>
      </c>
      <c r="AI31" s="415">
        <f t="shared" ca="1" si="19"/>
        <v>0</v>
      </c>
      <c r="AJ31" s="416">
        <f t="shared" ca="1" si="20"/>
        <v>0</v>
      </c>
      <c r="AK31" s="416">
        <f t="shared" ca="1" si="21"/>
        <v>0</v>
      </c>
      <c r="AL31" s="417">
        <v>0</v>
      </c>
      <c r="AM31" s="269">
        <f t="shared" ca="1" si="32"/>
        <v>0</v>
      </c>
      <c r="AN31" s="422">
        <f t="shared" ca="1" si="23"/>
        <v>18.380000000000003</v>
      </c>
      <c r="AO31" s="423">
        <f t="shared" ca="1" si="9"/>
        <v>25893685.458928723</v>
      </c>
      <c r="AP31" s="271">
        <f t="shared" ca="1" si="9"/>
        <v>0</v>
      </c>
      <c r="AQ31" s="271">
        <f t="shared" ca="1" si="9"/>
        <v>0.11849999999999999</v>
      </c>
      <c r="AR31" s="271">
        <f t="shared" ca="1" si="9"/>
        <v>0.11849999999999999</v>
      </c>
      <c r="AS31" s="271">
        <f t="shared" ca="1" si="9"/>
        <v>0.11849999999999999</v>
      </c>
      <c r="AT31" s="271">
        <f t="shared" ca="1" si="9"/>
        <v>0.02</v>
      </c>
      <c r="AU31" s="278">
        <f t="shared" ca="1" si="9"/>
        <v>0.1</v>
      </c>
    </row>
    <row r="32" spans="2:47" ht="13.15" thickBot="1" x14ac:dyDescent="0.4">
      <c r="B32" s="437">
        <f t="shared" si="31"/>
        <v>13</v>
      </c>
      <c r="C32" s="438">
        <f t="shared" ca="1" si="10"/>
        <v>0</v>
      </c>
      <c r="D32" s="438">
        <f t="shared" ca="1" si="2"/>
        <v>0</v>
      </c>
      <c r="E32" s="439">
        <f t="shared" ca="1" si="11"/>
        <v>0</v>
      </c>
      <c r="F32" s="440">
        <f t="shared" ca="1" si="25"/>
        <v>0</v>
      </c>
      <c r="G32" s="409">
        <f t="shared" ca="1" si="4"/>
        <v>0</v>
      </c>
      <c r="H32" s="409">
        <f t="shared" ca="1" si="5"/>
        <v>0</v>
      </c>
      <c r="I32" s="275">
        <f t="shared" ca="1" si="26"/>
        <v>0</v>
      </c>
      <c r="J32" s="468">
        <f t="shared" ca="1" si="12"/>
        <v>0</v>
      </c>
      <c r="K32" s="443">
        <f t="shared" ca="1" si="28"/>
        <v>0</v>
      </c>
      <c r="L32" s="444" t="str">
        <f t="shared" ca="1" si="6"/>
        <v>F</v>
      </c>
      <c r="M32" s="446">
        <f t="shared" ca="1" si="6"/>
        <v>0</v>
      </c>
      <c r="N32" s="88">
        <f t="shared" ca="1" si="6"/>
        <v>0</v>
      </c>
      <c r="O32" s="432">
        <v>1000000000000000</v>
      </c>
      <c r="P32" s="69">
        <v>109575</v>
      </c>
      <c r="Q32" s="3">
        <f t="shared" si="13"/>
        <v>64590</v>
      </c>
      <c r="R32" s="107">
        <f t="shared" ca="1" si="14"/>
        <v>18.29</v>
      </c>
      <c r="S32" s="105">
        <f t="shared" ca="1" si="15"/>
        <v>25727391.2880999</v>
      </c>
      <c r="T32" s="341">
        <v>0</v>
      </c>
      <c r="U32" s="341">
        <v>0.11849999999999999</v>
      </c>
      <c r="V32" s="341">
        <v>0.11849999999999999</v>
      </c>
      <c r="W32" s="341">
        <v>0.11849999999999999</v>
      </c>
      <c r="X32" s="281">
        <f>$I$10</f>
        <v>0.02</v>
      </c>
      <c r="Y32" s="282">
        <f t="shared" si="27"/>
        <v>0.1</v>
      </c>
      <c r="AA32" s="391">
        <f t="shared" ca="1" si="16"/>
        <v>0</v>
      </c>
      <c r="AB32" s="400">
        <f t="shared" ca="1" si="8"/>
        <v>0</v>
      </c>
      <c r="AC32" s="258">
        <f t="shared" ca="1" si="8"/>
        <v>0</v>
      </c>
      <c r="AD32" s="258">
        <f t="shared" ca="1" si="8"/>
        <v>0</v>
      </c>
      <c r="AE32" s="402">
        <f t="shared" ca="1" si="8"/>
        <v>0</v>
      </c>
      <c r="AF32" s="402">
        <f t="shared" ca="1" si="8"/>
        <v>0</v>
      </c>
      <c r="AG32" s="404">
        <f t="shared" ca="1" si="17"/>
        <v>0</v>
      </c>
      <c r="AH32" s="415">
        <f t="shared" ca="1" si="18"/>
        <v>0</v>
      </c>
      <c r="AI32" s="415">
        <f t="shared" ca="1" si="19"/>
        <v>0</v>
      </c>
      <c r="AJ32" s="416">
        <f t="shared" ca="1" si="20"/>
        <v>0</v>
      </c>
      <c r="AK32" s="416">
        <f t="shared" ca="1" si="21"/>
        <v>0</v>
      </c>
      <c r="AL32" s="417">
        <v>0</v>
      </c>
      <c r="AM32" s="269">
        <f t="shared" ca="1" si="32"/>
        <v>0</v>
      </c>
      <c r="AN32" s="422">
        <f t="shared" ca="1" si="23"/>
        <v>18.380000000000003</v>
      </c>
      <c r="AO32" s="423">
        <f t="shared" ca="1" si="9"/>
        <v>25893685.458928723</v>
      </c>
      <c r="AP32" s="271">
        <f t="shared" ca="1" si="9"/>
        <v>0</v>
      </c>
      <c r="AQ32" s="271">
        <f t="shared" ca="1" si="9"/>
        <v>0.11849999999999999</v>
      </c>
      <c r="AR32" s="271">
        <f t="shared" ca="1" si="9"/>
        <v>0.11849999999999999</v>
      </c>
      <c r="AS32" s="271">
        <f t="shared" ca="1" si="9"/>
        <v>0.11849999999999999</v>
      </c>
      <c r="AT32" s="271">
        <f t="shared" ca="1" si="9"/>
        <v>0.02</v>
      </c>
      <c r="AU32" s="278">
        <f t="shared" ca="1" si="9"/>
        <v>0.1</v>
      </c>
    </row>
    <row r="33" spans="2:47" ht="13.15" thickBot="1" x14ac:dyDescent="0.4">
      <c r="B33" s="18">
        <f t="shared" si="31"/>
        <v>14</v>
      </c>
      <c r="C33" s="85">
        <f t="shared" ca="1" si="10"/>
        <v>0</v>
      </c>
      <c r="D33" s="85">
        <f t="shared" ca="1" si="2"/>
        <v>0</v>
      </c>
      <c r="E33" s="84">
        <f t="shared" ca="1" si="11"/>
        <v>0</v>
      </c>
      <c r="F33" s="135">
        <f t="shared" ca="1" si="25"/>
        <v>0</v>
      </c>
      <c r="G33" s="409">
        <f t="shared" ca="1" si="4"/>
        <v>0</v>
      </c>
      <c r="H33" s="409">
        <f t="shared" ca="1" si="5"/>
        <v>0</v>
      </c>
      <c r="I33" s="275">
        <f t="shared" ca="1" si="26"/>
        <v>0</v>
      </c>
      <c r="J33" s="275">
        <f t="shared" ca="1" si="12"/>
        <v>0</v>
      </c>
      <c r="K33" s="137">
        <f t="shared" ca="1" si="28"/>
        <v>0</v>
      </c>
      <c r="L33" s="15" t="str">
        <f t="shared" ca="1" si="6"/>
        <v>F</v>
      </c>
      <c r="M33" s="88">
        <f t="shared" ca="1" si="6"/>
        <v>0</v>
      </c>
      <c r="N33" s="88">
        <f t="shared" ca="1" si="6"/>
        <v>0</v>
      </c>
      <c r="O33" s="432">
        <v>1000000000000000</v>
      </c>
      <c r="P33" s="69">
        <v>109575</v>
      </c>
      <c r="Q33" s="3">
        <f t="shared" si="13"/>
        <v>64590</v>
      </c>
      <c r="R33" s="107">
        <f t="shared" ca="1" si="14"/>
        <v>18.29</v>
      </c>
      <c r="S33" s="105">
        <f t="shared" ca="1" si="15"/>
        <v>25727391.2880999</v>
      </c>
      <c r="T33" s="341">
        <v>0</v>
      </c>
      <c r="U33" s="341">
        <v>0.11849999999999999</v>
      </c>
      <c r="V33" s="341">
        <v>0.11849999999999999</v>
      </c>
      <c r="W33" s="341">
        <v>0.11849999999999999</v>
      </c>
      <c r="X33" s="281">
        <f t="shared" ref="X33:X96" si="33">$I$10</f>
        <v>0.02</v>
      </c>
      <c r="Y33" s="282">
        <f t="shared" si="27"/>
        <v>0.1</v>
      </c>
      <c r="AA33" s="391">
        <f t="shared" ca="1" si="16"/>
        <v>0</v>
      </c>
      <c r="AB33" s="400">
        <f t="shared" ca="1" si="8"/>
        <v>0</v>
      </c>
      <c r="AC33" s="258">
        <f t="shared" ca="1" si="8"/>
        <v>0</v>
      </c>
      <c r="AD33" s="258">
        <f t="shared" ca="1" si="8"/>
        <v>0</v>
      </c>
      <c r="AE33" s="402">
        <f t="shared" ca="1" si="8"/>
        <v>0</v>
      </c>
      <c r="AF33" s="402">
        <f t="shared" ca="1" si="8"/>
        <v>0</v>
      </c>
      <c r="AG33" s="404">
        <f t="shared" ca="1" si="17"/>
        <v>0</v>
      </c>
      <c r="AH33" s="415">
        <f t="shared" ca="1" si="18"/>
        <v>0</v>
      </c>
      <c r="AI33" s="415">
        <f t="shared" ca="1" si="19"/>
        <v>0</v>
      </c>
      <c r="AJ33" s="416">
        <f t="shared" ca="1" si="20"/>
        <v>0</v>
      </c>
      <c r="AK33" s="416">
        <f t="shared" ca="1" si="21"/>
        <v>0</v>
      </c>
      <c r="AL33" s="417">
        <v>0</v>
      </c>
      <c r="AM33" s="269">
        <f t="shared" ca="1" si="32"/>
        <v>0</v>
      </c>
      <c r="AN33" s="422">
        <f t="shared" ca="1" si="23"/>
        <v>18.380000000000003</v>
      </c>
      <c r="AO33" s="423">
        <f t="shared" ca="1" si="9"/>
        <v>25893685.458928723</v>
      </c>
      <c r="AP33" s="271">
        <f t="shared" ca="1" si="9"/>
        <v>0</v>
      </c>
      <c r="AQ33" s="271">
        <f t="shared" ca="1" si="9"/>
        <v>0.11849999999999999</v>
      </c>
      <c r="AR33" s="271">
        <f t="shared" ca="1" si="9"/>
        <v>0.11849999999999999</v>
      </c>
      <c r="AS33" s="271">
        <f t="shared" ca="1" si="9"/>
        <v>0.11849999999999999</v>
      </c>
      <c r="AT33" s="271">
        <f t="shared" ca="1" si="9"/>
        <v>0.02</v>
      </c>
      <c r="AU33" s="278">
        <f t="shared" ca="1" si="9"/>
        <v>0.1</v>
      </c>
    </row>
    <row r="34" spans="2:47" ht="13.15" thickBot="1" x14ac:dyDescent="0.4">
      <c r="B34" s="18">
        <f t="shared" si="31"/>
        <v>15</v>
      </c>
      <c r="C34" s="85">
        <f t="shared" ca="1" si="10"/>
        <v>0</v>
      </c>
      <c r="D34" s="85">
        <f t="shared" ca="1" si="2"/>
        <v>0</v>
      </c>
      <c r="E34" s="84">
        <f t="shared" ca="1" si="11"/>
        <v>0</v>
      </c>
      <c r="F34" s="135">
        <f t="shared" ca="1" si="25"/>
        <v>0</v>
      </c>
      <c r="G34" s="409">
        <f t="shared" ca="1" si="4"/>
        <v>0</v>
      </c>
      <c r="H34" s="409">
        <f t="shared" ca="1" si="5"/>
        <v>0</v>
      </c>
      <c r="I34" s="275">
        <f t="shared" ca="1" si="26"/>
        <v>0</v>
      </c>
      <c r="J34" s="275">
        <f t="shared" ca="1" si="12"/>
        <v>0</v>
      </c>
      <c r="K34" s="137">
        <f t="shared" ca="1" si="28"/>
        <v>0</v>
      </c>
      <c r="L34" s="15" t="str">
        <f t="shared" ca="1" si="6"/>
        <v>F</v>
      </c>
      <c r="M34" s="88">
        <f t="shared" ca="1" si="6"/>
        <v>0</v>
      </c>
      <c r="N34" s="88">
        <f t="shared" ca="1" si="6"/>
        <v>0</v>
      </c>
      <c r="O34" s="432">
        <v>1000000000000000</v>
      </c>
      <c r="P34" s="69">
        <v>109575</v>
      </c>
      <c r="Q34" s="3">
        <f t="shared" si="13"/>
        <v>64590</v>
      </c>
      <c r="R34" s="107">
        <f t="shared" ca="1" si="14"/>
        <v>18.29</v>
      </c>
      <c r="S34" s="105">
        <f t="shared" ca="1" si="15"/>
        <v>25727391.2880999</v>
      </c>
      <c r="T34" s="341">
        <v>0</v>
      </c>
      <c r="U34" s="341">
        <v>0.11849999999999999</v>
      </c>
      <c r="V34" s="341">
        <v>0.11849999999999999</v>
      </c>
      <c r="W34" s="341">
        <v>0.11849999999999999</v>
      </c>
      <c r="X34" s="281">
        <f t="shared" si="33"/>
        <v>0.02</v>
      </c>
      <c r="Y34" s="282">
        <f t="shared" si="27"/>
        <v>0.1</v>
      </c>
      <c r="AA34" s="391">
        <f t="shared" ca="1" si="16"/>
        <v>0</v>
      </c>
      <c r="AB34" s="400">
        <f t="shared" ca="1" si="8"/>
        <v>0</v>
      </c>
      <c r="AC34" s="258">
        <f t="shared" ca="1" si="8"/>
        <v>0</v>
      </c>
      <c r="AD34" s="258">
        <f t="shared" ca="1" si="8"/>
        <v>0</v>
      </c>
      <c r="AE34" s="402">
        <f t="shared" ca="1" si="8"/>
        <v>0</v>
      </c>
      <c r="AF34" s="402">
        <f t="shared" ca="1" si="8"/>
        <v>0</v>
      </c>
      <c r="AG34" s="404">
        <f t="shared" ca="1" si="17"/>
        <v>0</v>
      </c>
      <c r="AH34" s="415">
        <f t="shared" ca="1" si="18"/>
        <v>0</v>
      </c>
      <c r="AI34" s="415">
        <f t="shared" ca="1" si="19"/>
        <v>0</v>
      </c>
      <c r="AJ34" s="416">
        <f t="shared" ca="1" si="20"/>
        <v>0</v>
      </c>
      <c r="AK34" s="416">
        <f t="shared" ca="1" si="21"/>
        <v>0</v>
      </c>
      <c r="AL34" s="417">
        <v>0</v>
      </c>
      <c r="AM34" s="269">
        <f t="shared" ca="1" si="32"/>
        <v>0</v>
      </c>
      <c r="AN34" s="422">
        <f t="shared" ca="1" si="23"/>
        <v>18.380000000000003</v>
      </c>
      <c r="AO34" s="423">
        <f t="shared" ca="1" si="9"/>
        <v>25893685.458928723</v>
      </c>
      <c r="AP34" s="271">
        <f t="shared" ca="1" si="9"/>
        <v>0</v>
      </c>
      <c r="AQ34" s="271">
        <f t="shared" ca="1" si="9"/>
        <v>0.11849999999999999</v>
      </c>
      <c r="AR34" s="271">
        <f t="shared" ca="1" si="9"/>
        <v>0.11849999999999999</v>
      </c>
      <c r="AS34" s="271">
        <f t="shared" ca="1" si="9"/>
        <v>0.11849999999999999</v>
      </c>
      <c r="AT34" s="271">
        <f t="shared" ca="1" si="9"/>
        <v>0.02</v>
      </c>
      <c r="AU34" s="278">
        <f t="shared" ca="1" si="9"/>
        <v>0.1</v>
      </c>
    </row>
    <row r="35" spans="2:47" ht="13.15" thickBot="1" x14ac:dyDescent="0.4">
      <c r="B35" s="18">
        <f t="shared" si="31"/>
        <v>16</v>
      </c>
      <c r="C35" s="85">
        <f t="shared" ca="1" si="10"/>
        <v>0</v>
      </c>
      <c r="D35" s="85">
        <f t="shared" ca="1" si="2"/>
        <v>0</v>
      </c>
      <c r="E35" s="84">
        <f t="shared" ca="1" si="11"/>
        <v>0</v>
      </c>
      <c r="F35" s="135">
        <f t="shared" ca="1" si="25"/>
        <v>0</v>
      </c>
      <c r="G35" s="409">
        <f t="shared" ca="1" si="4"/>
        <v>0</v>
      </c>
      <c r="H35" s="409">
        <f t="shared" ca="1" si="5"/>
        <v>0</v>
      </c>
      <c r="I35" s="275">
        <f t="shared" ca="1" si="26"/>
        <v>0</v>
      </c>
      <c r="J35" s="275">
        <f t="shared" ca="1" si="12"/>
        <v>0</v>
      </c>
      <c r="K35" s="137">
        <f t="shared" ca="1" si="28"/>
        <v>0</v>
      </c>
      <c r="L35" s="15" t="str">
        <f t="shared" ca="1" si="6"/>
        <v>F</v>
      </c>
      <c r="M35" s="88">
        <f t="shared" ca="1" si="6"/>
        <v>0</v>
      </c>
      <c r="N35" s="88">
        <f t="shared" ca="1" si="6"/>
        <v>0</v>
      </c>
      <c r="O35" s="432">
        <v>1000000000000000</v>
      </c>
      <c r="P35" s="69">
        <v>109575</v>
      </c>
      <c r="Q35" s="3">
        <f t="shared" si="13"/>
        <v>64590</v>
      </c>
      <c r="R35" s="107">
        <f t="shared" ca="1" si="14"/>
        <v>18.29</v>
      </c>
      <c r="S35" s="105">
        <f t="shared" ca="1" si="15"/>
        <v>25727391.2880999</v>
      </c>
      <c r="T35" s="341">
        <v>0</v>
      </c>
      <c r="U35" s="341">
        <v>0.11849999999999999</v>
      </c>
      <c r="V35" s="341">
        <v>0.11849999999999999</v>
      </c>
      <c r="W35" s="341">
        <v>0.11849999999999999</v>
      </c>
      <c r="X35" s="281">
        <f t="shared" si="33"/>
        <v>0.02</v>
      </c>
      <c r="Y35" s="282">
        <f t="shared" si="27"/>
        <v>0.1</v>
      </c>
      <c r="AA35" s="391">
        <f t="shared" ca="1" si="16"/>
        <v>0</v>
      </c>
      <c r="AB35" s="400">
        <f t="shared" ca="1" si="8"/>
        <v>0</v>
      </c>
      <c r="AC35" s="258">
        <f t="shared" ca="1" si="8"/>
        <v>0</v>
      </c>
      <c r="AD35" s="258">
        <f t="shared" ca="1" si="8"/>
        <v>0</v>
      </c>
      <c r="AE35" s="402">
        <f t="shared" ca="1" si="8"/>
        <v>0</v>
      </c>
      <c r="AF35" s="402">
        <f t="shared" ca="1" si="8"/>
        <v>0</v>
      </c>
      <c r="AG35" s="404">
        <f t="shared" ca="1" si="17"/>
        <v>0</v>
      </c>
      <c r="AH35" s="415">
        <f t="shared" ca="1" si="18"/>
        <v>0</v>
      </c>
      <c r="AI35" s="415">
        <f t="shared" ca="1" si="19"/>
        <v>0</v>
      </c>
      <c r="AJ35" s="416">
        <f t="shared" ca="1" si="20"/>
        <v>0</v>
      </c>
      <c r="AK35" s="416">
        <f t="shared" ca="1" si="21"/>
        <v>0</v>
      </c>
      <c r="AL35" s="417">
        <v>0</v>
      </c>
      <c r="AM35" s="269">
        <f t="shared" ca="1" si="32"/>
        <v>0</v>
      </c>
      <c r="AN35" s="422">
        <f t="shared" ca="1" si="23"/>
        <v>18.380000000000003</v>
      </c>
      <c r="AO35" s="423">
        <f t="shared" ca="1" si="9"/>
        <v>25893685.458928723</v>
      </c>
      <c r="AP35" s="271">
        <f t="shared" ca="1" si="9"/>
        <v>0</v>
      </c>
      <c r="AQ35" s="271">
        <f t="shared" ca="1" si="9"/>
        <v>0.11849999999999999</v>
      </c>
      <c r="AR35" s="271">
        <f t="shared" ca="1" si="9"/>
        <v>0.11849999999999999</v>
      </c>
      <c r="AS35" s="271">
        <f t="shared" ca="1" si="9"/>
        <v>0.11849999999999999</v>
      </c>
      <c r="AT35" s="271">
        <f t="shared" ca="1" si="9"/>
        <v>0.02</v>
      </c>
      <c r="AU35" s="278">
        <f t="shared" ca="1" si="9"/>
        <v>0.1</v>
      </c>
    </row>
    <row r="36" spans="2:47" ht="13.15" thickBot="1" x14ac:dyDescent="0.4">
      <c r="B36" s="18">
        <f t="shared" si="31"/>
        <v>17</v>
      </c>
      <c r="C36" s="85">
        <f t="shared" ca="1" si="10"/>
        <v>0</v>
      </c>
      <c r="D36" s="85">
        <f t="shared" ca="1" si="2"/>
        <v>0</v>
      </c>
      <c r="E36" s="84">
        <f t="shared" ca="1" si="11"/>
        <v>0</v>
      </c>
      <c r="F36" s="135">
        <f t="shared" ca="1" si="25"/>
        <v>0</v>
      </c>
      <c r="G36" s="409">
        <f t="shared" ca="1" si="4"/>
        <v>0</v>
      </c>
      <c r="H36" s="409">
        <f t="shared" ca="1" si="5"/>
        <v>0</v>
      </c>
      <c r="I36" s="275">
        <f t="shared" ca="1" si="26"/>
        <v>0</v>
      </c>
      <c r="J36" s="275">
        <f t="shared" ca="1" si="12"/>
        <v>0</v>
      </c>
      <c r="K36" s="137">
        <f t="shared" ca="1" si="28"/>
        <v>0</v>
      </c>
      <c r="L36" s="15" t="str">
        <f t="shared" ref="L36:N51" ca="1" si="34">INDIRECT("'"&amp; $AB$16 &amp;"'!"&amp; ADDRESS(ROW(L36),COLUMN(L36),4))</f>
        <v>F</v>
      </c>
      <c r="M36" s="88">
        <f t="shared" ca="1" si="34"/>
        <v>0</v>
      </c>
      <c r="N36" s="88">
        <f t="shared" ca="1" si="34"/>
        <v>0</v>
      </c>
      <c r="O36" s="432">
        <v>1000000000000000</v>
      </c>
      <c r="P36" s="69">
        <v>109575</v>
      </c>
      <c r="Q36" s="3">
        <f t="shared" si="13"/>
        <v>64590</v>
      </c>
      <c r="R36" s="107">
        <f t="shared" ca="1" si="14"/>
        <v>18.29</v>
      </c>
      <c r="S36" s="105">
        <f t="shared" ca="1" si="15"/>
        <v>25727391.2880999</v>
      </c>
      <c r="T36" s="341">
        <v>0</v>
      </c>
      <c r="U36" s="341">
        <v>0.11849999999999999</v>
      </c>
      <c r="V36" s="341">
        <v>0.11849999999999999</v>
      </c>
      <c r="W36" s="341">
        <v>0.11849999999999999</v>
      </c>
      <c r="X36" s="281">
        <f t="shared" si="33"/>
        <v>0.02</v>
      </c>
      <c r="Y36" s="282">
        <f t="shared" si="27"/>
        <v>0.1</v>
      </c>
      <c r="AA36" s="391">
        <f t="shared" ca="1" si="16"/>
        <v>0</v>
      </c>
      <c r="AB36" s="400">
        <f t="shared" ca="1" si="8"/>
        <v>0</v>
      </c>
      <c r="AC36" s="258">
        <f t="shared" ca="1" si="8"/>
        <v>0</v>
      </c>
      <c r="AD36" s="258">
        <f t="shared" ca="1" si="8"/>
        <v>0</v>
      </c>
      <c r="AE36" s="402">
        <f t="shared" ca="1" si="8"/>
        <v>0</v>
      </c>
      <c r="AF36" s="402">
        <f t="shared" ca="1" si="8"/>
        <v>0</v>
      </c>
      <c r="AG36" s="404">
        <f t="shared" ca="1" si="17"/>
        <v>0</v>
      </c>
      <c r="AH36" s="415">
        <f t="shared" ca="1" si="18"/>
        <v>0</v>
      </c>
      <c r="AI36" s="415">
        <f t="shared" ca="1" si="19"/>
        <v>0</v>
      </c>
      <c r="AJ36" s="416">
        <f t="shared" ca="1" si="20"/>
        <v>0</v>
      </c>
      <c r="AK36" s="416">
        <f t="shared" ca="1" si="21"/>
        <v>0</v>
      </c>
      <c r="AL36" s="417">
        <v>0</v>
      </c>
      <c r="AM36" s="269">
        <f t="shared" ca="1" si="32"/>
        <v>0</v>
      </c>
      <c r="AN36" s="422">
        <f t="shared" ca="1" si="23"/>
        <v>18.380000000000003</v>
      </c>
      <c r="AO36" s="423">
        <f t="shared" ca="1" si="23"/>
        <v>25893685.458928723</v>
      </c>
      <c r="AP36" s="271">
        <f t="shared" ca="1" si="23"/>
        <v>0</v>
      </c>
      <c r="AQ36" s="271">
        <f t="shared" ca="1" si="23"/>
        <v>0.11849999999999999</v>
      </c>
      <c r="AR36" s="271">
        <f t="shared" ca="1" si="23"/>
        <v>0.11849999999999999</v>
      </c>
      <c r="AS36" s="271">
        <f t="shared" ca="1" si="23"/>
        <v>0.11849999999999999</v>
      </c>
      <c r="AT36" s="271">
        <f t="shared" ca="1" si="23"/>
        <v>0.02</v>
      </c>
      <c r="AU36" s="278">
        <f t="shared" ca="1" si="23"/>
        <v>0.1</v>
      </c>
    </row>
    <row r="37" spans="2:47" ht="13.15" thickBot="1" x14ac:dyDescent="0.4">
      <c r="B37" s="18">
        <f t="shared" si="31"/>
        <v>18</v>
      </c>
      <c r="C37" s="85">
        <f t="shared" ca="1" si="10"/>
        <v>0</v>
      </c>
      <c r="D37" s="85">
        <f t="shared" ca="1" si="2"/>
        <v>0</v>
      </c>
      <c r="E37" s="84">
        <f t="shared" ca="1" si="11"/>
        <v>0</v>
      </c>
      <c r="F37" s="135">
        <f t="shared" ca="1" si="25"/>
        <v>0</v>
      </c>
      <c r="G37" s="409">
        <f t="shared" ca="1" si="4"/>
        <v>0</v>
      </c>
      <c r="H37" s="409">
        <f t="shared" ca="1" si="5"/>
        <v>0</v>
      </c>
      <c r="I37" s="275">
        <f t="shared" ca="1" si="26"/>
        <v>0</v>
      </c>
      <c r="J37" s="275">
        <f t="shared" ca="1" si="12"/>
        <v>0</v>
      </c>
      <c r="K37" s="137">
        <f t="shared" ca="1" si="28"/>
        <v>0</v>
      </c>
      <c r="L37" s="15" t="str">
        <f t="shared" ca="1" si="34"/>
        <v>F</v>
      </c>
      <c r="M37" s="88">
        <f t="shared" ca="1" si="34"/>
        <v>0</v>
      </c>
      <c r="N37" s="88">
        <f t="shared" ca="1" si="34"/>
        <v>0</v>
      </c>
      <c r="O37" s="432">
        <v>1000000000000000</v>
      </c>
      <c r="P37" s="69">
        <v>109575</v>
      </c>
      <c r="Q37" s="3">
        <f t="shared" si="13"/>
        <v>64590</v>
      </c>
      <c r="R37" s="107">
        <f t="shared" ca="1" si="14"/>
        <v>18.29</v>
      </c>
      <c r="S37" s="105">
        <f t="shared" ca="1" si="15"/>
        <v>25727391.2880999</v>
      </c>
      <c r="T37" s="341">
        <v>0</v>
      </c>
      <c r="U37" s="341">
        <v>0.11849999999999999</v>
      </c>
      <c r="V37" s="341">
        <v>0.11849999999999999</v>
      </c>
      <c r="W37" s="341">
        <v>0.11849999999999999</v>
      </c>
      <c r="X37" s="281">
        <f t="shared" si="33"/>
        <v>0.02</v>
      </c>
      <c r="Y37" s="282">
        <f t="shared" si="27"/>
        <v>0.1</v>
      </c>
      <c r="AA37" s="391">
        <f t="shared" ca="1" si="16"/>
        <v>0</v>
      </c>
      <c r="AB37" s="400">
        <f t="shared" ca="1" si="8"/>
        <v>0</v>
      </c>
      <c r="AC37" s="258">
        <f t="shared" ca="1" si="8"/>
        <v>0</v>
      </c>
      <c r="AD37" s="258">
        <f t="shared" ca="1" si="8"/>
        <v>0</v>
      </c>
      <c r="AE37" s="402">
        <f t="shared" ca="1" si="8"/>
        <v>0</v>
      </c>
      <c r="AF37" s="402">
        <f t="shared" ca="1" si="8"/>
        <v>0</v>
      </c>
      <c r="AG37" s="404">
        <f t="shared" ca="1" si="17"/>
        <v>0</v>
      </c>
      <c r="AH37" s="415">
        <f t="shared" ca="1" si="18"/>
        <v>0</v>
      </c>
      <c r="AI37" s="415">
        <f t="shared" ca="1" si="19"/>
        <v>0</v>
      </c>
      <c r="AJ37" s="416">
        <f t="shared" ca="1" si="20"/>
        <v>0</v>
      </c>
      <c r="AK37" s="416">
        <f t="shared" ca="1" si="21"/>
        <v>0</v>
      </c>
      <c r="AL37" s="417">
        <v>0</v>
      </c>
      <c r="AM37" s="269">
        <f t="shared" ca="1" si="32"/>
        <v>0</v>
      </c>
      <c r="AN37" s="422">
        <f t="shared" ref="AN37:AU68" ca="1" si="35">INDIRECT("'"&amp; $AB$16 &amp;"'!"&amp; ADDRESS(ROW(R37),COLUMN(R37),4))</f>
        <v>18.380000000000003</v>
      </c>
      <c r="AO37" s="423">
        <f t="shared" ca="1" si="35"/>
        <v>25893685.458928723</v>
      </c>
      <c r="AP37" s="271">
        <f t="shared" ca="1" si="35"/>
        <v>0</v>
      </c>
      <c r="AQ37" s="271">
        <f t="shared" ca="1" si="35"/>
        <v>0.11849999999999999</v>
      </c>
      <c r="AR37" s="271">
        <f t="shared" ca="1" si="35"/>
        <v>0.11849999999999999</v>
      </c>
      <c r="AS37" s="271">
        <f t="shared" ca="1" si="35"/>
        <v>0.11849999999999999</v>
      </c>
      <c r="AT37" s="271">
        <f t="shared" ca="1" si="35"/>
        <v>0.02</v>
      </c>
      <c r="AU37" s="278">
        <f t="shared" ca="1" si="35"/>
        <v>0.1</v>
      </c>
    </row>
    <row r="38" spans="2:47" ht="13.15" thickBot="1" x14ac:dyDescent="0.4">
      <c r="B38" s="18">
        <f t="shared" si="31"/>
        <v>19</v>
      </c>
      <c r="C38" s="85">
        <f t="shared" ca="1" si="10"/>
        <v>0</v>
      </c>
      <c r="D38" s="85">
        <f t="shared" ca="1" si="2"/>
        <v>0</v>
      </c>
      <c r="E38" s="84">
        <f t="shared" ca="1" si="11"/>
        <v>0</v>
      </c>
      <c r="F38" s="135">
        <f t="shared" ca="1" si="25"/>
        <v>0</v>
      </c>
      <c r="G38" s="409">
        <f t="shared" ca="1" si="4"/>
        <v>0</v>
      </c>
      <c r="H38" s="409">
        <f t="shared" ca="1" si="5"/>
        <v>0</v>
      </c>
      <c r="I38" s="275">
        <f t="shared" ca="1" si="26"/>
        <v>0</v>
      </c>
      <c r="J38" s="275">
        <f t="shared" ca="1" si="12"/>
        <v>0</v>
      </c>
      <c r="K38" s="137">
        <f t="shared" ca="1" si="28"/>
        <v>0</v>
      </c>
      <c r="L38" s="15" t="str">
        <f t="shared" ca="1" si="34"/>
        <v>F</v>
      </c>
      <c r="M38" s="88">
        <f t="shared" ca="1" si="34"/>
        <v>0</v>
      </c>
      <c r="N38" s="88">
        <f t="shared" ca="1" si="34"/>
        <v>0</v>
      </c>
      <c r="O38" s="432">
        <v>1000000000000000</v>
      </c>
      <c r="P38" s="69">
        <v>109575</v>
      </c>
      <c r="Q38" s="3">
        <f t="shared" si="13"/>
        <v>64590</v>
      </c>
      <c r="R38" s="107">
        <f t="shared" ca="1" si="14"/>
        <v>18.29</v>
      </c>
      <c r="S38" s="105">
        <f t="shared" ca="1" si="15"/>
        <v>25727391.2880999</v>
      </c>
      <c r="T38" s="341">
        <v>0</v>
      </c>
      <c r="U38" s="341">
        <v>0.11849999999999999</v>
      </c>
      <c r="V38" s="341">
        <v>0.11849999999999999</v>
      </c>
      <c r="W38" s="341">
        <v>0.11849999999999999</v>
      </c>
      <c r="X38" s="281">
        <f t="shared" si="33"/>
        <v>0.02</v>
      </c>
      <c r="Y38" s="282">
        <f t="shared" si="27"/>
        <v>0.1</v>
      </c>
      <c r="AA38" s="391">
        <f t="shared" ca="1" si="16"/>
        <v>0</v>
      </c>
      <c r="AB38" s="400">
        <f t="shared" ca="1" si="8"/>
        <v>0</v>
      </c>
      <c r="AC38" s="258">
        <f t="shared" ca="1" si="8"/>
        <v>0</v>
      </c>
      <c r="AD38" s="258">
        <f t="shared" ca="1" si="8"/>
        <v>0</v>
      </c>
      <c r="AE38" s="402">
        <f t="shared" ca="1" si="8"/>
        <v>0</v>
      </c>
      <c r="AF38" s="402">
        <f t="shared" ca="1" si="8"/>
        <v>0</v>
      </c>
      <c r="AG38" s="404">
        <f t="shared" ca="1" si="17"/>
        <v>0</v>
      </c>
      <c r="AH38" s="415">
        <f t="shared" ca="1" si="18"/>
        <v>0</v>
      </c>
      <c r="AI38" s="415">
        <f t="shared" ca="1" si="19"/>
        <v>0</v>
      </c>
      <c r="AJ38" s="416">
        <f t="shared" ca="1" si="20"/>
        <v>0</v>
      </c>
      <c r="AK38" s="416">
        <f t="shared" ca="1" si="21"/>
        <v>0</v>
      </c>
      <c r="AL38" s="417">
        <v>0</v>
      </c>
      <c r="AM38" s="269">
        <f t="shared" ca="1" si="32"/>
        <v>0</v>
      </c>
      <c r="AN38" s="422">
        <f t="shared" ca="1" si="35"/>
        <v>18.380000000000003</v>
      </c>
      <c r="AO38" s="423">
        <f t="shared" ca="1" si="35"/>
        <v>25893685.458928723</v>
      </c>
      <c r="AP38" s="271">
        <f t="shared" ca="1" si="35"/>
        <v>0</v>
      </c>
      <c r="AQ38" s="271">
        <f t="shared" ca="1" si="35"/>
        <v>0.11849999999999999</v>
      </c>
      <c r="AR38" s="271">
        <f t="shared" ca="1" si="35"/>
        <v>0.11849999999999999</v>
      </c>
      <c r="AS38" s="271">
        <f t="shared" ca="1" si="35"/>
        <v>0.11849999999999999</v>
      </c>
      <c r="AT38" s="271">
        <f t="shared" ca="1" si="35"/>
        <v>0.02</v>
      </c>
      <c r="AU38" s="278">
        <f t="shared" ca="1" si="35"/>
        <v>0.1</v>
      </c>
    </row>
    <row r="39" spans="2:47" ht="13.15" thickBot="1" x14ac:dyDescent="0.4">
      <c r="B39" s="18">
        <f t="shared" si="31"/>
        <v>20</v>
      </c>
      <c r="C39" s="85">
        <f t="shared" ca="1" si="10"/>
        <v>0</v>
      </c>
      <c r="D39" s="85">
        <f t="shared" ca="1" si="2"/>
        <v>0</v>
      </c>
      <c r="E39" s="84">
        <f t="shared" ca="1" si="11"/>
        <v>0</v>
      </c>
      <c r="F39" s="135">
        <f t="shared" ca="1" si="25"/>
        <v>0</v>
      </c>
      <c r="G39" s="409">
        <f t="shared" ca="1" si="4"/>
        <v>0</v>
      </c>
      <c r="H39" s="409">
        <f t="shared" ca="1" si="5"/>
        <v>0</v>
      </c>
      <c r="I39" s="275">
        <f t="shared" ca="1" si="26"/>
        <v>0</v>
      </c>
      <c r="J39" s="275">
        <f t="shared" ca="1" si="12"/>
        <v>0</v>
      </c>
      <c r="K39" s="137">
        <f t="shared" ca="1" si="28"/>
        <v>0</v>
      </c>
      <c r="L39" s="15" t="str">
        <f t="shared" ca="1" si="34"/>
        <v>F</v>
      </c>
      <c r="M39" s="88">
        <f t="shared" ca="1" si="34"/>
        <v>0</v>
      </c>
      <c r="N39" s="88">
        <f t="shared" ca="1" si="34"/>
        <v>0</v>
      </c>
      <c r="O39" s="432">
        <v>1000000000000000</v>
      </c>
      <c r="P39" s="69">
        <v>109575</v>
      </c>
      <c r="Q39" s="3">
        <f t="shared" si="13"/>
        <v>64590</v>
      </c>
      <c r="R39" s="107">
        <f t="shared" ca="1" si="14"/>
        <v>18.29</v>
      </c>
      <c r="S39" s="105">
        <f t="shared" ca="1" si="15"/>
        <v>25727391.2880999</v>
      </c>
      <c r="T39" s="341">
        <v>0</v>
      </c>
      <c r="U39" s="341">
        <v>0.11849999999999999</v>
      </c>
      <c r="V39" s="341">
        <v>0.11849999999999999</v>
      </c>
      <c r="W39" s="341">
        <v>0.11849999999999999</v>
      </c>
      <c r="X39" s="281">
        <f t="shared" si="33"/>
        <v>0.02</v>
      </c>
      <c r="Y39" s="282">
        <f t="shared" si="27"/>
        <v>0.1</v>
      </c>
      <c r="AA39" s="391">
        <f t="shared" ca="1" si="16"/>
        <v>0</v>
      </c>
      <c r="AB39" s="400">
        <f t="shared" ca="1" si="8"/>
        <v>0</v>
      </c>
      <c r="AC39" s="258">
        <f t="shared" ca="1" si="8"/>
        <v>0</v>
      </c>
      <c r="AD39" s="258">
        <f t="shared" ca="1" si="8"/>
        <v>0</v>
      </c>
      <c r="AE39" s="402">
        <f t="shared" ca="1" si="8"/>
        <v>0</v>
      </c>
      <c r="AF39" s="402">
        <f t="shared" ca="1" si="8"/>
        <v>0</v>
      </c>
      <c r="AG39" s="404">
        <f t="shared" ca="1" si="17"/>
        <v>0</v>
      </c>
      <c r="AH39" s="415">
        <f t="shared" ca="1" si="18"/>
        <v>0</v>
      </c>
      <c r="AI39" s="415">
        <f t="shared" ca="1" si="19"/>
        <v>0</v>
      </c>
      <c r="AJ39" s="416">
        <f t="shared" ca="1" si="20"/>
        <v>0</v>
      </c>
      <c r="AK39" s="416">
        <f t="shared" ca="1" si="21"/>
        <v>0</v>
      </c>
      <c r="AL39" s="417">
        <v>0</v>
      </c>
      <c r="AM39" s="269">
        <f t="shared" ca="1" si="32"/>
        <v>0</v>
      </c>
      <c r="AN39" s="422">
        <f t="shared" ca="1" si="35"/>
        <v>18.380000000000003</v>
      </c>
      <c r="AO39" s="423">
        <f t="shared" ca="1" si="35"/>
        <v>25893685.458928723</v>
      </c>
      <c r="AP39" s="271">
        <f t="shared" ca="1" si="35"/>
        <v>0</v>
      </c>
      <c r="AQ39" s="271">
        <f t="shared" ca="1" si="35"/>
        <v>0.11849999999999999</v>
      </c>
      <c r="AR39" s="271">
        <f t="shared" ca="1" si="35"/>
        <v>0.11849999999999999</v>
      </c>
      <c r="AS39" s="271">
        <f t="shared" ca="1" si="35"/>
        <v>0.11849999999999999</v>
      </c>
      <c r="AT39" s="271">
        <f t="shared" ca="1" si="35"/>
        <v>0.02</v>
      </c>
      <c r="AU39" s="278">
        <f t="shared" ca="1" si="35"/>
        <v>0.1</v>
      </c>
    </row>
    <row r="40" spans="2:47" ht="13.15" thickBot="1" x14ac:dyDescent="0.4">
      <c r="B40" s="18">
        <f t="shared" si="31"/>
        <v>21</v>
      </c>
      <c r="C40" s="85">
        <f t="shared" ca="1" si="10"/>
        <v>0</v>
      </c>
      <c r="D40" s="85">
        <f t="shared" ca="1" si="2"/>
        <v>0</v>
      </c>
      <c r="E40" s="84">
        <f t="shared" ca="1" si="11"/>
        <v>0</v>
      </c>
      <c r="F40" s="135">
        <f t="shared" ca="1" si="25"/>
        <v>0</v>
      </c>
      <c r="G40" s="409">
        <f t="shared" ca="1" si="4"/>
        <v>0</v>
      </c>
      <c r="H40" s="409">
        <f t="shared" ca="1" si="5"/>
        <v>0</v>
      </c>
      <c r="I40" s="275">
        <f t="shared" ca="1" si="26"/>
        <v>0</v>
      </c>
      <c r="J40" s="275">
        <f t="shared" ca="1" si="12"/>
        <v>0</v>
      </c>
      <c r="K40" s="137">
        <f t="shared" ca="1" si="28"/>
        <v>0</v>
      </c>
      <c r="L40" s="15" t="str">
        <f t="shared" ca="1" si="34"/>
        <v>F</v>
      </c>
      <c r="M40" s="88">
        <f t="shared" ca="1" si="34"/>
        <v>0</v>
      </c>
      <c r="N40" s="88">
        <f t="shared" ca="1" si="34"/>
        <v>0</v>
      </c>
      <c r="O40" s="432">
        <v>1000000000000000</v>
      </c>
      <c r="P40" s="69">
        <v>109575</v>
      </c>
      <c r="Q40" s="3">
        <f t="shared" si="13"/>
        <v>64590</v>
      </c>
      <c r="R40" s="107">
        <f t="shared" ca="1" si="14"/>
        <v>18.29</v>
      </c>
      <c r="S40" s="105">
        <f t="shared" ca="1" si="15"/>
        <v>25727391.2880999</v>
      </c>
      <c r="T40" s="341">
        <v>0</v>
      </c>
      <c r="U40" s="341">
        <v>0.11849999999999999</v>
      </c>
      <c r="V40" s="341">
        <v>0.11849999999999999</v>
      </c>
      <c r="W40" s="341">
        <v>0.11849999999999999</v>
      </c>
      <c r="X40" s="281">
        <f t="shared" si="33"/>
        <v>0.02</v>
      </c>
      <c r="Y40" s="282">
        <f t="shared" si="27"/>
        <v>0.1</v>
      </c>
      <c r="AA40" s="391">
        <f t="shared" ca="1" si="16"/>
        <v>0</v>
      </c>
      <c r="AB40" s="400">
        <f t="shared" ca="1" si="8"/>
        <v>0</v>
      </c>
      <c r="AC40" s="258">
        <f t="shared" ca="1" si="8"/>
        <v>0</v>
      </c>
      <c r="AD40" s="258">
        <f t="shared" ca="1" si="8"/>
        <v>0</v>
      </c>
      <c r="AE40" s="402">
        <f t="shared" ca="1" si="8"/>
        <v>0</v>
      </c>
      <c r="AF40" s="402">
        <f t="shared" ca="1" si="8"/>
        <v>0</v>
      </c>
      <c r="AG40" s="404">
        <f t="shared" ca="1" si="17"/>
        <v>0</v>
      </c>
      <c r="AH40" s="415">
        <f t="shared" ca="1" si="18"/>
        <v>0</v>
      </c>
      <c r="AI40" s="415">
        <f t="shared" ca="1" si="19"/>
        <v>0</v>
      </c>
      <c r="AJ40" s="416">
        <f t="shared" ca="1" si="20"/>
        <v>0</v>
      </c>
      <c r="AK40" s="416">
        <f t="shared" ca="1" si="21"/>
        <v>0</v>
      </c>
      <c r="AL40" s="417">
        <v>0</v>
      </c>
      <c r="AM40" s="269">
        <f t="shared" ca="1" si="32"/>
        <v>0</v>
      </c>
      <c r="AN40" s="422">
        <f t="shared" ca="1" si="35"/>
        <v>18.380000000000003</v>
      </c>
      <c r="AO40" s="423">
        <f t="shared" ca="1" si="35"/>
        <v>25893685.458928723</v>
      </c>
      <c r="AP40" s="271">
        <f t="shared" ca="1" si="35"/>
        <v>0</v>
      </c>
      <c r="AQ40" s="271">
        <f t="shared" ca="1" si="35"/>
        <v>0.11849999999999999</v>
      </c>
      <c r="AR40" s="271">
        <f t="shared" ca="1" si="35"/>
        <v>0.11849999999999999</v>
      </c>
      <c r="AS40" s="271">
        <f t="shared" ca="1" si="35"/>
        <v>0.11849999999999999</v>
      </c>
      <c r="AT40" s="271">
        <f t="shared" ca="1" si="35"/>
        <v>0.02</v>
      </c>
      <c r="AU40" s="278">
        <f t="shared" ca="1" si="35"/>
        <v>0.1</v>
      </c>
    </row>
    <row r="41" spans="2:47" ht="13.15" thickBot="1" x14ac:dyDescent="0.4">
      <c r="B41" s="18">
        <f t="shared" si="31"/>
        <v>22</v>
      </c>
      <c r="C41" s="85">
        <f t="shared" ca="1" si="10"/>
        <v>0</v>
      </c>
      <c r="D41" s="85">
        <f t="shared" ca="1" si="2"/>
        <v>0</v>
      </c>
      <c r="E41" s="84">
        <f t="shared" ca="1" si="11"/>
        <v>0</v>
      </c>
      <c r="F41" s="135">
        <f t="shared" ca="1" si="25"/>
        <v>0</v>
      </c>
      <c r="G41" s="409">
        <f t="shared" ca="1" si="4"/>
        <v>0</v>
      </c>
      <c r="H41" s="409">
        <f t="shared" ca="1" si="5"/>
        <v>0</v>
      </c>
      <c r="I41" s="275">
        <f t="shared" ca="1" si="26"/>
        <v>0</v>
      </c>
      <c r="J41" s="275">
        <f t="shared" ca="1" si="12"/>
        <v>0</v>
      </c>
      <c r="K41" s="137">
        <f t="shared" ca="1" si="28"/>
        <v>0</v>
      </c>
      <c r="L41" s="15" t="str">
        <f t="shared" ca="1" si="34"/>
        <v>F</v>
      </c>
      <c r="M41" s="88">
        <f t="shared" ca="1" si="34"/>
        <v>0</v>
      </c>
      <c r="N41" s="88">
        <f t="shared" ca="1" si="34"/>
        <v>0</v>
      </c>
      <c r="O41" s="432">
        <v>1000000000000000</v>
      </c>
      <c r="P41" s="69">
        <v>109575</v>
      </c>
      <c r="Q41" s="3">
        <f t="shared" si="13"/>
        <v>64590</v>
      </c>
      <c r="R41" s="107">
        <f t="shared" ca="1" si="14"/>
        <v>18.29</v>
      </c>
      <c r="S41" s="105">
        <f t="shared" ca="1" si="15"/>
        <v>25727391.2880999</v>
      </c>
      <c r="T41" s="341">
        <v>0</v>
      </c>
      <c r="U41" s="341">
        <v>0.11849999999999999</v>
      </c>
      <c r="V41" s="341">
        <v>0.11849999999999999</v>
      </c>
      <c r="W41" s="341">
        <v>0.11849999999999999</v>
      </c>
      <c r="X41" s="281">
        <f t="shared" si="33"/>
        <v>0.02</v>
      </c>
      <c r="Y41" s="282">
        <f t="shared" si="27"/>
        <v>0.1</v>
      </c>
      <c r="AA41" s="391">
        <f t="shared" ca="1" si="16"/>
        <v>0</v>
      </c>
      <c r="AB41" s="400">
        <f t="shared" ca="1" si="8"/>
        <v>0</v>
      </c>
      <c r="AC41" s="258">
        <f t="shared" ca="1" si="8"/>
        <v>0</v>
      </c>
      <c r="AD41" s="258">
        <f t="shared" ca="1" si="8"/>
        <v>0</v>
      </c>
      <c r="AE41" s="402">
        <f t="shared" ca="1" si="8"/>
        <v>0</v>
      </c>
      <c r="AF41" s="402">
        <f t="shared" ca="1" si="8"/>
        <v>0</v>
      </c>
      <c r="AG41" s="404">
        <f t="shared" ca="1" si="17"/>
        <v>0</v>
      </c>
      <c r="AH41" s="415">
        <f t="shared" ca="1" si="18"/>
        <v>0</v>
      </c>
      <c r="AI41" s="415">
        <f t="shared" ca="1" si="19"/>
        <v>0</v>
      </c>
      <c r="AJ41" s="416">
        <f t="shared" ca="1" si="20"/>
        <v>0</v>
      </c>
      <c r="AK41" s="416">
        <f t="shared" ca="1" si="21"/>
        <v>0</v>
      </c>
      <c r="AL41" s="417">
        <v>0</v>
      </c>
      <c r="AM41" s="269">
        <f t="shared" ca="1" si="32"/>
        <v>0</v>
      </c>
      <c r="AN41" s="422">
        <f t="shared" ca="1" si="35"/>
        <v>18.380000000000003</v>
      </c>
      <c r="AO41" s="423">
        <f t="shared" ca="1" si="35"/>
        <v>25893685.458928723</v>
      </c>
      <c r="AP41" s="271">
        <f t="shared" ca="1" si="35"/>
        <v>0</v>
      </c>
      <c r="AQ41" s="271">
        <f t="shared" ca="1" si="35"/>
        <v>0.11849999999999999</v>
      </c>
      <c r="AR41" s="271">
        <f t="shared" ca="1" si="35"/>
        <v>0.11849999999999999</v>
      </c>
      <c r="AS41" s="271">
        <f t="shared" ca="1" si="35"/>
        <v>0.11849999999999999</v>
      </c>
      <c r="AT41" s="271">
        <f t="shared" ca="1" si="35"/>
        <v>0.02</v>
      </c>
      <c r="AU41" s="278">
        <f t="shared" ca="1" si="35"/>
        <v>0.1</v>
      </c>
    </row>
    <row r="42" spans="2:47" ht="13.15" thickBot="1" x14ac:dyDescent="0.4">
      <c r="B42" s="18">
        <f t="shared" si="31"/>
        <v>23</v>
      </c>
      <c r="C42" s="85">
        <f t="shared" ca="1" si="10"/>
        <v>0</v>
      </c>
      <c r="D42" s="85">
        <f t="shared" ca="1" si="2"/>
        <v>0</v>
      </c>
      <c r="E42" s="84">
        <f t="shared" ca="1" si="11"/>
        <v>0</v>
      </c>
      <c r="F42" s="135">
        <f t="shared" ca="1" si="25"/>
        <v>0</v>
      </c>
      <c r="G42" s="409">
        <f ca="1">BSGamma(L42,1/S42,1/O42,Q42,X42,Y42,T42)*N42</f>
        <v>0</v>
      </c>
      <c r="H42" s="409">
        <f t="shared" ca="1" si="5"/>
        <v>0</v>
      </c>
      <c r="I42" s="275">
        <f t="shared" ca="1" si="26"/>
        <v>0</v>
      </c>
      <c r="J42" s="275">
        <f t="shared" ca="1" si="12"/>
        <v>0</v>
      </c>
      <c r="K42" s="137">
        <f t="shared" ca="1" si="28"/>
        <v>0</v>
      </c>
      <c r="L42" s="15" t="str">
        <f t="shared" ca="1" si="34"/>
        <v>F</v>
      </c>
      <c r="M42" s="88">
        <f t="shared" ca="1" si="34"/>
        <v>0</v>
      </c>
      <c r="N42" s="88">
        <f t="shared" ca="1" si="34"/>
        <v>0</v>
      </c>
      <c r="O42" s="432">
        <v>1000000000000000</v>
      </c>
      <c r="P42" s="69">
        <v>109575</v>
      </c>
      <c r="Q42" s="3">
        <f t="shared" si="13"/>
        <v>64590</v>
      </c>
      <c r="R42" s="107">
        <f t="shared" ca="1" si="14"/>
        <v>18.29</v>
      </c>
      <c r="S42" s="105">
        <f t="shared" ca="1" si="15"/>
        <v>25727391.2880999</v>
      </c>
      <c r="T42" s="341">
        <v>0</v>
      </c>
      <c r="U42" s="341">
        <v>0.11849999999999999</v>
      </c>
      <c r="V42" s="341">
        <v>0.11849999999999999</v>
      </c>
      <c r="W42" s="341">
        <v>0.11849999999999999</v>
      </c>
      <c r="X42" s="281">
        <f t="shared" si="33"/>
        <v>0.02</v>
      </c>
      <c r="Y42" s="282">
        <f t="shared" si="27"/>
        <v>0.1</v>
      </c>
      <c r="AA42" s="391">
        <f t="shared" ca="1" si="16"/>
        <v>0</v>
      </c>
      <c r="AB42" s="400">
        <f t="shared" ca="1" si="8"/>
        <v>0</v>
      </c>
      <c r="AC42" s="258">
        <f t="shared" ca="1" si="8"/>
        <v>0</v>
      </c>
      <c r="AD42" s="258">
        <f t="shared" ca="1" si="8"/>
        <v>0</v>
      </c>
      <c r="AE42" s="402">
        <f t="shared" ca="1" si="8"/>
        <v>0</v>
      </c>
      <c r="AF42" s="402">
        <f t="shared" ca="1" si="8"/>
        <v>0</v>
      </c>
      <c r="AG42" s="404">
        <f t="shared" ca="1" si="17"/>
        <v>0</v>
      </c>
      <c r="AH42" s="415">
        <f t="shared" ca="1" si="18"/>
        <v>0</v>
      </c>
      <c r="AI42" s="415">
        <f t="shared" ca="1" si="19"/>
        <v>0</v>
      </c>
      <c r="AJ42" s="416">
        <f t="shared" ca="1" si="20"/>
        <v>0</v>
      </c>
      <c r="AK42" s="416">
        <f t="shared" ca="1" si="21"/>
        <v>0</v>
      </c>
      <c r="AL42" s="417">
        <v>0</v>
      </c>
      <c r="AM42" s="269">
        <f t="shared" ca="1" si="32"/>
        <v>0</v>
      </c>
      <c r="AN42" s="422">
        <f t="shared" ca="1" si="35"/>
        <v>18.380000000000003</v>
      </c>
      <c r="AO42" s="423">
        <f t="shared" ca="1" si="35"/>
        <v>25893685.458928723</v>
      </c>
      <c r="AP42" s="271">
        <f t="shared" ca="1" si="35"/>
        <v>0</v>
      </c>
      <c r="AQ42" s="271">
        <f t="shared" ca="1" si="35"/>
        <v>0.11849999999999999</v>
      </c>
      <c r="AR42" s="271">
        <f t="shared" ca="1" si="35"/>
        <v>0.11849999999999999</v>
      </c>
      <c r="AS42" s="271">
        <f t="shared" ca="1" si="35"/>
        <v>0.11849999999999999</v>
      </c>
      <c r="AT42" s="271">
        <f t="shared" ca="1" si="35"/>
        <v>0.02</v>
      </c>
      <c r="AU42" s="278">
        <f t="shared" ca="1" si="35"/>
        <v>0.1</v>
      </c>
    </row>
    <row r="43" spans="2:47" ht="13.15" thickBot="1" x14ac:dyDescent="0.4">
      <c r="B43" s="18">
        <f t="shared" si="31"/>
        <v>24</v>
      </c>
      <c r="C43" s="85">
        <f t="shared" ca="1" si="10"/>
        <v>0</v>
      </c>
      <c r="D43" s="85">
        <f t="shared" ca="1" si="2"/>
        <v>0</v>
      </c>
      <c r="E43" s="84">
        <f t="shared" ca="1" si="11"/>
        <v>0</v>
      </c>
      <c r="F43" s="135">
        <f t="shared" ca="1" si="25"/>
        <v>0</v>
      </c>
      <c r="G43" s="409">
        <f t="shared" ca="1" si="4"/>
        <v>0</v>
      </c>
      <c r="H43" s="409">
        <f t="shared" ca="1" si="5"/>
        <v>0</v>
      </c>
      <c r="I43" s="275">
        <f t="shared" ca="1" si="26"/>
        <v>0</v>
      </c>
      <c r="J43" s="275">
        <f t="shared" ca="1" si="12"/>
        <v>0</v>
      </c>
      <c r="K43" s="137">
        <f t="shared" ca="1" si="28"/>
        <v>0</v>
      </c>
      <c r="L43" s="15" t="str">
        <f t="shared" ca="1" si="34"/>
        <v>F</v>
      </c>
      <c r="M43" s="88">
        <f t="shared" ca="1" si="34"/>
        <v>0</v>
      </c>
      <c r="N43" s="88">
        <f t="shared" ca="1" si="34"/>
        <v>0</v>
      </c>
      <c r="O43" s="432">
        <v>1000000000000000</v>
      </c>
      <c r="P43" s="69">
        <v>109575</v>
      </c>
      <c r="Q43" s="3">
        <f t="shared" si="13"/>
        <v>64590</v>
      </c>
      <c r="R43" s="107">
        <f t="shared" ca="1" si="14"/>
        <v>18.29</v>
      </c>
      <c r="S43" s="105">
        <f t="shared" ca="1" si="15"/>
        <v>25727391.2880999</v>
      </c>
      <c r="T43" s="341">
        <v>0</v>
      </c>
      <c r="U43" s="341">
        <v>0.11849999999999999</v>
      </c>
      <c r="V43" s="341">
        <v>0.11849999999999999</v>
      </c>
      <c r="W43" s="341">
        <v>0.11849999999999999</v>
      </c>
      <c r="X43" s="281">
        <f t="shared" si="33"/>
        <v>0.02</v>
      </c>
      <c r="Y43" s="282">
        <f t="shared" si="27"/>
        <v>0.1</v>
      </c>
      <c r="AA43" s="391">
        <f t="shared" ca="1" si="16"/>
        <v>0</v>
      </c>
      <c r="AB43" s="400">
        <f t="shared" ca="1" si="8"/>
        <v>0</v>
      </c>
      <c r="AC43" s="258">
        <f t="shared" ca="1" si="8"/>
        <v>0</v>
      </c>
      <c r="AD43" s="258">
        <f t="shared" ca="1" si="8"/>
        <v>0</v>
      </c>
      <c r="AE43" s="402">
        <f t="shared" ca="1" si="8"/>
        <v>0</v>
      </c>
      <c r="AF43" s="402">
        <f t="shared" ca="1" si="8"/>
        <v>0</v>
      </c>
      <c r="AG43" s="404">
        <f t="shared" ca="1" si="17"/>
        <v>0</v>
      </c>
      <c r="AH43" s="415">
        <f t="shared" ca="1" si="18"/>
        <v>0</v>
      </c>
      <c r="AI43" s="415">
        <f t="shared" ca="1" si="19"/>
        <v>0</v>
      </c>
      <c r="AJ43" s="416">
        <f t="shared" ca="1" si="20"/>
        <v>0</v>
      </c>
      <c r="AK43" s="416">
        <f t="shared" ca="1" si="21"/>
        <v>0</v>
      </c>
      <c r="AL43" s="417">
        <v>0</v>
      </c>
      <c r="AM43" s="269">
        <f t="shared" ca="1" si="32"/>
        <v>0</v>
      </c>
      <c r="AN43" s="422">
        <f t="shared" ca="1" si="35"/>
        <v>18.380000000000003</v>
      </c>
      <c r="AO43" s="423">
        <f t="shared" ca="1" si="35"/>
        <v>25893685.458928723</v>
      </c>
      <c r="AP43" s="271">
        <f t="shared" ca="1" si="35"/>
        <v>0</v>
      </c>
      <c r="AQ43" s="271">
        <f t="shared" ca="1" si="35"/>
        <v>0.11849999999999999</v>
      </c>
      <c r="AR43" s="271">
        <f t="shared" ca="1" si="35"/>
        <v>0.11849999999999999</v>
      </c>
      <c r="AS43" s="271">
        <f t="shared" ca="1" si="35"/>
        <v>0.11849999999999999</v>
      </c>
      <c r="AT43" s="271">
        <f t="shared" ca="1" si="35"/>
        <v>0.02</v>
      </c>
      <c r="AU43" s="278">
        <f t="shared" ca="1" si="35"/>
        <v>0.1</v>
      </c>
    </row>
    <row r="44" spans="2:47" ht="13.15" thickBot="1" x14ac:dyDescent="0.4">
      <c r="B44" s="18">
        <f t="shared" si="31"/>
        <v>25</v>
      </c>
      <c r="C44" s="85">
        <f t="shared" ca="1" si="10"/>
        <v>0</v>
      </c>
      <c r="D44" s="85">
        <f t="shared" ca="1" si="2"/>
        <v>0</v>
      </c>
      <c r="E44" s="84">
        <f t="shared" ca="1" si="11"/>
        <v>0</v>
      </c>
      <c r="F44" s="135">
        <f t="shared" ca="1" si="25"/>
        <v>0</v>
      </c>
      <c r="G44" s="409">
        <f t="shared" ca="1" si="4"/>
        <v>0</v>
      </c>
      <c r="H44" s="409">
        <f t="shared" ca="1" si="5"/>
        <v>0</v>
      </c>
      <c r="I44" s="275">
        <f t="shared" ca="1" si="26"/>
        <v>0</v>
      </c>
      <c r="J44" s="275">
        <f t="shared" ca="1" si="12"/>
        <v>0</v>
      </c>
      <c r="K44" s="137">
        <f t="shared" ca="1" si="28"/>
        <v>0</v>
      </c>
      <c r="L44" s="15" t="str">
        <f t="shared" ca="1" si="34"/>
        <v>F</v>
      </c>
      <c r="M44" s="88">
        <f t="shared" ca="1" si="34"/>
        <v>0</v>
      </c>
      <c r="N44" s="88">
        <f t="shared" ca="1" si="34"/>
        <v>0</v>
      </c>
      <c r="O44" s="432">
        <v>1000000000000000</v>
      </c>
      <c r="P44" s="69">
        <v>109575</v>
      </c>
      <c r="Q44" s="3">
        <f t="shared" si="13"/>
        <v>64590</v>
      </c>
      <c r="R44" s="107">
        <f t="shared" ca="1" si="14"/>
        <v>18.29</v>
      </c>
      <c r="S44" s="105">
        <f t="shared" ca="1" si="15"/>
        <v>25727391.2880999</v>
      </c>
      <c r="T44" s="341">
        <v>0</v>
      </c>
      <c r="U44" s="341">
        <v>0.11849999999999999</v>
      </c>
      <c r="V44" s="341">
        <v>0.11849999999999999</v>
      </c>
      <c r="W44" s="341">
        <v>0.11849999999999999</v>
      </c>
      <c r="X44" s="281">
        <f t="shared" si="33"/>
        <v>0.02</v>
      </c>
      <c r="Y44" s="282">
        <f t="shared" si="27"/>
        <v>0.1</v>
      </c>
      <c r="AA44" s="391">
        <f t="shared" ca="1" si="16"/>
        <v>0</v>
      </c>
      <c r="AB44" s="400">
        <f t="shared" ca="1" si="8"/>
        <v>0</v>
      </c>
      <c r="AC44" s="258">
        <f t="shared" ca="1" si="8"/>
        <v>0</v>
      </c>
      <c r="AD44" s="258">
        <f t="shared" ca="1" si="8"/>
        <v>0</v>
      </c>
      <c r="AE44" s="402">
        <f t="shared" ca="1" si="8"/>
        <v>0</v>
      </c>
      <c r="AF44" s="402">
        <f t="shared" ca="1" si="8"/>
        <v>0</v>
      </c>
      <c r="AG44" s="404">
        <f t="shared" ca="1" si="17"/>
        <v>0</v>
      </c>
      <c r="AH44" s="415">
        <f t="shared" ca="1" si="18"/>
        <v>0</v>
      </c>
      <c r="AI44" s="415">
        <f t="shared" ca="1" si="19"/>
        <v>0</v>
      </c>
      <c r="AJ44" s="416">
        <f t="shared" ca="1" si="20"/>
        <v>0</v>
      </c>
      <c r="AK44" s="416">
        <f t="shared" ca="1" si="21"/>
        <v>0</v>
      </c>
      <c r="AL44" s="417">
        <v>0</v>
      </c>
      <c r="AM44" s="269">
        <f t="shared" ca="1" si="32"/>
        <v>0</v>
      </c>
      <c r="AN44" s="422">
        <f t="shared" ca="1" si="35"/>
        <v>18.380000000000003</v>
      </c>
      <c r="AO44" s="423">
        <f t="shared" ca="1" si="35"/>
        <v>25893685.458928723</v>
      </c>
      <c r="AP44" s="271">
        <f t="shared" ca="1" si="35"/>
        <v>0</v>
      </c>
      <c r="AQ44" s="271">
        <f t="shared" ca="1" si="35"/>
        <v>0.11849999999999999</v>
      </c>
      <c r="AR44" s="271">
        <f t="shared" ca="1" si="35"/>
        <v>0.11849999999999999</v>
      </c>
      <c r="AS44" s="271">
        <f t="shared" ca="1" si="35"/>
        <v>0.11849999999999999</v>
      </c>
      <c r="AT44" s="271">
        <f t="shared" ca="1" si="35"/>
        <v>0.02</v>
      </c>
      <c r="AU44" s="278">
        <f t="shared" ca="1" si="35"/>
        <v>0.1</v>
      </c>
    </row>
    <row r="45" spans="2:47" ht="13.15" thickBot="1" x14ac:dyDescent="0.4">
      <c r="B45" s="18">
        <f t="shared" si="31"/>
        <v>26</v>
      </c>
      <c r="C45" s="85">
        <f t="shared" ca="1" si="10"/>
        <v>0</v>
      </c>
      <c r="D45" s="85">
        <f t="shared" ca="1" si="2"/>
        <v>0</v>
      </c>
      <c r="E45" s="84">
        <f t="shared" ca="1" si="11"/>
        <v>0</v>
      </c>
      <c r="F45" s="135">
        <f t="shared" ca="1" si="25"/>
        <v>0</v>
      </c>
      <c r="G45" s="409">
        <f t="shared" ca="1" si="4"/>
        <v>0</v>
      </c>
      <c r="H45" s="409">
        <f t="shared" ca="1" si="5"/>
        <v>0</v>
      </c>
      <c r="I45" s="275">
        <f t="shared" ca="1" si="26"/>
        <v>0</v>
      </c>
      <c r="J45" s="275">
        <f t="shared" ca="1" si="12"/>
        <v>0</v>
      </c>
      <c r="K45" s="137">
        <f t="shared" ca="1" si="28"/>
        <v>0</v>
      </c>
      <c r="L45" s="15" t="str">
        <f t="shared" ca="1" si="34"/>
        <v>F</v>
      </c>
      <c r="M45" s="88">
        <f t="shared" ca="1" si="34"/>
        <v>0</v>
      </c>
      <c r="N45" s="88">
        <f t="shared" ca="1" si="34"/>
        <v>0</v>
      </c>
      <c r="O45" s="432">
        <v>1000000000000000</v>
      </c>
      <c r="P45" s="69">
        <v>109575</v>
      </c>
      <c r="Q45" s="3">
        <f t="shared" si="13"/>
        <v>64590</v>
      </c>
      <c r="R45" s="107">
        <f t="shared" ca="1" si="14"/>
        <v>18.29</v>
      </c>
      <c r="S45" s="105">
        <f t="shared" ca="1" si="15"/>
        <v>25727391.2880999</v>
      </c>
      <c r="T45" s="341">
        <v>0</v>
      </c>
      <c r="U45" s="341">
        <v>0.11849999999999999</v>
      </c>
      <c r="V45" s="341">
        <v>0.11849999999999999</v>
      </c>
      <c r="W45" s="341">
        <v>0.11849999999999999</v>
      </c>
      <c r="X45" s="281">
        <f t="shared" si="33"/>
        <v>0.02</v>
      </c>
      <c r="Y45" s="282">
        <f t="shared" si="27"/>
        <v>0.1</v>
      </c>
      <c r="AA45" s="391">
        <f t="shared" ca="1" si="16"/>
        <v>0</v>
      </c>
      <c r="AB45" s="400">
        <f t="shared" ca="1" si="8"/>
        <v>0</v>
      </c>
      <c r="AC45" s="258">
        <f t="shared" ca="1" si="8"/>
        <v>0</v>
      </c>
      <c r="AD45" s="258">
        <f t="shared" ca="1" si="8"/>
        <v>0</v>
      </c>
      <c r="AE45" s="402">
        <f t="shared" ca="1" si="8"/>
        <v>0</v>
      </c>
      <c r="AF45" s="402">
        <f t="shared" ca="1" si="8"/>
        <v>0</v>
      </c>
      <c r="AG45" s="404">
        <f t="shared" ca="1" si="17"/>
        <v>0</v>
      </c>
      <c r="AH45" s="415">
        <f t="shared" ca="1" si="18"/>
        <v>0</v>
      </c>
      <c r="AI45" s="415">
        <f t="shared" ca="1" si="19"/>
        <v>0</v>
      </c>
      <c r="AJ45" s="416">
        <f t="shared" ca="1" si="20"/>
        <v>0</v>
      </c>
      <c r="AK45" s="416">
        <f t="shared" ca="1" si="21"/>
        <v>0</v>
      </c>
      <c r="AL45" s="417">
        <v>0</v>
      </c>
      <c r="AM45" s="269">
        <f t="shared" ca="1" si="32"/>
        <v>0</v>
      </c>
      <c r="AN45" s="422">
        <f t="shared" ca="1" si="35"/>
        <v>18.380000000000003</v>
      </c>
      <c r="AO45" s="423">
        <f t="shared" ca="1" si="35"/>
        <v>25893685.458928723</v>
      </c>
      <c r="AP45" s="271">
        <f t="shared" ca="1" si="35"/>
        <v>0</v>
      </c>
      <c r="AQ45" s="271">
        <f t="shared" ca="1" si="35"/>
        <v>0.11849999999999999</v>
      </c>
      <c r="AR45" s="271">
        <f t="shared" ca="1" si="35"/>
        <v>0.11849999999999999</v>
      </c>
      <c r="AS45" s="271">
        <f t="shared" ca="1" si="35"/>
        <v>0.11849999999999999</v>
      </c>
      <c r="AT45" s="271">
        <f t="shared" ca="1" si="35"/>
        <v>0.02</v>
      </c>
      <c r="AU45" s="278">
        <f t="shared" ca="1" si="35"/>
        <v>0.1</v>
      </c>
    </row>
    <row r="46" spans="2:47" ht="13.15" thickBot="1" x14ac:dyDescent="0.4">
      <c r="B46" s="18">
        <f t="shared" si="31"/>
        <v>27</v>
      </c>
      <c r="C46" s="85">
        <f t="shared" ca="1" si="10"/>
        <v>0</v>
      </c>
      <c r="D46" s="85">
        <f t="shared" ca="1" si="2"/>
        <v>0</v>
      </c>
      <c r="E46" s="84">
        <f t="shared" ca="1" si="11"/>
        <v>0</v>
      </c>
      <c r="F46" s="135">
        <f t="shared" ca="1" si="25"/>
        <v>0</v>
      </c>
      <c r="G46" s="409">
        <f t="shared" ca="1" si="4"/>
        <v>0</v>
      </c>
      <c r="H46" s="409">
        <f t="shared" ca="1" si="5"/>
        <v>0</v>
      </c>
      <c r="I46" s="275">
        <f t="shared" ca="1" si="26"/>
        <v>0</v>
      </c>
      <c r="J46" s="275">
        <f t="shared" ca="1" si="12"/>
        <v>0</v>
      </c>
      <c r="K46" s="137">
        <f t="shared" ca="1" si="28"/>
        <v>0</v>
      </c>
      <c r="L46" s="15" t="str">
        <f t="shared" ca="1" si="34"/>
        <v>F</v>
      </c>
      <c r="M46" s="88">
        <f t="shared" ca="1" si="34"/>
        <v>0</v>
      </c>
      <c r="N46" s="88">
        <f t="shared" ca="1" si="34"/>
        <v>0</v>
      </c>
      <c r="O46" s="432">
        <v>1000000000000000</v>
      </c>
      <c r="P46" s="69">
        <v>109575</v>
      </c>
      <c r="Q46" s="3">
        <f t="shared" si="13"/>
        <v>64590</v>
      </c>
      <c r="R46" s="107">
        <f t="shared" ca="1" si="14"/>
        <v>18.29</v>
      </c>
      <c r="S46" s="105">
        <f t="shared" ca="1" si="15"/>
        <v>25727391.2880999</v>
      </c>
      <c r="T46" s="341">
        <v>0</v>
      </c>
      <c r="U46" s="341">
        <v>0.11849999999999999</v>
      </c>
      <c r="V46" s="341">
        <v>0.11849999999999999</v>
      </c>
      <c r="W46" s="341">
        <v>0.11849999999999999</v>
      </c>
      <c r="X46" s="281">
        <f t="shared" si="33"/>
        <v>0.02</v>
      </c>
      <c r="Y46" s="282">
        <f t="shared" si="27"/>
        <v>0.1</v>
      </c>
      <c r="AA46" s="391">
        <f t="shared" ca="1" si="16"/>
        <v>0</v>
      </c>
      <c r="AB46" s="400">
        <f t="shared" ca="1" si="8"/>
        <v>0</v>
      </c>
      <c r="AC46" s="258">
        <f t="shared" ca="1" si="8"/>
        <v>0</v>
      </c>
      <c r="AD46" s="258">
        <f t="shared" ca="1" si="8"/>
        <v>0</v>
      </c>
      <c r="AE46" s="402">
        <f t="shared" ca="1" si="8"/>
        <v>0</v>
      </c>
      <c r="AF46" s="402">
        <f t="shared" ca="1" si="8"/>
        <v>0</v>
      </c>
      <c r="AG46" s="404">
        <f t="shared" ca="1" si="17"/>
        <v>0</v>
      </c>
      <c r="AH46" s="415">
        <f t="shared" ca="1" si="18"/>
        <v>0</v>
      </c>
      <c r="AI46" s="415">
        <f t="shared" ca="1" si="19"/>
        <v>0</v>
      </c>
      <c r="AJ46" s="416">
        <f t="shared" ca="1" si="20"/>
        <v>0</v>
      </c>
      <c r="AK46" s="416">
        <f t="shared" ca="1" si="21"/>
        <v>0</v>
      </c>
      <c r="AL46" s="417">
        <v>0</v>
      </c>
      <c r="AM46" s="269">
        <f t="shared" ca="1" si="32"/>
        <v>0</v>
      </c>
      <c r="AN46" s="422">
        <f t="shared" ca="1" si="35"/>
        <v>18.380000000000003</v>
      </c>
      <c r="AO46" s="423">
        <f t="shared" ca="1" si="35"/>
        <v>25893685.458928723</v>
      </c>
      <c r="AP46" s="271">
        <f t="shared" ca="1" si="35"/>
        <v>0</v>
      </c>
      <c r="AQ46" s="271">
        <f t="shared" ca="1" si="35"/>
        <v>0.11849999999999999</v>
      </c>
      <c r="AR46" s="271">
        <f t="shared" ca="1" si="35"/>
        <v>0.11849999999999999</v>
      </c>
      <c r="AS46" s="271">
        <f t="shared" ca="1" si="35"/>
        <v>0.11849999999999999</v>
      </c>
      <c r="AT46" s="271">
        <f t="shared" ca="1" si="35"/>
        <v>0.02</v>
      </c>
      <c r="AU46" s="278">
        <f t="shared" ca="1" si="35"/>
        <v>0.1</v>
      </c>
    </row>
    <row r="47" spans="2:47" ht="13.15" thickBot="1" x14ac:dyDescent="0.4">
      <c r="B47" s="18">
        <f t="shared" si="31"/>
        <v>28</v>
      </c>
      <c r="C47" s="85">
        <f t="shared" ca="1" si="10"/>
        <v>0</v>
      </c>
      <c r="D47" s="85">
        <f t="shared" ca="1" si="2"/>
        <v>0</v>
      </c>
      <c r="E47" s="84">
        <f t="shared" ca="1" si="11"/>
        <v>0</v>
      </c>
      <c r="F47" s="135">
        <f t="shared" ca="1" si="25"/>
        <v>0</v>
      </c>
      <c r="G47" s="409">
        <f t="shared" ca="1" si="4"/>
        <v>0</v>
      </c>
      <c r="H47" s="409">
        <f t="shared" ca="1" si="5"/>
        <v>0</v>
      </c>
      <c r="I47" s="275">
        <f t="shared" ca="1" si="26"/>
        <v>0</v>
      </c>
      <c r="J47" s="275">
        <f t="shared" ca="1" si="12"/>
        <v>0</v>
      </c>
      <c r="K47" s="137">
        <f t="shared" ca="1" si="28"/>
        <v>0</v>
      </c>
      <c r="L47" s="15" t="str">
        <f t="shared" ca="1" si="34"/>
        <v>F</v>
      </c>
      <c r="M47" s="88">
        <f t="shared" ca="1" si="34"/>
        <v>0</v>
      </c>
      <c r="N47" s="88">
        <f t="shared" ca="1" si="34"/>
        <v>0</v>
      </c>
      <c r="O47" s="432">
        <v>1000000000000000</v>
      </c>
      <c r="P47" s="69">
        <v>109575</v>
      </c>
      <c r="Q47" s="3">
        <f t="shared" si="13"/>
        <v>64590</v>
      </c>
      <c r="R47" s="107">
        <f t="shared" ca="1" si="14"/>
        <v>18.29</v>
      </c>
      <c r="S47" s="105">
        <f t="shared" ca="1" si="15"/>
        <v>25727391.2880999</v>
      </c>
      <c r="T47" s="341">
        <v>0</v>
      </c>
      <c r="U47" s="341">
        <v>0.11849999999999999</v>
      </c>
      <c r="V47" s="341">
        <v>0.11849999999999999</v>
      </c>
      <c r="W47" s="341">
        <v>0.11849999999999999</v>
      </c>
      <c r="X47" s="281">
        <f t="shared" si="33"/>
        <v>0.02</v>
      </c>
      <c r="Y47" s="282">
        <f t="shared" si="27"/>
        <v>0.1</v>
      </c>
      <c r="AA47" s="391">
        <f t="shared" ca="1" si="16"/>
        <v>0</v>
      </c>
      <c r="AB47" s="400">
        <f t="shared" ca="1" si="8"/>
        <v>0</v>
      </c>
      <c r="AC47" s="258">
        <f t="shared" ca="1" si="8"/>
        <v>0</v>
      </c>
      <c r="AD47" s="258">
        <f t="shared" ca="1" si="8"/>
        <v>0</v>
      </c>
      <c r="AE47" s="402">
        <f t="shared" ca="1" si="8"/>
        <v>0</v>
      </c>
      <c r="AF47" s="402">
        <f t="shared" ca="1" si="8"/>
        <v>0</v>
      </c>
      <c r="AG47" s="404">
        <f t="shared" ca="1" si="17"/>
        <v>0</v>
      </c>
      <c r="AH47" s="415">
        <f t="shared" ca="1" si="18"/>
        <v>0</v>
      </c>
      <c r="AI47" s="415">
        <f t="shared" ca="1" si="19"/>
        <v>0</v>
      </c>
      <c r="AJ47" s="416">
        <f t="shared" ca="1" si="20"/>
        <v>0</v>
      </c>
      <c r="AK47" s="416">
        <f t="shared" ca="1" si="21"/>
        <v>0</v>
      </c>
      <c r="AL47" s="417">
        <v>0</v>
      </c>
      <c r="AM47" s="269">
        <f t="shared" ca="1" si="32"/>
        <v>0</v>
      </c>
      <c r="AN47" s="422">
        <f t="shared" ca="1" si="35"/>
        <v>18.380000000000003</v>
      </c>
      <c r="AO47" s="423">
        <f t="shared" ca="1" si="35"/>
        <v>25893685.458928723</v>
      </c>
      <c r="AP47" s="271">
        <f t="shared" ca="1" si="35"/>
        <v>0</v>
      </c>
      <c r="AQ47" s="271">
        <f t="shared" ca="1" si="35"/>
        <v>0.11849999999999999</v>
      </c>
      <c r="AR47" s="271">
        <f t="shared" ca="1" si="35"/>
        <v>0.11849999999999999</v>
      </c>
      <c r="AS47" s="271">
        <f t="shared" ca="1" si="35"/>
        <v>0.11849999999999999</v>
      </c>
      <c r="AT47" s="271">
        <f t="shared" ca="1" si="35"/>
        <v>0.02</v>
      </c>
      <c r="AU47" s="278">
        <f t="shared" ca="1" si="35"/>
        <v>0.1</v>
      </c>
    </row>
    <row r="48" spans="2:47" ht="13.15" thickBot="1" x14ac:dyDescent="0.4">
      <c r="B48" s="18">
        <f t="shared" si="31"/>
        <v>29</v>
      </c>
      <c r="C48" s="85">
        <f t="shared" ca="1" si="10"/>
        <v>0</v>
      </c>
      <c r="D48" s="85">
        <f t="shared" ca="1" si="2"/>
        <v>0</v>
      </c>
      <c r="E48" s="84">
        <f t="shared" ca="1" si="11"/>
        <v>0</v>
      </c>
      <c r="F48" s="135">
        <f t="shared" ca="1" si="25"/>
        <v>0</v>
      </c>
      <c r="G48" s="409">
        <f t="shared" ca="1" si="4"/>
        <v>0</v>
      </c>
      <c r="H48" s="409">
        <f t="shared" ca="1" si="5"/>
        <v>0</v>
      </c>
      <c r="I48" s="275">
        <f t="shared" ca="1" si="26"/>
        <v>0</v>
      </c>
      <c r="J48" s="275">
        <f t="shared" ca="1" si="12"/>
        <v>0</v>
      </c>
      <c r="K48" s="137">
        <f t="shared" ca="1" si="28"/>
        <v>0</v>
      </c>
      <c r="L48" s="15" t="str">
        <f t="shared" ca="1" si="34"/>
        <v>F</v>
      </c>
      <c r="M48" s="88">
        <f t="shared" ca="1" si="34"/>
        <v>0</v>
      </c>
      <c r="N48" s="88">
        <f t="shared" ca="1" si="34"/>
        <v>0</v>
      </c>
      <c r="O48" s="432">
        <v>1000000000000000</v>
      </c>
      <c r="P48" s="69">
        <v>109575</v>
      </c>
      <c r="Q48" s="3">
        <f t="shared" si="13"/>
        <v>64590</v>
      </c>
      <c r="R48" s="107">
        <f t="shared" ca="1" si="14"/>
        <v>18.29</v>
      </c>
      <c r="S48" s="105">
        <f t="shared" ca="1" si="15"/>
        <v>25727391.2880999</v>
      </c>
      <c r="T48" s="341">
        <v>0</v>
      </c>
      <c r="U48" s="341">
        <v>0.11849999999999999</v>
      </c>
      <c r="V48" s="341">
        <v>0.11849999999999999</v>
      </c>
      <c r="W48" s="341">
        <v>0.11849999999999999</v>
      </c>
      <c r="X48" s="281">
        <f t="shared" si="33"/>
        <v>0.02</v>
      </c>
      <c r="Y48" s="282">
        <f t="shared" si="27"/>
        <v>0.1</v>
      </c>
      <c r="AA48" s="391">
        <f t="shared" ca="1" si="16"/>
        <v>0</v>
      </c>
      <c r="AB48" s="400">
        <f t="shared" ca="1" si="8"/>
        <v>0</v>
      </c>
      <c r="AC48" s="258">
        <f t="shared" ca="1" si="8"/>
        <v>0</v>
      </c>
      <c r="AD48" s="258">
        <f t="shared" ca="1" si="8"/>
        <v>0</v>
      </c>
      <c r="AE48" s="402">
        <f t="shared" ca="1" si="8"/>
        <v>0</v>
      </c>
      <c r="AF48" s="402">
        <f t="shared" ca="1" si="8"/>
        <v>0</v>
      </c>
      <c r="AG48" s="404">
        <f t="shared" ca="1" si="17"/>
        <v>0</v>
      </c>
      <c r="AH48" s="415">
        <f t="shared" ca="1" si="18"/>
        <v>0</v>
      </c>
      <c r="AI48" s="415">
        <f t="shared" ca="1" si="19"/>
        <v>0</v>
      </c>
      <c r="AJ48" s="416">
        <f t="shared" ca="1" si="20"/>
        <v>0</v>
      </c>
      <c r="AK48" s="416">
        <f t="shared" ca="1" si="21"/>
        <v>0</v>
      </c>
      <c r="AL48" s="417">
        <v>0</v>
      </c>
      <c r="AM48" s="269">
        <f t="shared" ca="1" si="32"/>
        <v>0</v>
      </c>
      <c r="AN48" s="422">
        <f t="shared" ca="1" si="35"/>
        <v>18.380000000000003</v>
      </c>
      <c r="AO48" s="423">
        <f t="shared" ca="1" si="35"/>
        <v>25893685.458928723</v>
      </c>
      <c r="AP48" s="271">
        <f t="shared" ca="1" si="35"/>
        <v>0</v>
      </c>
      <c r="AQ48" s="271">
        <f t="shared" ca="1" si="35"/>
        <v>0.11849999999999999</v>
      </c>
      <c r="AR48" s="271">
        <f t="shared" ca="1" si="35"/>
        <v>0.11849999999999999</v>
      </c>
      <c r="AS48" s="271">
        <f t="shared" ca="1" si="35"/>
        <v>0.11849999999999999</v>
      </c>
      <c r="AT48" s="271">
        <f t="shared" ca="1" si="35"/>
        <v>0.02</v>
      </c>
      <c r="AU48" s="278">
        <f t="shared" ca="1" si="35"/>
        <v>0.1</v>
      </c>
    </row>
    <row r="49" spans="2:47" ht="13.15" thickBot="1" x14ac:dyDescent="0.4">
      <c r="B49" s="18">
        <f t="shared" si="31"/>
        <v>30</v>
      </c>
      <c r="C49" s="85">
        <f t="shared" ca="1" si="10"/>
        <v>0</v>
      </c>
      <c r="D49" s="85">
        <f t="shared" ca="1" si="2"/>
        <v>0</v>
      </c>
      <c r="E49" s="84">
        <f t="shared" ca="1" si="11"/>
        <v>0</v>
      </c>
      <c r="F49" s="135">
        <f t="shared" ca="1" si="25"/>
        <v>0</v>
      </c>
      <c r="G49" s="409">
        <f t="shared" ca="1" si="4"/>
        <v>0</v>
      </c>
      <c r="H49" s="409">
        <f t="shared" ca="1" si="5"/>
        <v>0</v>
      </c>
      <c r="I49" s="275">
        <f t="shared" ca="1" si="26"/>
        <v>0</v>
      </c>
      <c r="J49" s="275">
        <f t="shared" ca="1" si="12"/>
        <v>0</v>
      </c>
      <c r="K49" s="137">
        <f t="shared" ca="1" si="28"/>
        <v>0</v>
      </c>
      <c r="L49" s="15" t="str">
        <f t="shared" ca="1" si="34"/>
        <v>F</v>
      </c>
      <c r="M49" s="88">
        <f t="shared" ca="1" si="34"/>
        <v>0</v>
      </c>
      <c r="N49" s="88">
        <f t="shared" ca="1" si="34"/>
        <v>0</v>
      </c>
      <c r="O49" s="432">
        <v>1000000000000000</v>
      </c>
      <c r="P49" s="69">
        <v>109575</v>
      </c>
      <c r="Q49" s="3">
        <f t="shared" si="13"/>
        <v>64590</v>
      </c>
      <c r="R49" s="107">
        <f t="shared" ca="1" si="14"/>
        <v>18.29</v>
      </c>
      <c r="S49" s="105">
        <f t="shared" ca="1" si="15"/>
        <v>25727391.2880999</v>
      </c>
      <c r="T49" s="341">
        <v>0</v>
      </c>
      <c r="U49" s="341">
        <v>0.11849999999999999</v>
      </c>
      <c r="V49" s="341">
        <v>0.11849999999999999</v>
      </c>
      <c r="W49" s="341">
        <v>0.11849999999999999</v>
      </c>
      <c r="X49" s="281">
        <f t="shared" si="33"/>
        <v>0.02</v>
      </c>
      <c r="Y49" s="282">
        <f t="shared" si="27"/>
        <v>0.1</v>
      </c>
      <c r="AA49" s="391">
        <f t="shared" ca="1" si="16"/>
        <v>0</v>
      </c>
      <c r="AB49" s="400">
        <f t="shared" ca="1" si="8"/>
        <v>0</v>
      </c>
      <c r="AC49" s="258">
        <f t="shared" ca="1" si="8"/>
        <v>0</v>
      </c>
      <c r="AD49" s="258">
        <f t="shared" ca="1" si="8"/>
        <v>0</v>
      </c>
      <c r="AE49" s="402">
        <f t="shared" ca="1" si="8"/>
        <v>0</v>
      </c>
      <c r="AF49" s="402">
        <f t="shared" ca="1" si="8"/>
        <v>0</v>
      </c>
      <c r="AG49" s="404">
        <f t="shared" ca="1" si="17"/>
        <v>0</v>
      </c>
      <c r="AH49" s="415">
        <f t="shared" ca="1" si="18"/>
        <v>0</v>
      </c>
      <c r="AI49" s="415">
        <f t="shared" ca="1" si="19"/>
        <v>0</v>
      </c>
      <c r="AJ49" s="416">
        <f t="shared" ca="1" si="20"/>
        <v>0</v>
      </c>
      <c r="AK49" s="416">
        <f t="shared" ca="1" si="21"/>
        <v>0</v>
      </c>
      <c r="AL49" s="417">
        <v>0</v>
      </c>
      <c r="AM49" s="269">
        <f t="shared" ca="1" si="32"/>
        <v>0</v>
      </c>
      <c r="AN49" s="422">
        <f t="shared" ca="1" si="35"/>
        <v>18.380000000000003</v>
      </c>
      <c r="AO49" s="423">
        <f t="shared" ca="1" si="35"/>
        <v>25893685.458928723</v>
      </c>
      <c r="AP49" s="271">
        <f t="shared" ca="1" si="35"/>
        <v>0</v>
      </c>
      <c r="AQ49" s="271">
        <f t="shared" ca="1" si="35"/>
        <v>0.11849999999999999</v>
      </c>
      <c r="AR49" s="271">
        <f t="shared" ca="1" si="35"/>
        <v>0.11849999999999999</v>
      </c>
      <c r="AS49" s="271">
        <f t="shared" ca="1" si="35"/>
        <v>0.11849999999999999</v>
      </c>
      <c r="AT49" s="271">
        <f t="shared" ca="1" si="35"/>
        <v>0.02</v>
      </c>
      <c r="AU49" s="278">
        <f t="shared" ca="1" si="35"/>
        <v>0.1</v>
      </c>
    </row>
    <row r="50" spans="2:47" ht="13.15" thickBot="1" x14ac:dyDescent="0.4">
      <c r="B50" s="18">
        <f t="shared" si="31"/>
        <v>31</v>
      </c>
      <c r="C50" s="85">
        <f t="shared" ca="1" si="10"/>
        <v>0</v>
      </c>
      <c r="D50" s="85">
        <f t="shared" ca="1" si="2"/>
        <v>0</v>
      </c>
      <c r="E50" s="84">
        <f t="shared" ca="1" si="11"/>
        <v>0</v>
      </c>
      <c r="F50" s="135">
        <f t="shared" ca="1" si="25"/>
        <v>0</v>
      </c>
      <c r="G50" s="409">
        <f t="shared" ca="1" si="4"/>
        <v>0</v>
      </c>
      <c r="H50" s="409">
        <f t="shared" ca="1" si="5"/>
        <v>0</v>
      </c>
      <c r="I50" s="275">
        <f t="shared" ca="1" si="26"/>
        <v>0</v>
      </c>
      <c r="J50" s="275">
        <f t="shared" ca="1" si="12"/>
        <v>0</v>
      </c>
      <c r="K50" s="137">
        <f t="shared" ca="1" si="28"/>
        <v>0</v>
      </c>
      <c r="L50" s="15" t="str">
        <f t="shared" ca="1" si="34"/>
        <v>F</v>
      </c>
      <c r="M50" s="88">
        <f t="shared" ca="1" si="34"/>
        <v>0</v>
      </c>
      <c r="N50" s="88">
        <f t="shared" ca="1" si="34"/>
        <v>0</v>
      </c>
      <c r="O50" s="432">
        <v>1000000000000000</v>
      </c>
      <c r="P50" s="69">
        <v>109575</v>
      </c>
      <c r="Q50" s="3">
        <f t="shared" si="13"/>
        <v>64590</v>
      </c>
      <c r="R50" s="107">
        <f t="shared" ca="1" si="14"/>
        <v>18.29</v>
      </c>
      <c r="S50" s="105">
        <f t="shared" ca="1" si="15"/>
        <v>25727391.2880999</v>
      </c>
      <c r="T50" s="341">
        <v>0</v>
      </c>
      <c r="U50" s="341">
        <v>0.11849999999999999</v>
      </c>
      <c r="V50" s="341">
        <v>0.11849999999999999</v>
      </c>
      <c r="W50" s="341">
        <v>0.11849999999999999</v>
      </c>
      <c r="X50" s="281">
        <f t="shared" si="33"/>
        <v>0.02</v>
      </c>
      <c r="Y50" s="282">
        <f t="shared" si="27"/>
        <v>0.1</v>
      </c>
      <c r="AA50" s="391">
        <f t="shared" ca="1" si="16"/>
        <v>0</v>
      </c>
      <c r="AB50" s="400">
        <f t="shared" ca="1" si="8"/>
        <v>0</v>
      </c>
      <c r="AC50" s="258">
        <f t="shared" ca="1" si="8"/>
        <v>0</v>
      </c>
      <c r="AD50" s="258">
        <f t="shared" ca="1" si="8"/>
        <v>0</v>
      </c>
      <c r="AE50" s="402">
        <f t="shared" ca="1" si="8"/>
        <v>0</v>
      </c>
      <c r="AF50" s="402">
        <f t="shared" ca="1" si="8"/>
        <v>0</v>
      </c>
      <c r="AG50" s="404">
        <f t="shared" ca="1" si="17"/>
        <v>0</v>
      </c>
      <c r="AH50" s="415">
        <f t="shared" ca="1" si="18"/>
        <v>0</v>
      </c>
      <c r="AI50" s="415">
        <f t="shared" ca="1" si="19"/>
        <v>0</v>
      </c>
      <c r="AJ50" s="416">
        <f t="shared" ca="1" si="20"/>
        <v>0</v>
      </c>
      <c r="AK50" s="416">
        <f t="shared" ca="1" si="21"/>
        <v>0</v>
      </c>
      <c r="AL50" s="417">
        <v>0</v>
      </c>
      <c r="AM50" s="269">
        <f t="shared" ca="1" si="32"/>
        <v>0</v>
      </c>
      <c r="AN50" s="422">
        <f t="shared" ca="1" si="35"/>
        <v>18.380000000000003</v>
      </c>
      <c r="AO50" s="423">
        <f t="shared" ca="1" si="35"/>
        <v>25893685.458928723</v>
      </c>
      <c r="AP50" s="271">
        <f t="shared" ca="1" si="35"/>
        <v>0</v>
      </c>
      <c r="AQ50" s="271">
        <f t="shared" ca="1" si="35"/>
        <v>0.11849999999999999</v>
      </c>
      <c r="AR50" s="271">
        <f t="shared" ca="1" si="35"/>
        <v>0.11849999999999999</v>
      </c>
      <c r="AS50" s="271">
        <f t="shared" ca="1" si="35"/>
        <v>0.11849999999999999</v>
      </c>
      <c r="AT50" s="271">
        <f t="shared" ca="1" si="35"/>
        <v>0.02</v>
      </c>
      <c r="AU50" s="278">
        <f t="shared" ca="1" si="35"/>
        <v>0.1</v>
      </c>
    </row>
    <row r="51" spans="2:47" ht="13.15" thickBot="1" x14ac:dyDescent="0.4">
      <c r="B51" s="18">
        <f t="shared" si="31"/>
        <v>32</v>
      </c>
      <c r="C51" s="85">
        <f t="shared" ca="1" si="10"/>
        <v>0</v>
      </c>
      <c r="D51" s="85">
        <f t="shared" ca="1" si="2"/>
        <v>0</v>
      </c>
      <c r="E51" s="84">
        <f t="shared" ca="1" si="11"/>
        <v>0</v>
      </c>
      <c r="F51" s="135">
        <f t="shared" ca="1" si="25"/>
        <v>0</v>
      </c>
      <c r="G51" s="409">
        <f t="shared" ca="1" si="4"/>
        <v>0</v>
      </c>
      <c r="H51" s="409">
        <f t="shared" ca="1" si="5"/>
        <v>0</v>
      </c>
      <c r="I51" s="275">
        <f t="shared" ca="1" si="26"/>
        <v>0</v>
      </c>
      <c r="J51" s="275">
        <f t="shared" ca="1" si="12"/>
        <v>0</v>
      </c>
      <c r="K51" s="137">
        <f t="shared" ca="1" si="28"/>
        <v>0</v>
      </c>
      <c r="L51" s="15" t="str">
        <f t="shared" ca="1" si="34"/>
        <v>F</v>
      </c>
      <c r="M51" s="88">
        <f t="shared" ca="1" si="34"/>
        <v>0</v>
      </c>
      <c r="N51" s="88">
        <f t="shared" ca="1" si="34"/>
        <v>0</v>
      </c>
      <c r="O51" s="432">
        <v>1000000000000000</v>
      </c>
      <c r="P51" s="69">
        <v>109575</v>
      </c>
      <c r="Q51" s="3">
        <f t="shared" si="13"/>
        <v>64590</v>
      </c>
      <c r="R51" s="107">
        <f t="shared" ca="1" si="14"/>
        <v>18.29</v>
      </c>
      <c r="S51" s="105">
        <f t="shared" ca="1" si="15"/>
        <v>25727391.2880999</v>
      </c>
      <c r="T51" s="341">
        <v>0</v>
      </c>
      <c r="U51" s="341">
        <v>0.11849999999999999</v>
      </c>
      <c r="V51" s="341">
        <v>0.11849999999999999</v>
      </c>
      <c r="W51" s="341">
        <v>0.11849999999999999</v>
      </c>
      <c r="X51" s="281">
        <f t="shared" si="33"/>
        <v>0.02</v>
      </c>
      <c r="Y51" s="282">
        <f t="shared" si="27"/>
        <v>0.1</v>
      </c>
      <c r="AA51" s="391">
        <f t="shared" ca="1" si="16"/>
        <v>0</v>
      </c>
      <c r="AB51" s="400">
        <f t="shared" ca="1" si="8"/>
        <v>0</v>
      </c>
      <c r="AC51" s="258">
        <f t="shared" ca="1" si="8"/>
        <v>0</v>
      </c>
      <c r="AD51" s="258">
        <f t="shared" ca="1" si="8"/>
        <v>0</v>
      </c>
      <c r="AE51" s="402">
        <f t="shared" ca="1" si="8"/>
        <v>0</v>
      </c>
      <c r="AF51" s="402">
        <f t="shared" ca="1" si="8"/>
        <v>0</v>
      </c>
      <c r="AG51" s="404">
        <f t="shared" ca="1" si="17"/>
        <v>0</v>
      </c>
      <c r="AH51" s="415">
        <f t="shared" ca="1" si="18"/>
        <v>0</v>
      </c>
      <c r="AI51" s="415">
        <f t="shared" ca="1" si="19"/>
        <v>0</v>
      </c>
      <c r="AJ51" s="416">
        <f t="shared" ca="1" si="20"/>
        <v>0</v>
      </c>
      <c r="AK51" s="416">
        <f t="shared" ca="1" si="21"/>
        <v>0</v>
      </c>
      <c r="AL51" s="417">
        <v>0</v>
      </c>
      <c r="AM51" s="269">
        <f t="shared" ca="1" si="32"/>
        <v>0</v>
      </c>
      <c r="AN51" s="422">
        <f t="shared" ca="1" si="35"/>
        <v>18.380000000000003</v>
      </c>
      <c r="AO51" s="423">
        <f t="shared" ca="1" si="35"/>
        <v>25893685.458928723</v>
      </c>
      <c r="AP51" s="271">
        <f t="shared" ca="1" si="35"/>
        <v>0</v>
      </c>
      <c r="AQ51" s="271">
        <f t="shared" ca="1" si="35"/>
        <v>0.11849999999999999</v>
      </c>
      <c r="AR51" s="271">
        <f t="shared" ca="1" si="35"/>
        <v>0.11849999999999999</v>
      </c>
      <c r="AS51" s="271">
        <f t="shared" ca="1" si="35"/>
        <v>0.11849999999999999</v>
      </c>
      <c r="AT51" s="271">
        <f t="shared" ca="1" si="35"/>
        <v>0.02</v>
      </c>
      <c r="AU51" s="278">
        <f t="shared" ca="1" si="35"/>
        <v>0.1</v>
      </c>
    </row>
    <row r="52" spans="2:47" ht="13.15" thickBot="1" x14ac:dyDescent="0.4">
      <c r="B52" s="18">
        <f t="shared" si="31"/>
        <v>33</v>
      </c>
      <c r="C52" s="85">
        <f t="shared" ca="1" si="10"/>
        <v>0</v>
      </c>
      <c r="D52" s="85">
        <f t="shared" ca="1" si="2"/>
        <v>0</v>
      </c>
      <c r="E52" s="84">
        <f t="shared" ca="1" si="11"/>
        <v>0</v>
      </c>
      <c r="F52" s="135">
        <f t="shared" ca="1" si="25"/>
        <v>0</v>
      </c>
      <c r="G52" s="409">
        <f t="shared" ca="1" si="4"/>
        <v>0</v>
      </c>
      <c r="H52" s="409">
        <f t="shared" ca="1" si="5"/>
        <v>0</v>
      </c>
      <c r="I52" s="275">
        <f t="shared" ca="1" si="26"/>
        <v>0</v>
      </c>
      <c r="J52" s="275">
        <f t="shared" ca="1" si="12"/>
        <v>0</v>
      </c>
      <c r="K52" s="137">
        <f t="shared" ca="1" si="28"/>
        <v>0</v>
      </c>
      <c r="L52" s="15" t="str">
        <f t="shared" ref="L52:N68" ca="1" si="36">INDIRECT("'"&amp; $AB$16 &amp;"'!"&amp; ADDRESS(ROW(L52),COLUMN(L52),4))</f>
        <v>F</v>
      </c>
      <c r="M52" s="88">
        <f t="shared" ca="1" si="36"/>
        <v>0</v>
      </c>
      <c r="N52" s="88">
        <f t="shared" ca="1" si="36"/>
        <v>0</v>
      </c>
      <c r="O52" s="432">
        <v>1000000000000000</v>
      </c>
      <c r="P52" s="69">
        <v>109575</v>
      </c>
      <c r="Q52" s="3">
        <f t="shared" si="13"/>
        <v>64590</v>
      </c>
      <c r="R52" s="107">
        <f t="shared" ca="1" si="14"/>
        <v>18.29</v>
      </c>
      <c r="S52" s="105">
        <f t="shared" ca="1" si="15"/>
        <v>25727391.2880999</v>
      </c>
      <c r="T52" s="341">
        <v>0</v>
      </c>
      <c r="U52" s="341">
        <v>0.11849999999999999</v>
      </c>
      <c r="V52" s="341">
        <v>0.11849999999999999</v>
      </c>
      <c r="W52" s="341">
        <v>0.11849999999999999</v>
      </c>
      <c r="X52" s="281">
        <f t="shared" si="33"/>
        <v>0.02</v>
      </c>
      <c r="Y52" s="282">
        <f t="shared" si="27"/>
        <v>0.1</v>
      </c>
      <c r="AA52" s="391">
        <f t="shared" ca="1" si="16"/>
        <v>0</v>
      </c>
      <c r="AB52" s="400">
        <f t="shared" ca="1" si="8"/>
        <v>0</v>
      </c>
      <c r="AC52" s="258">
        <f t="shared" ca="1" si="8"/>
        <v>0</v>
      </c>
      <c r="AD52" s="258">
        <f t="shared" ca="1" si="8"/>
        <v>0</v>
      </c>
      <c r="AE52" s="402">
        <f t="shared" ca="1" si="8"/>
        <v>0</v>
      </c>
      <c r="AF52" s="402">
        <f t="shared" ca="1" si="8"/>
        <v>0</v>
      </c>
      <c r="AG52" s="404">
        <f t="shared" ca="1" si="17"/>
        <v>0</v>
      </c>
      <c r="AH52" s="415">
        <f t="shared" ca="1" si="18"/>
        <v>0</v>
      </c>
      <c r="AI52" s="415">
        <f t="shared" ca="1" si="19"/>
        <v>0</v>
      </c>
      <c r="AJ52" s="416">
        <f t="shared" ca="1" si="20"/>
        <v>0</v>
      </c>
      <c r="AK52" s="416">
        <f t="shared" ca="1" si="21"/>
        <v>0</v>
      </c>
      <c r="AL52" s="417">
        <v>0</v>
      </c>
      <c r="AM52" s="269">
        <f t="shared" ca="1" si="32"/>
        <v>0</v>
      </c>
      <c r="AN52" s="422">
        <f t="shared" ca="1" si="35"/>
        <v>18.380000000000003</v>
      </c>
      <c r="AO52" s="423">
        <f t="shared" ca="1" si="35"/>
        <v>25893685.458928723</v>
      </c>
      <c r="AP52" s="271">
        <f t="shared" ca="1" si="35"/>
        <v>0</v>
      </c>
      <c r="AQ52" s="271">
        <f t="shared" ca="1" si="35"/>
        <v>0.11849999999999999</v>
      </c>
      <c r="AR52" s="271">
        <f t="shared" ca="1" si="35"/>
        <v>0.11849999999999999</v>
      </c>
      <c r="AS52" s="271">
        <f t="shared" ca="1" si="35"/>
        <v>0.11849999999999999</v>
      </c>
      <c r="AT52" s="271">
        <f t="shared" ca="1" si="35"/>
        <v>0.02</v>
      </c>
      <c r="AU52" s="278">
        <f t="shared" ca="1" si="35"/>
        <v>0.1</v>
      </c>
    </row>
    <row r="53" spans="2:47" ht="13.15" thickBot="1" x14ac:dyDescent="0.4">
      <c r="B53" s="18">
        <f t="shared" si="31"/>
        <v>34</v>
      </c>
      <c r="C53" s="85">
        <f t="shared" ca="1" si="10"/>
        <v>0</v>
      </c>
      <c r="D53" s="85">
        <f t="shared" ca="1" si="2"/>
        <v>0</v>
      </c>
      <c r="E53" s="84">
        <f t="shared" ca="1" si="11"/>
        <v>0</v>
      </c>
      <c r="F53" s="135">
        <f t="shared" ca="1" si="25"/>
        <v>0</v>
      </c>
      <c r="G53" s="409">
        <f t="shared" ca="1" si="4"/>
        <v>0</v>
      </c>
      <c r="H53" s="409">
        <f t="shared" ca="1" si="5"/>
        <v>0</v>
      </c>
      <c r="I53" s="275">
        <f t="shared" ca="1" si="26"/>
        <v>0</v>
      </c>
      <c r="J53" s="275">
        <f t="shared" ca="1" si="12"/>
        <v>0</v>
      </c>
      <c r="K53" s="137">
        <f t="shared" ca="1" si="28"/>
        <v>0</v>
      </c>
      <c r="L53" s="15" t="str">
        <f t="shared" ca="1" si="36"/>
        <v>F</v>
      </c>
      <c r="M53" s="88">
        <f t="shared" ca="1" si="36"/>
        <v>0</v>
      </c>
      <c r="N53" s="88">
        <f t="shared" ca="1" si="36"/>
        <v>0</v>
      </c>
      <c r="O53" s="432">
        <v>1000000000000000</v>
      </c>
      <c r="P53" s="69">
        <v>109575</v>
      </c>
      <c r="Q53" s="3">
        <f t="shared" si="13"/>
        <v>64590</v>
      </c>
      <c r="R53" s="107">
        <f t="shared" ca="1" si="14"/>
        <v>18.29</v>
      </c>
      <c r="S53" s="105">
        <f t="shared" ca="1" si="15"/>
        <v>25727391.2880999</v>
      </c>
      <c r="T53" s="341">
        <v>0</v>
      </c>
      <c r="U53" s="341">
        <v>0.11849999999999999</v>
      </c>
      <c r="V53" s="341">
        <v>0.11849999999999999</v>
      </c>
      <c r="W53" s="341">
        <v>0.11849999999999999</v>
      </c>
      <c r="X53" s="281">
        <f t="shared" si="33"/>
        <v>0.02</v>
      </c>
      <c r="Y53" s="282">
        <f t="shared" si="27"/>
        <v>0.1</v>
      </c>
      <c r="AA53" s="391">
        <f t="shared" ca="1" si="16"/>
        <v>0</v>
      </c>
      <c r="AB53" s="400">
        <f t="shared" ca="1" si="8"/>
        <v>0</v>
      </c>
      <c r="AC53" s="258">
        <f t="shared" ca="1" si="8"/>
        <v>0</v>
      </c>
      <c r="AD53" s="258">
        <f t="shared" ca="1" si="8"/>
        <v>0</v>
      </c>
      <c r="AE53" s="402">
        <f t="shared" ca="1" si="8"/>
        <v>0</v>
      </c>
      <c r="AF53" s="402">
        <f t="shared" ca="1" si="8"/>
        <v>0</v>
      </c>
      <c r="AG53" s="404">
        <f t="shared" ca="1" si="17"/>
        <v>0</v>
      </c>
      <c r="AH53" s="415">
        <f t="shared" ca="1" si="18"/>
        <v>0</v>
      </c>
      <c r="AI53" s="415">
        <f t="shared" ca="1" si="19"/>
        <v>0</v>
      </c>
      <c r="AJ53" s="416">
        <f t="shared" ca="1" si="20"/>
        <v>0</v>
      </c>
      <c r="AK53" s="416">
        <f t="shared" ca="1" si="21"/>
        <v>0</v>
      </c>
      <c r="AL53" s="417">
        <v>0</v>
      </c>
      <c r="AM53" s="269">
        <f t="shared" ca="1" si="32"/>
        <v>0</v>
      </c>
      <c r="AN53" s="422">
        <f t="shared" ca="1" si="35"/>
        <v>18.380000000000003</v>
      </c>
      <c r="AO53" s="423">
        <f t="shared" ca="1" si="35"/>
        <v>25893685.458928723</v>
      </c>
      <c r="AP53" s="271">
        <f t="shared" ca="1" si="35"/>
        <v>0</v>
      </c>
      <c r="AQ53" s="271">
        <f t="shared" ca="1" si="35"/>
        <v>0.11849999999999999</v>
      </c>
      <c r="AR53" s="271">
        <f t="shared" ca="1" si="35"/>
        <v>0.11849999999999999</v>
      </c>
      <c r="AS53" s="271">
        <f t="shared" ca="1" si="35"/>
        <v>0.11849999999999999</v>
      </c>
      <c r="AT53" s="271">
        <f t="shared" ca="1" si="35"/>
        <v>0.02</v>
      </c>
      <c r="AU53" s="278">
        <f t="shared" ca="1" si="35"/>
        <v>0.1</v>
      </c>
    </row>
    <row r="54" spans="2:47" ht="13.15" thickBot="1" x14ac:dyDescent="0.4">
      <c r="B54" s="18">
        <f t="shared" si="31"/>
        <v>35</v>
      </c>
      <c r="C54" s="85">
        <f t="shared" ca="1" si="10"/>
        <v>0</v>
      </c>
      <c r="D54" s="85">
        <f t="shared" ca="1" si="2"/>
        <v>0</v>
      </c>
      <c r="E54" s="84">
        <f t="shared" ca="1" si="11"/>
        <v>0</v>
      </c>
      <c r="F54" s="135">
        <f t="shared" ca="1" si="25"/>
        <v>0</v>
      </c>
      <c r="G54" s="409">
        <f t="shared" ca="1" si="4"/>
        <v>0</v>
      </c>
      <c r="H54" s="409">
        <f t="shared" ca="1" si="5"/>
        <v>0</v>
      </c>
      <c r="I54" s="275">
        <f t="shared" ca="1" si="26"/>
        <v>0</v>
      </c>
      <c r="J54" s="275">
        <f t="shared" ca="1" si="12"/>
        <v>0</v>
      </c>
      <c r="K54" s="137">
        <f t="shared" ca="1" si="28"/>
        <v>0</v>
      </c>
      <c r="L54" s="15" t="str">
        <f t="shared" ca="1" si="36"/>
        <v>F</v>
      </c>
      <c r="M54" s="88">
        <f t="shared" ca="1" si="36"/>
        <v>0</v>
      </c>
      <c r="N54" s="88">
        <f t="shared" ca="1" si="36"/>
        <v>0</v>
      </c>
      <c r="O54" s="432">
        <v>1000000000000000</v>
      </c>
      <c r="P54" s="69">
        <v>109575</v>
      </c>
      <c r="Q54" s="3">
        <f t="shared" si="13"/>
        <v>64590</v>
      </c>
      <c r="R54" s="107">
        <f t="shared" ca="1" si="14"/>
        <v>18.29</v>
      </c>
      <c r="S54" s="105">
        <f t="shared" ca="1" si="15"/>
        <v>25727391.2880999</v>
      </c>
      <c r="T54" s="341">
        <v>0</v>
      </c>
      <c r="U54" s="341">
        <v>0.11849999999999999</v>
      </c>
      <c r="V54" s="341">
        <v>0.11849999999999999</v>
      </c>
      <c r="W54" s="341">
        <v>0.11849999999999999</v>
      </c>
      <c r="X54" s="281">
        <f t="shared" si="33"/>
        <v>0.02</v>
      </c>
      <c r="Y54" s="282">
        <f t="shared" si="27"/>
        <v>0.1</v>
      </c>
      <c r="AA54" s="391">
        <f t="shared" ca="1" si="16"/>
        <v>0</v>
      </c>
      <c r="AB54" s="400">
        <f t="shared" ca="1" si="8"/>
        <v>0</v>
      </c>
      <c r="AC54" s="258">
        <f t="shared" ca="1" si="8"/>
        <v>0</v>
      </c>
      <c r="AD54" s="258">
        <f t="shared" ca="1" si="8"/>
        <v>0</v>
      </c>
      <c r="AE54" s="402">
        <f t="shared" ca="1" si="8"/>
        <v>0</v>
      </c>
      <c r="AF54" s="402">
        <f t="shared" ca="1" si="8"/>
        <v>0</v>
      </c>
      <c r="AG54" s="404">
        <f t="shared" ca="1" si="17"/>
        <v>0</v>
      </c>
      <c r="AH54" s="415">
        <f t="shared" ca="1" si="18"/>
        <v>0</v>
      </c>
      <c r="AI54" s="415">
        <f t="shared" ca="1" si="19"/>
        <v>0</v>
      </c>
      <c r="AJ54" s="416">
        <f t="shared" ca="1" si="20"/>
        <v>0</v>
      </c>
      <c r="AK54" s="416">
        <f t="shared" ca="1" si="21"/>
        <v>0</v>
      </c>
      <c r="AL54" s="417">
        <v>0</v>
      </c>
      <c r="AM54" s="269">
        <f t="shared" ca="1" si="32"/>
        <v>0</v>
      </c>
      <c r="AN54" s="422">
        <f t="shared" ca="1" si="35"/>
        <v>18.380000000000003</v>
      </c>
      <c r="AO54" s="423">
        <f t="shared" ca="1" si="35"/>
        <v>25893685.458928723</v>
      </c>
      <c r="AP54" s="271">
        <f t="shared" ca="1" si="35"/>
        <v>0</v>
      </c>
      <c r="AQ54" s="271">
        <f t="shared" ca="1" si="35"/>
        <v>0.11849999999999999</v>
      </c>
      <c r="AR54" s="271">
        <f t="shared" ca="1" si="35"/>
        <v>0.11849999999999999</v>
      </c>
      <c r="AS54" s="271">
        <f t="shared" ca="1" si="35"/>
        <v>0.11849999999999999</v>
      </c>
      <c r="AT54" s="271">
        <f t="shared" ca="1" si="35"/>
        <v>0.02</v>
      </c>
      <c r="AU54" s="278">
        <f t="shared" ca="1" si="35"/>
        <v>0.1</v>
      </c>
    </row>
    <row r="55" spans="2:47" ht="13.15" thickBot="1" x14ac:dyDescent="0.4">
      <c r="B55" s="18">
        <f t="shared" si="31"/>
        <v>36</v>
      </c>
      <c r="C55" s="85">
        <f t="shared" ca="1" si="10"/>
        <v>0</v>
      </c>
      <c r="D55" s="85">
        <f t="shared" ca="1" si="2"/>
        <v>0</v>
      </c>
      <c r="E55" s="84">
        <f t="shared" ca="1" si="11"/>
        <v>0</v>
      </c>
      <c r="F55" s="135">
        <f t="shared" ca="1" si="25"/>
        <v>0</v>
      </c>
      <c r="G55" s="409">
        <f t="shared" ca="1" si="4"/>
        <v>0</v>
      </c>
      <c r="H55" s="409">
        <f t="shared" ca="1" si="5"/>
        <v>0</v>
      </c>
      <c r="I55" s="275">
        <f t="shared" ca="1" si="26"/>
        <v>0</v>
      </c>
      <c r="J55" s="275">
        <f t="shared" ca="1" si="12"/>
        <v>0</v>
      </c>
      <c r="K55" s="137">
        <f t="shared" ca="1" si="28"/>
        <v>0</v>
      </c>
      <c r="L55" s="15" t="str">
        <f t="shared" ca="1" si="36"/>
        <v>F</v>
      </c>
      <c r="M55" s="88">
        <f t="shared" ca="1" si="36"/>
        <v>0</v>
      </c>
      <c r="N55" s="88">
        <f t="shared" ca="1" si="36"/>
        <v>0</v>
      </c>
      <c r="O55" s="432">
        <v>1000000000000000</v>
      </c>
      <c r="P55" s="69">
        <v>109575</v>
      </c>
      <c r="Q55" s="3">
        <f t="shared" si="13"/>
        <v>64590</v>
      </c>
      <c r="R55" s="107">
        <f t="shared" ca="1" si="14"/>
        <v>18.29</v>
      </c>
      <c r="S55" s="105">
        <f t="shared" ca="1" si="15"/>
        <v>25727391.2880999</v>
      </c>
      <c r="T55" s="341">
        <v>0</v>
      </c>
      <c r="U55" s="341">
        <v>0.11849999999999999</v>
      </c>
      <c r="V55" s="341">
        <v>0.11849999999999999</v>
      </c>
      <c r="W55" s="341">
        <v>0.11849999999999999</v>
      </c>
      <c r="X55" s="281">
        <f t="shared" si="33"/>
        <v>0.02</v>
      </c>
      <c r="Y55" s="282">
        <f t="shared" si="27"/>
        <v>0.1</v>
      </c>
      <c r="AA55" s="391">
        <f t="shared" ca="1" si="16"/>
        <v>0</v>
      </c>
      <c r="AB55" s="400">
        <f t="shared" ca="1" si="8"/>
        <v>0</v>
      </c>
      <c r="AC55" s="258">
        <f t="shared" ca="1" si="8"/>
        <v>0</v>
      </c>
      <c r="AD55" s="258">
        <f t="shared" ca="1" si="8"/>
        <v>0</v>
      </c>
      <c r="AE55" s="402">
        <f t="shared" ca="1" si="8"/>
        <v>0</v>
      </c>
      <c r="AF55" s="402">
        <f t="shared" ca="1" si="8"/>
        <v>0</v>
      </c>
      <c r="AG55" s="404">
        <f t="shared" ca="1" si="17"/>
        <v>0</v>
      </c>
      <c r="AH55" s="415">
        <f t="shared" ca="1" si="18"/>
        <v>0</v>
      </c>
      <c r="AI55" s="415">
        <f t="shared" ca="1" si="19"/>
        <v>0</v>
      </c>
      <c r="AJ55" s="416">
        <f t="shared" ca="1" si="20"/>
        <v>0</v>
      </c>
      <c r="AK55" s="416">
        <f t="shared" ca="1" si="21"/>
        <v>0</v>
      </c>
      <c r="AL55" s="417">
        <v>0</v>
      </c>
      <c r="AM55" s="269">
        <f t="shared" ca="1" si="32"/>
        <v>0</v>
      </c>
      <c r="AN55" s="422">
        <f t="shared" ca="1" si="35"/>
        <v>18.380000000000003</v>
      </c>
      <c r="AO55" s="423">
        <f t="shared" ca="1" si="35"/>
        <v>25893685.458928723</v>
      </c>
      <c r="AP55" s="271">
        <f t="shared" ca="1" si="35"/>
        <v>0</v>
      </c>
      <c r="AQ55" s="271">
        <f t="shared" ca="1" si="35"/>
        <v>0.11849999999999999</v>
      </c>
      <c r="AR55" s="271">
        <f t="shared" ca="1" si="35"/>
        <v>0.11849999999999999</v>
      </c>
      <c r="AS55" s="271">
        <f t="shared" ca="1" si="35"/>
        <v>0.11849999999999999</v>
      </c>
      <c r="AT55" s="271">
        <f t="shared" ca="1" si="35"/>
        <v>0.02</v>
      </c>
      <c r="AU55" s="278">
        <f t="shared" ca="1" si="35"/>
        <v>0.1</v>
      </c>
    </row>
    <row r="56" spans="2:47" ht="13.15" thickBot="1" x14ac:dyDescent="0.4">
      <c r="B56" s="18">
        <f t="shared" si="31"/>
        <v>37</v>
      </c>
      <c r="C56" s="85">
        <f t="shared" ca="1" si="10"/>
        <v>0</v>
      </c>
      <c r="D56" s="85">
        <f t="shared" ca="1" si="2"/>
        <v>0</v>
      </c>
      <c r="E56" s="84">
        <f t="shared" ca="1" si="11"/>
        <v>0</v>
      </c>
      <c r="F56" s="135">
        <f t="shared" ca="1" si="25"/>
        <v>0</v>
      </c>
      <c r="G56" s="409">
        <f t="shared" ca="1" si="4"/>
        <v>0</v>
      </c>
      <c r="H56" s="409">
        <f t="shared" ca="1" si="5"/>
        <v>0</v>
      </c>
      <c r="I56" s="275">
        <f t="shared" ca="1" si="26"/>
        <v>0</v>
      </c>
      <c r="J56" s="275">
        <f t="shared" ca="1" si="12"/>
        <v>0</v>
      </c>
      <c r="K56" s="137">
        <f t="shared" ca="1" si="28"/>
        <v>0</v>
      </c>
      <c r="L56" s="15" t="str">
        <f t="shared" ca="1" si="36"/>
        <v>F</v>
      </c>
      <c r="M56" s="88">
        <f t="shared" ca="1" si="36"/>
        <v>0</v>
      </c>
      <c r="N56" s="88">
        <f t="shared" ca="1" si="36"/>
        <v>0</v>
      </c>
      <c r="O56" s="432">
        <v>1000000000000000</v>
      </c>
      <c r="P56" s="69">
        <v>109575</v>
      </c>
      <c r="Q56" s="3">
        <f t="shared" si="13"/>
        <v>64590</v>
      </c>
      <c r="R56" s="107">
        <f t="shared" ca="1" si="14"/>
        <v>18.29</v>
      </c>
      <c r="S56" s="105">
        <f t="shared" ca="1" si="15"/>
        <v>25727391.2880999</v>
      </c>
      <c r="T56" s="341">
        <v>0</v>
      </c>
      <c r="U56" s="341">
        <v>0.11849999999999999</v>
      </c>
      <c r="V56" s="341">
        <v>0.11849999999999999</v>
      </c>
      <c r="W56" s="341">
        <v>0.11849999999999999</v>
      </c>
      <c r="X56" s="281">
        <f t="shared" si="33"/>
        <v>0.02</v>
      </c>
      <c r="Y56" s="282">
        <f t="shared" si="27"/>
        <v>0.1</v>
      </c>
      <c r="AA56" s="391">
        <f t="shared" ca="1" si="16"/>
        <v>0</v>
      </c>
      <c r="AB56" s="400">
        <f t="shared" ca="1" si="8"/>
        <v>0</v>
      </c>
      <c r="AC56" s="258">
        <f t="shared" ca="1" si="8"/>
        <v>0</v>
      </c>
      <c r="AD56" s="258">
        <f t="shared" ca="1" si="8"/>
        <v>0</v>
      </c>
      <c r="AE56" s="402">
        <f t="shared" ca="1" si="8"/>
        <v>0</v>
      </c>
      <c r="AF56" s="402">
        <f t="shared" ca="1" si="8"/>
        <v>0</v>
      </c>
      <c r="AG56" s="404">
        <f t="shared" ca="1" si="17"/>
        <v>0</v>
      </c>
      <c r="AH56" s="415">
        <f t="shared" ca="1" si="18"/>
        <v>0</v>
      </c>
      <c r="AI56" s="415">
        <f t="shared" ca="1" si="19"/>
        <v>0</v>
      </c>
      <c r="AJ56" s="416">
        <f t="shared" ca="1" si="20"/>
        <v>0</v>
      </c>
      <c r="AK56" s="416">
        <f t="shared" ca="1" si="21"/>
        <v>0</v>
      </c>
      <c r="AL56" s="417">
        <v>0</v>
      </c>
      <c r="AM56" s="269">
        <f t="shared" ca="1" si="32"/>
        <v>0</v>
      </c>
      <c r="AN56" s="422">
        <f t="shared" ca="1" si="35"/>
        <v>18.380000000000003</v>
      </c>
      <c r="AO56" s="423">
        <f t="shared" ca="1" si="35"/>
        <v>25893685.458928723</v>
      </c>
      <c r="AP56" s="271">
        <f t="shared" ca="1" si="35"/>
        <v>0</v>
      </c>
      <c r="AQ56" s="271">
        <f t="shared" ca="1" si="35"/>
        <v>0.11849999999999999</v>
      </c>
      <c r="AR56" s="271">
        <f t="shared" ca="1" si="35"/>
        <v>0.11849999999999999</v>
      </c>
      <c r="AS56" s="271">
        <f t="shared" ca="1" si="35"/>
        <v>0.11849999999999999</v>
      </c>
      <c r="AT56" s="271">
        <f t="shared" ca="1" si="35"/>
        <v>0.02</v>
      </c>
      <c r="AU56" s="278">
        <f t="shared" ca="1" si="35"/>
        <v>0.1</v>
      </c>
    </row>
    <row r="57" spans="2:47" ht="13.15" thickBot="1" x14ac:dyDescent="0.4">
      <c r="B57" s="18">
        <f t="shared" si="31"/>
        <v>38</v>
      </c>
      <c r="C57" s="85">
        <f t="shared" ca="1" si="10"/>
        <v>0</v>
      </c>
      <c r="D57" s="85">
        <f t="shared" ca="1" si="2"/>
        <v>0</v>
      </c>
      <c r="E57" s="84">
        <f t="shared" ca="1" si="11"/>
        <v>0</v>
      </c>
      <c r="F57" s="135">
        <f t="shared" ca="1" si="25"/>
        <v>0</v>
      </c>
      <c r="G57" s="409">
        <f t="shared" ca="1" si="4"/>
        <v>0</v>
      </c>
      <c r="H57" s="409">
        <f t="shared" ca="1" si="5"/>
        <v>0</v>
      </c>
      <c r="I57" s="275">
        <f t="shared" ca="1" si="26"/>
        <v>0</v>
      </c>
      <c r="J57" s="275">
        <f t="shared" ca="1" si="12"/>
        <v>0</v>
      </c>
      <c r="K57" s="137">
        <f t="shared" ca="1" si="28"/>
        <v>0</v>
      </c>
      <c r="L57" s="15" t="str">
        <f t="shared" ca="1" si="36"/>
        <v>F</v>
      </c>
      <c r="M57" s="88">
        <f t="shared" ca="1" si="36"/>
        <v>0</v>
      </c>
      <c r="N57" s="88">
        <f t="shared" ca="1" si="36"/>
        <v>0</v>
      </c>
      <c r="O57" s="432">
        <v>1000000000000000</v>
      </c>
      <c r="P57" s="69">
        <v>109575</v>
      </c>
      <c r="Q57" s="3">
        <f t="shared" si="13"/>
        <v>64590</v>
      </c>
      <c r="R57" s="107">
        <f t="shared" ca="1" si="14"/>
        <v>18.29</v>
      </c>
      <c r="S57" s="105">
        <f t="shared" ca="1" si="15"/>
        <v>25727391.2880999</v>
      </c>
      <c r="T57" s="341">
        <v>0</v>
      </c>
      <c r="U57" s="341">
        <v>0.11849999999999999</v>
      </c>
      <c r="V57" s="341">
        <v>0.11849999999999999</v>
      </c>
      <c r="W57" s="341">
        <v>0.11849999999999999</v>
      </c>
      <c r="X57" s="281">
        <f t="shared" si="33"/>
        <v>0.02</v>
      </c>
      <c r="Y57" s="282">
        <f t="shared" si="27"/>
        <v>0.1</v>
      </c>
      <c r="AA57" s="391">
        <f t="shared" ca="1" si="16"/>
        <v>0</v>
      </c>
      <c r="AB57" s="400">
        <f t="shared" ca="1" si="8"/>
        <v>0</v>
      </c>
      <c r="AC57" s="258">
        <f t="shared" ca="1" si="8"/>
        <v>0</v>
      </c>
      <c r="AD57" s="258">
        <f t="shared" ca="1" si="8"/>
        <v>0</v>
      </c>
      <c r="AE57" s="402">
        <f t="shared" ca="1" si="8"/>
        <v>0</v>
      </c>
      <c r="AF57" s="402">
        <f t="shared" ca="1" si="8"/>
        <v>0</v>
      </c>
      <c r="AG57" s="404">
        <f t="shared" ca="1" si="17"/>
        <v>0</v>
      </c>
      <c r="AH57" s="415">
        <f t="shared" ca="1" si="18"/>
        <v>0</v>
      </c>
      <c r="AI57" s="415">
        <f t="shared" ca="1" si="19"/>
        <v>0</v>
      </c>
      <c r="AJ57" s="416">
        <f t="shared" ca="1" si="20"/>
        <v>0</v>
      </c>
      <c r="AK57" s="416">
        <f t="shared" ca="1" si="21"/>
        <v>0</v>
      </c>
      <c r="AL57" s="417">
        <v>0</v>
      </c>
      <c r="AM57" s="269">
        <f t="shared" ca="1" si="32"/>
        <v>0</v>
      </c>
      <c r="AN57" s="422">
        <f t="shared" ca="1" si="35"/>
        <v>18.380000000000003</v>
      </c>
      <c r="AO57" s="423">
        <f t="shared" ca="1" si="35"/>
        <v>25893685.458928723</v>
      </c>
      <c r="AP57" s="271">
        <f t="shared" ca="1" si="35"/>
        <v>0</v>
      </c>
      <c r="AQ57" s="271">
        <f t="shared" ca="1" si="35"/>
        <v>0.11849999999999999</v>
      </c>
      <c r="AR57" s="271">
        <f t="shared" ca="1" si="35"/>
        <v>0.11849999999999999</v>
      </c>
      <c r="AS57" s="271">
        <f t="shared" ca="1" si="35"/>
        <v>0.11849999999999999</v>
      </c>
      <c r="AT57" s="271">
        <f t="shared" ca="1" si="35"/>
        <v>0.02</v>
      </c>
      <c r="AU57" s="278">
        <f t="shared" ca="1" si="35"/>
        <v>0.1</v>
      </c>
    </row>
    <row r="58" spans="2:47" ht="13.15" thickBot="1" x14ac:dyDescent="0.4">
      <c r="B58" s="18">
        <f t="shared" si="31"/>
        <v>39</v>
      </c>
      <c r="C58" s="85">
        <f t="shared" ca="1" si="10"/>
        <v>0</v>
      </c>
      <c r="D58" s="85">
        <f t="shared" ca="1" si="2"/>
        <v>0</v>
      </c>
      <c r="E58" s="84">
        <f t="shared" ca="1" si="11"/>
        <v>0</v>
      </c>
      <c r="F58" s="135">
        <f t="shared" ca="1" si="25"/>
        <v>0</v>
      </c>
      <c r="G58" s="409">
        <f t="shared" ca="1" si="4"/>
        <v>0</v>
      </c>
      <c r="H58" s="409">
        <f t="shared" ca="1" si="5"/>
        <v>0</v>
      </c>
      <c r="I58" s="275">
        <f t="shared" ca="1" si="26"/>
        <v>0</v>
      </c>
      <c r="J58" s="275">
        <f t="shared" ca="1" si="12"/>
        <v>0</v>
      </c>
      <c r="K58" s="137">
        <f t="shared" ca="1" si="28"/>
        <v>0</v>
      </c>
      <c r="L58" s="15" t="str">
        <f t="shared" ca="1" si="36"/>
        <v>F</v>
      </c>
      <c r="M58" s="88">
        <f t="shared" ca="1" si="36"/>
        <v>0</v>
      </c>
      <c r="N58" s="88">
        <f t="shared" ca="1" si="36"/>
        <v>0</v>
      </c>
      <c r="O58" s="432">
        <v>1000000000000000</v>
      </c>
      <c r="P58" s="69">
        <v>109575</v>
      </c>
      <c r="Q58" s="3">
        <f t="shared" si="13"/>
        <v>64590</v>
      </c>
      <c r="R58" s="107">
        <f t="shared" ca="1" si="14"/>
        <v>18.29</v>
      </c>
      <c r="S58" s="105">
        <f t="shared" ca="1" si="15"/>
        <v>25727391.2880999</v>
      </c>
      <c r="T58" s="341">
        <v>0</v>
      </c>
      <c r="U58" s="341">
        <v>0.11849999999999999</v>
      </c>
      <c r="V58" s="341">
        <v>0.11849999999999999</v>
      </c>
      <c r="W58" s="341">
        <v>0.11849999999999999</v>
      </c>
      <c r="X58" s="281">
        <f t="shared" si="33"/>
        <v>0.02</v>
      </c>
      <c r="Y58" s="282">
        <f t="shared" si="27"/>
        <v>0.1</v>
      </c>
      <c r="AA58" s="391">
        <f t="shared" ca="1" si="16"/>
        <v>0</v>
      </c>
      <c r="AB58" s="400">
        <f t="shared" ca="1" si="8"/>
        <v>0</v>
      </c>
      <c r="AC58" s="258">
        <f t="shared" ca="1" si="8"/>
        <v>0</v>
      </c>
      <c r="AD58" s="258">
        <f t="shared" ca="1" si="8"/>
        <v>0</v>
      </c>
      <c r="AE58" s="402">
        <f t="shared" ca="1" si="8"/>
        <v>0</v>
      </c>
      <c r="AF58" s="402">
        <f t="shared" ca="1" si="8"/>
        <v>0</v>
      </c>
      <c r="AG58" s="404">
        <f t="shared" ca="1" si="17"/>
        <v>0</v>
      </c>
      <c r="AH58" s="415">
        <f t="shared" ca="1" si="18"/>
        <v>0</v>
      </c>
      <c r="AI58" s="415">
        <f t="shared" ca="1" si="19"/>
        <v>0</v>
      </c>
      <c r="AJ58" s="416">
        <f t="shared" ca="1" si="20"/>
        <v>0</v>
      </c>
      <c r="AK58" s="416">
        <f t="shared" ca="1" si="21"/>
        <v>0</v>
      </c>
      <c r="AL58" s="417">
        <v>0</v>
      </c>
      <c r="AM58" s="269">
        <f t="shared" ca="1" si="32"/>
        <v>0</v>
      </c>
      <c r="AN58" s="422">
        <f t="shared" ca="1" si="35"/>
        <v>18.380000000000003</v>
      </c>
      <c r="AO58" s="423">
        <f t="shared" ca="1" si="35"/>
        <v>25893685.458928723</v>
      </c>
      <c r="AP58" s="271">
        <f t="shared" ca="1" si="35"/>
        <v>0</v>
      </c>
      <c r="AQ58" s="271">
        <f t="shared" ca="1" si="35"/>
        <v>0.11849999999999999</v>
      </c>
      <c r="AR58" s="271">
        <f t="shared" ca="1" si="35"/>
        <v>0.11849999999999999</v>
      </c>
      <c r="AS58" s="271">
        <f t="shared" ca="1" si="35"/>
        <v>0.11849999999999999</v>
      </c>
      <c r="AT58" s="271">
        <f t="shared" ca="1" si="35"/>
        <v>0.02</v>
      </c>
      <c r="AU58" s="278">
        <f t="shared" ca="1" si="35"/>
        <v>0.1</v>
      </c>
    </row>
    <row r="59" spans="2:47" ht="13.15" thickBot="1" x14ac:dyDescent="0.4">
      <c r="B59" s="18">
        <f t="shared" si="31"/>
        <v>40</v>
      </c>
      <c r="C59" s="85">
        <f t="shared" ca="1" si="10"/>
        <v>0</v>
      </c>
      <c r="D59" s="85">
        <f t="shared" ca="1" si="2"/>
        <v>0</v>
      </c>
      <c r="E59" s="84">
        <f t="shared" ca="1" si="11"/>
        <v>0</v>
      </c>
      <c r="F59" s="135">
        <f t="shared" ca="1" si="25"/>
        <v>0</v>
      </c>
      <c r="G59" s="409">
        <f t="shared" ca="1" si="4"/>
        <v>0</v>
      </c>
      <c r="H59" s="409">
        <f t="shared" ca="1" si="5"/>
        <v>0</v>
      </c>
      <c r="I59" s="275">
        <f t="shared" ca="1" si="26"/>
        <v>0</v>
      </c>
      <c r="J59" s="275">
        <f t="shared" ca="1" si="12"/>
        <v>0</v>
      </c>
      <c r="K59" s="137">
        <f t="shared" ca="1" si="28"/>
        <v>0</v>
      </c>
      <c r="L59" s="15" t="str">
        <f t="shared" ca="1" si="36"/>
        <v>F</v>
      </c>
      <c r="M59" s="88">
        <f t="shared" ca="1" si="36"/>
        <v>0</v>
      </c>
      <c r="N59" s="88">
        <f t="shared" ca="1" si="36"/>
        <v>0</v>
      </c>
      <c r="O59" s="432">
        <v>1000000000000000</v>
      </c>
      <c r="P59" s="69">
        <v>109575</v>
      </c>
      <c r="Q59" s="3">
        <f t="shared" si="13"/>
        <v>64590</v>
      </c>
      <c r="R59" s="107">
        <f t="shared" ca="1" si="14"/>
        <v>18.29</v>
      </c>
      <c r="S59" s="105">
        <f t="shared" ca="1" si="15"/>
        <v>25727391.2880999</v>
      </c>
      <c r="T59" s="341">
        <v>0</v>
      </c>
      <c r="U59" s="341">
        <v>0.11849999999999999</v>
      </c>
      <c r="V59" s="341">
        <v>0.11849999999999999</v>
      </c>
      <c r="W59" s="341">
        <v>0.11849999999999999</v>
      </c>
      <c r="X59" s="281">
        <f t="shared" si="33"/>
        <v>0.02</v>
      </c>
      <c r="Y59" s="282">
        <f t="shared" si="27"/>
        <v>0.1</v>
      </c>
      <c r="AA59" s="391">
        <f t="shared" ca="1" si="16"/>
        <v>0</v>
      </c>
      <c r="AB59" s="400">
        <f t="shared" ca="1" si="8"/>
        <v>0</v>
      </c>
      <c r="AC59" s="258">
        <f t="shared" ca="1" si="8"/>
        <v>0</v>
      </c>
      <c r="AD59" s="258">
        <f t="shared" ca="1" si="8"/>
        <v>0</v>
      </c>
      <c r="AE59" s="402">
        <f t="shared" ca="1" si="8"/>
        <v>0</v>
      </c>
      <c r="AF59" s="402">
        <f t="shared" ca="1" si="8"/>
        <v>0</v>
      </c>
      <c r="AG59" s="404">
        <f t="shared" ca="1" si="17"/>
        <v>0</v>
      </c>
      <c r="AH59" s="415">
        <f t="shared" ca="1" si="18"/>
        <v>0</v>
      </c>
      <c r="AI59" s="415">
        <f t="shared" ca="1" si="19"/>
        <v>0</v>
      </c>
      <c r="AJ59" s="416">
        <f t="shared" ca="1" si="20"/>
        <v>0</v>
      </c>
      <c r="AK59" s="416">
        <f t="shared" ca="1" si="21"/>
        <v>0</v>
      </c>
      <c r="AL59" s="417">
        <v>0</v>
      </c>
      <c r="AM59" s="269">
        <f t="shared" ca="1" si="32"/>
        <v>0</v>
      </c>
      <c r="AN59" s="422">
        <f t="shared" ca="1" si="35"/>
        <v>18.380000000000003</v>
      </c>
      <c r="AO59" s="423">
        <f t="shared" ca="1" si="35"/>
        <v>25893685.458928723</v>
      </c>
      <c r="AP59" s="271">
        <f t="shared" ca="1" si="35"/>
        <v>0</v>
      </c>
      <c r="AQ59" s="271">
        <f t="shared" ca="1" si="35"/>
        <v>0.11849999999999999</v>
      </c>
      <c r="AR59" s="271">
        <f t="shared" ca="1" si="35"/>
        <v>0.11849999999999999</v>
      </c>
      <c r="AS59" s="271">
        <f t="shared" ca="1" si="35"/>
        <v>0.11849999999999999</v>
      </c>
      <c r="AT59" s="271">
        <f t="shared" ca="1" si="35"/>
        <v>0.02</v>
      </c>
      <c r="AU59" s="278">
        <f t="shared" ca="1" si="35"/>
        <v>0.1</v>
      </c>
    </row>
    <row r="60" spans="2:47" ht="13.15" thickBot="1" x14ac:dyDescent="0.4">
      <c r="B60" s="18">
        <f t="shared" si="31"/>
        <v>41</v>
      </c>
      <c r="C60" s="85">
        <f t="shared" ca="1" si="10"/>
        <v>0</v>
      </c>
      <c r="D60" s="85">
        <f t="shared" ca="1" si="2"/>
        <v>0</v>
      </c>
      <c r="E60" s="84">
        <f t="shared" ca="1" si="11"/>
        <v>0</v>
      </c>
      <c r="F60" s="135">
        <f t="shared" ca="1" si="25"/>
        <v>0</v>
      </c>
      <c r="G60" s="409">
        <f t="shared" ca="1" si="4"/>
        <v>0</v>
      </c>
      <c r="H60" s="409">
        <f t="shared" ca="1" si="5"/>
        <v>0</v>
      </c>
      <c r="I60" s="275">
        <f t="shared" ca="1" si="26"/>
        <v>0</v>
      </c>
      <c r="J60" s="275">
        <f t="shared" ca="1" si="12"/>
        <v>0</v>
      </c>
      <c r="K60" s="137">
        <f t="shared" ca="1" si="28"/>
        <v>0</v>
      </c>
      <c r="L60" s="15" t="str">
        <f t="shared" ca="1" si="36"/>
        <v>F</v>
      </c>
      <c r="M60" s="88">
        <f t="shared" ca="1" si="36"/>
        <v>0</v>
      </c>
      <c r="N60" s="88">
        <f t="shared" ca="1" si="36"/>
        <v>0</v>
      </c>
      <c r="O60" s="432">
        <v>1000000000000000</v>
      </c>
      <c r="P60" s="69">
        <v>109575</v>
      </c>
      <c r="Q60" s="3">
        <f t="shared" si="13"/>
        <v>64590</v>
      </c>
      <c r="R60" s="107">
        <f t="shared" ca="1" si="14"/>
        <v>18.29</v>
      </c>
      <c r="S60" s="105">
        <f t="shared" ca="1" si="15"/>
        <v>25727391.2880999</v>
      </c>
      <c r="T60" s="341">
        <v>0</v>
      </c>
      <c r="U60" s="341">
        <v>0.11849999999999999</v>
      </c>
      <c r="V60" s="341">
        <v>0.11849999999999999</v>
      </c>
      <c r="W60" s="341">
        <v>0.11849999999999999</v>
      </c>
      <c r="X60" s="281">
        <f t="shared" si="33"/>
        <v>0.02</v>
      </c>
      <c r="Y60" s="282">
        <f t="shared" si="27"/>
        <v>0.1</v>
      </c>
      <c r="AA60" s="391">
        <f t="shared" ca="1" si="16"/>
        <v>0</v>
      </c>
      <c r="AB60" s="400">
        <f t="shared" ca="1" si="8"/>
        <v>0</v>
      </c>
      <c r="AC60" s="258">
        <f t="shared" ca="1" si="8"/>
        <v>0</v>
      </c>
      <c r="AD60" s="258">
        <f t="shared" ca="1" si="8"/>
        <v>0</v>
      </c>
      <c r="AE60" s="402">
        <f t="shared" ca="1" si="8"/>
        <v>0</v>
      </c>
      <c r="AF60" s="402">
        <f t="shared" ca="1" si="8"/>
        <v>0</v>
      </c>
      <c r="AG60" s="404">
        <f t="shared" ca="1" si="17"/>
        <v>0</v>
      </c>
      <c r="AH60" s="415">
        <f t="shared" ca="1" si="18"/>
        <v>0</v>
      </c>
      <c r="AI60" s="415">
        <f t="shared" ca="1" si="19"/>
        <v>0</v>
      </c>
      <c r="AJ60" s="416">
        <f t="shared" ca="1" si="20"/>
        <v>0</v>
      </c>
      <c r="AK60" s="416">
        <f t="shared" ca="1" si="21"/>
        <v>0</v>
      </c>
      <c r="AL60" s="417">
        <v>0</v>
      </c>
      <c r="AM60" s="269">
        <f t="shared" ca="1" si="32"/>
        <v>0</v>
      </c>
      <c r="AN60" s="422">
        <f t="shared" ca="1" si="35"/>
        <v>18.380000000000003</v>
      </c>
      <c r="AO60" s="423">
        <f t="shared" ca="1" si="35"/>
        <v>25893685.458928723</v>
      </c>
      <c r="AP60" s="271">
        <f t="shared" ca="1" si="35"/>
        <v>0</v>
      </c>
      <c r="AQ60" s="271">
        <f t="shared" ca="1" si="35"/>
        <v>0.11849999999999999</v>
      </c>
      <c r="AR60" s="271">
        <f t="shared" ca="1" si="35"/>
        <v>0.11849999999999999</v>
      </c>
      <c r="AS60" s="271">
        <f t="shared" ca="1" si="35"/>
        <v>0.11849999999999999</v>
      </c>
      <c r="AT60" s="271">
        <f t="shared" ca="1" si="35"/>
        <v>0.02</v>
      </c>
      <c r="AU60" s="278">
        <f t="shared" ca="1" si="35"/>
        <v>0.1</v>
      </c>
    </row>
    <row r="61" spans="2:47" ht="13.15" thickBot="1" x14ac:dyDescent="0.4">
      <c r="B61" s="18">
        <f t="shared" si="31"/>
        <v>42</v>
      </c>
      <c r="C61" s="85">
        <f t="shared" ca="1" si="10"/>
        <v>0</v>
      </c>
      <c r="D61" s="85">
        <f t="shared" ca="1" si="2"/>
        <v>0</v>
      </c>
      <c r="E61" s="84">
        <f t="shared" ca="1" si="11"/>
        <v>0</v>
      </c>
      <c r="F61" s="135">
        <f t="shared" ca="1" si="25"/>
        <v>0</v>
      </c>
      <c r="G61" s="409">
        <f t="shared" ca="1" si="4"/>
        <v>0</v>
      </c>
      <c r="H61" s="409">
        <f t="shared" ca="1" si="5"/>
        <v>0</v>
      </c>
      <c r="I61" s="275">
        <f t="shared" ca="1" si="26"/>
        <v>0</v>
      </c>
      <c r="J61" s="275">
        <f t="shared" ca="1" si="12"/>
        <v>0</v>
      </c>
      <c r="K61" s="137">
        <f t="shared" ca="1" si="28"/>
        <v>0</v>
      </c>
      <c r="L61" s="15" t="str">
        <f t="shared" ca="1" si="36"/>
        <v>F</v>
      </c>
      <c r="M61" s="88">
        <f t="shared" ca="1" si="36"/>
        <v>0</v>
      </c>
      <c r="N61" s="88">
        <f t="shared" ca="1" si="36"/>
        <v>0</v>
      </c>
      <c r="O61" s="432">
        <v>1000000000000000</v>
      </c>
      <c r="P61" s="69">
        <v>109575</v>
      </c>
      <c r="Q61" s="3">
        <f t="shared" si="13"/>
        <v>64590</v>
      </c>
      <c r="R61" s="107">
        <f t="shared" ca="1" si="14"/>
        <v>18.29</v>
      </c>
      <c r="S61" s="105">
        <f t="shared" ca="1" si="15"/>
        <v>25727391.2880999</v>
      </c>
      <c r="T61" s="341">
        <v>0</v>
      </c>
      <c r="U61" s="341">
        <v>0.11849999999999999</v>
      </c>
      <c r="V61" s="341">
        <v>0.11849999999999999</v>
      </c>
      <c r="W61" s="341">
        <v>0.11849999999999999</v>
      </c>
      <c r="X61" s="281">
        <f t="shared" si="33"/>
        <v>0.02</v>
      </c>
      <c r="Y61" s="282">
        <f t="shared" si="27"/>
        <v>0.1</v>
      </c>
      <c r="AA61" s="391">
        <f t="shared" ca="1" si="16"/>
        <v>0</v>
      </c>
      <c r="AB61" s="400">
        <f t="shared" ca="1" si="8"/>
        <v>0</v>
      </c>
      <c r="AC61" s="258">
        <f t="shared" ca="1" si="8"/>
        <v>0</v>
      </c>
      <c r="AD61" s="258">
        <f t="shared" ca="1" si="8"/>
        <v>0</v>
      </c>
      <c r="AE61" s="402">
        <f t="shared" ca="1" si="8"/>
        <v>0</v>
      </c>
      <c r="AF61" s="402">
        <f t="shared" ca="1" si="8"/>
        <v>0</v>
      </c>
      <c r="AG61" s="404">
        <f t="shared" ca="1" si="17"/>
        <v>0</v>
      </c>
      <c r="AH61" s="415">
        <f t="shared" ca="1" si="18"/>
        <v>0</v>
      </c>
      <c r="AI61" s="415">
        <f t="shared" ca="1" si="19"/>
        <v>0</v>
      </c>
      <c r="AJ61" s="416">
        <f t="shared" ca="1" si="20"/>
        <v>0</v>
      </c>
      <c r="AK61" s="416">
        <f t="shared" ca="1" si="21"/>
        <v>0</v>
      </c>
      <c r="AL61" s="417">
        <v>0</v>
      </c>
      <c r="AM61" s="269">
        <f t="shared" ca="1" si="32"/>
        <v>0</v>
      </c>
      <c r="AN61" s="422">
        <f t="shared" ca="1" si="35"/>
        <v>18.380000000000003</v>
      </c>
      <c r="AO61" s="423">
        <f t="shared" ca="1" si="35"/>
        <v>25893685.458928723</v>
      </c>
      <c r="AP61" s="271">
        <f t="shared" ca="1" si="35"/>
        <v>0</v>
      </c>
      <c r="AQ61" s="271">
        <f t="shared" ca="1" si="35"/>
        <v>0.11849999999999999</v>
      </c>
      <c r="AR61" s="271">
        <f t="shared" ca="1" si="35"/>
        <v>0.11849999999999999</v>
      </c>
      <c r="AS61" s="271">
        <f t="shared" ca="1" si="35"/>
        <v>0.11849999999999999</v>
      </c>
      <c r="AT61" s="271">
        <f t="shared" ca="1" si="35"/>
        <v>0.02</v>
      </c>
      <c r="AU61" s="278">
        <f t="shared" ca="1" si="35"/>
        <v>0.1</v>
      </c>
    </row>
    <row r="62" spans="2:47" ht="13.15" thickBot="1" x14ac:dyDescent="0.4">
      <c r="B62" s="18">
        <f t="shared" si="31"/>
        <v>43</v>
      </c>
      <c r="C62" s="85">
        <f t="shared" ca="1" si="10"/>
        <v>0</v>
      </c>
      <c r="D62" s="85">
        <f t="shared" ca="1" si="2"/>
        <v>0</v>
      </c>
      <c r="E62" s="84">
        <f t="shared" ca="1" si="11"/>
        <v>0</v>
      </c>
      <c r="F62" s="135">
        <f t="shared" ca="1" si="25"/>
        <v>0</v>
      </c>
      <c r="G62" s="409">
        <f t="shared" ca="1" si="4"/>
        <v>0</v>
      </c>
      <c r="H62" s="409">
        <f t="shared" ca="1" si="5"/>
        <v>0</v>
      </c>
      <c r="I62" s="275">
        <f t="shared" ca="1" si="26"/>
        <v>0</v>
      </c>
      <c r="J62" s="275">
        <f t="shared" ca="1" si="12"/>
        <v>0</v>
      </c>
      <c r="K62" s="137">
        <f t="shared" ca="1" si="28"/>
        <v>0</v>
      </c>
      <c r="L62" s="15" t="str">
        <f t="shared" ca="1" si="36"/>
        <v>F</v>
      </c>
      <c r="M62" s="88">
        <f t="shared" ca="1" si="36"/>
        <v>0</v>
      </c>
      <c r="N62" s="88">
        <f t="shared" ca="1" si="36"/>
        <v>0</v>
      </c>
      <c r="O62" s="432">
        <v>1000000000000000</v>
      </c>
      <c r="P62" s="69">
        <v>109575</v>
      </c>
      <c r="Q62" s="3">
        <f t="shared" si="13"/>
        <v>64590</v>
      </c>
      <c r="R62" s="107">
        <f t="shared" ca="1" si="14"/>
        <v>18.29</v>
      </c>
      <c r="S62" s="105">
        <f t="shared" ca="1" si="15"/>
        <v>25727391.2880999</v>
      </c>
      <c r="T62" s="341">
        <v>0</v>
      </c>
      <c r="U62" s="341">
        <v>0.11849999999999999</v>
      </c>
      <c r="V62" s="341">
        <v>0.11849999999999999</v>
      </c>
      <c r="W62" s="341">
        <v>0.11849999999999999</v>
      </c>
      <c r="X62" s="281">
        <f t="shared" si="33"/>
        <v>0.02</v>
      </c>
      <c r="Y62" s="282">
        <f t="shared" si="27"/>
        <v>0.1</v>
      </c>
      <c r="AA62" s="391">
        <f t="shared" ca="1" si="16"/>
        <v>0</v>
      </c>
      <c r="AB62" s="400">
        <f t="shared" ca="1" si="8"/>
        <v>0</v>
      </c>
      <c r="AC62" s="258">
        <f t="shared" ca="1" si="8"/>
        <v>0</v>
      </c>
      <c r="AD62" s="258">
        <f t="shared" ca="1" si="8"/>
        <v>0</v>
      </c>
      <c r="AE62" s="402">
        <f t="shared" ca="1" si="8"/>
        <v>0</v>
      </c>
      <c r="AF62" s="402">
        <f t="shared" ca="1" si="8"/>
        <v>0</v>
      </c>
      <c r="AG62" s="404">
        <f t="shared" ca="1" si="17"/>
        <v>0</v>
      </c>
      <c r="AH62" s="415">
        <f t="shared" ca="1" si="18"/>
        <v>0</v>
      </c>
      <c r="AI62" s="415">
        <f t="shared" ca="1" si="19"/>
        <v>0</v>
      </c>
      <c r="AJ62" s="416">
        <f t="shared" ca="1" si="20"/>
        <v>0</v>
      </c>
      <c r="AK62" s="416">
        <f t="shared" ca="1" si="21"/>
        <v>0</v>
      </c>
      <c r="AL62" s="417">
        <v>0</v>
      </c>
      <c r="AM62" s="269">
        <f t="shared" ca="1" si="32"/>
        <v>0</v>
      </c>
      <c r="AN62" s="422">
        <f t="shared" ca="1" si="35"/>
        <v>18.380000000000003</v>
      </c>
      <c r="AO62" s="423">
        <f t="shared" ca="1" si="35"/>
        <v>25893685.458928723</v>
      </c>
      <c r="AP62" s="271">
        <f t="shared" ca="1" si="35"/>
        <v>0</v>
      </c>
      <c r="AQ62" s="271">
        <f t="shared" ca="1" si="35"/>
        <v>0.11849999999999999</v>
      </c>
      <c r="AR62" s="271">
        <f t="shared" ca="1" si="35"/>
        <v>0.11849999999999999</v>
      </c>
      <c r="AS62" s="271">
        <f t="shared" ca="1" si="35"/>
        <v>0.11849999999999999</v>
      </c>
      <c r="AT62" s="271">
        <f t="shared" ca="1" si="35"/>
        <v>0.02</v>
      </c>
      <c r="AU62" s="278">
        <f t="shared" ca="1" si="35"/>
        <v>0.1</v>
      </c>
    </row>
    <row r="63" spans="2:47" ht="13.15" thickBot="1" x14ac:dyDescent="0.4">
      <c r="B63" s="18">
        <f t="shared" si="31"/>
        <v>44</v>
      </c>
      <c r="C63" s="85">
        <f t="shared" ca="1" si="10"/>
        <v>0</v>
      </c>
      <c r="D63" s="85">
        <f t="shared" ca="1" si="2"/>
        <v>0</v>
      </c>
      <c r="E63" s="84">
        <f t="shared" ca="1" si="11"/>
        <v>0</v>
      </c>
      <c r="F63" s="135">
        <f t="shared" ca="1" si="25"/>
        <v>0</v>
      </c>
      <c r="G63" s="409">
        <f t="shared" ca="1" si="4"/>
        <v>0</v>
      </c>
      <c r="H63" s="409">
        <f t="shared" ca="1" si="5"/>
        <v>0</v>
      </c>
      <c r="I63" s="275">
        <f t="shared" ca="1" si="26"/>
        <v>0</v>
      </c>
      <c r="J63" s="275">
        <f t="shared" ca="1" si="12"/>
        <v>0</v>
      </c>
      <c r="K63" s="137">
        <f t="shared" ca="1" si="28"/>
        <v>0</v>
      </c>
      <c r="L63" s="15" t="str">
        <f t="shared" ca="1" si="36"/>
        <v>F</v>
      </c>
      <c r="M63" s="88">
        <f t="shared" ca="1" si="36"/>
        <v>0</v>
      </c>
      <c r="N63" s="88">
        <f t="shared" ca="1" si="36"/>
        <v>0</v>
      </c>
      <c r="O63" s="432">
        <v>1000000000000000</v>
      </c>
      <c r="P63" s="69">
        <v>109575</v>
      </c>
      <c r="Q63" s="3">
        <f t="shared" si="13"/>
        <v>64590</v>
      </c>
      <c r="R63" s="107">
        <f t="shared" ca="1" si="14"/>
        <v>18.29</v>
      </c>
      <c r="S63" s="105">
        <f t="shared" ca="1" si="15"/>
        <v>25727391.2880999</v>
      </c>
      <c r="T63" s="341">
        <v>0</v>
      </c>
      <c r="U63" s="341">
        <v>0.11849999999999999</v>
      </c>
      <c r="V63" s="341">
        <v>0.11849999999999999</v>
      </c>
      <c r="W63" s="341">
        <v>0.11849999999999999</v>
      </c>
      <c r="X63" s="281">
        <f t="shared" si="33"/>
        <v>0.02</v>
      </c>
      <c r="Y63" s="282">
        <f t="shared" si="27"/>
        <v>0.1</v>
      </c>
      <c r="AA63" s="391">
        <f t="shared" ca="1" si="16"/>
        <v>0</v>
      </c>
      <c r="AB63" s="400">
        <f t="shared" ca="1" si="8"/>
        <v>0</v>
      </c>
      <c r="AC63" s="258">
        <f t="shared" ca="1" si="8"/>
        <v>0</v>
      </c>
      <c r="AD63" s="258">
        <f t="shared" ca="1" si="8"/>
        <v>0</v>
      </c>
      <c r="AE63" s="402">
        <f t="shared" ca="1" si="8"/>
        <v>0</v>
      </c>
      <c r="AF63" s="402">
        <f t="shared" ca="1" si="8"/>
        <v>0</v>
      </c>
      <c r="AG63" s="404">
        <f t="shared" ca="1" si="17"/>
        <v>0</v>
      </c>
      <c r="AH63" s="415">
        <f t="shared" ca="1" si="18"/>
        <v>0</v>
      </c>
      <c r="AI63" s="415">
        <f t="shared" ca="1" si="19"/>
        <v>0</v>
      </c>
      <c r="AJ63" s="416">
        <f t="shared" ca="1" si="20"/>
        <v>0</v>
      </c>
      <c r="AK63" s="416">
        <f t="shared" ca="1" si="21"/>
        <v>0</v>
      </c>
      <c r="AL63" s="417">
        <v>0</v>
      </c>
      <c r="AM63" s="269">
        <f t="shared" ca="1" si="32"/>
        <v>0</v>
      </c>
      <c r="AN63" s="422">
        <f t="shared" ca="1" si="35"/>
        <v>18.380000000000003</v>
      </c>
      <c r="AO63" s="423">
        <f t="shared" ca="1" si="35"/>
        <v>25893685.458928723</v>
      </c>
      <c r="AP63" s="271">
        <f t="shared" ca="1" si="35"/>
        <v>0</v>
      </c>
      <c r="AQ63" s="271">
        <f t="shared" ca="1" si="35"/>
        <v>0.11849999999999999</v>
      </c>
      <c r="AR63" s="271">
        <f t="shared" ca="1" si="35"/>
        <v>0.11849999999999999</v>
      </c>
      <c r="AS63" s="271">
        <f t="shared" ca="1" si="35"/>
        <v>0.11849999999999999</v>
      </c>
      <c r="AT63" s="271">
        <f t="shared" ca="1" si="35"/>
        <v>0.02</v>
      </c>
      <c r="AU63" s="278">
        <f t="shared" ca="1" si="35"/>
        <v>0.1</v>
      </c>
    </row>
    <row r="64" spans="2:47" ht="13.15" thickBot="1" x14ac:dyDescent="0.4">
      <c r="B64" s="18">
        <f t="shared" si="31"/>
        <v>45</v>
      </c>
      <c r="C64" s="85">
        <f t="shared" ca="1" si="10"/>
        <v>0</v>
      </c>
      <c r="D64" s="85">
        <f t="shared" ca="1" si="2"/>
        <v>0</v>
      </c>
      <c r="E64" s="84">
        <f t="shared" ca="1" si="11"/>
        <v>0</v>
      </c>
      <c r="F64" s="135">
        <f t="shared" ca="1" si="25"/>
        <v>0</v>
      </c>
      <c r="G64" s="409">
        <f t="shared" ca="1" si="4"/>
        <v>0</v>
      </c>
      <c r="H64" s="409">
        <f t="shared" ca="1" si="5"/>
        <v>0</v>
      </c>
      <c r="I64" s="275">
        <f t="shared" ca="1" si="26"/>
        <v>0</v>
      </c>
      <c r="J64" s="275">
        <f t="shared" ca="1" si="12"/>
        <v>0</v>
      </c>
      <c r="K64" s="137">
        <f t="shared" ca="1" si="28"/>
        <v>0</v>
      </c>
      <c r="L64" s="15" t="str">
        <f t="shared" ca="1" si="36"/>
        <v>F</v>
      </c>
      <c r="M64" s="88">
        <f t="shared" ca="1" si="36"/>
        <v>0</v>
      </c>
      <c r="N64" s="88">
        <f t="shared" ca="1" si="36"/>
        <v>0</v>
      </c>
      <c r="O64" s="432">
        <v>1000000000000000</v>
      </c>
      <c r="P64" s="69">
        <v>109575</v>
      </c>
      <c r="Q64" s="3">
        <f t="shared" si="13"/>
        <v>64590</v>
      </c>
      <c r="R64" s="107">
        <f t="shared" ca="1" si="14"/>
        <v>18.29</v>
      </c>
      <c r="S64" s="105">
        <f t="shared" ca="1" si="15"/>
        <v>25727391.2880999</v>
      </c>
      <c r="T64" s="341">
        <v>0</v>
      </c>
      <c r="U64" s="341">
        <v>0.11849999999999999</v>
      </c>
      <c r="V64" s="341">
        <v>0.11849999999999999</v>
      </c>
      <c r="W64" s="341">
        <v>0.11849999999999999</v>
      </c>
      <c r="X64" s="281">
        <f t="shared" si="33"/>
        <v>0.02</v>
      </c>
      <c r="Y64" s="282">
        <f t="shared" si="27"/>
        <v>0.1</v>
      </c>
      <c r="AA64" s="391">
        <f t="shared" ca="1" si="16"/>
        <v>0</v>
      </c>
      <c r="AB64" s="400">
        <f t="shared" ca="1" si="8"/>
        <v>0</v>
      </c>
      <c r="AC64" s="258">
        <f t="shared" ca="1" si="8"/>
        <v>0</v>
      </c>
      <c r="AD64" s="258">
        <f t="shared" ca="1" si="8"/>
        <v>0</v>
      </c>
      <c r="AE64" s="402">
        <f t="shared" ca="1" si="8"/>
        <v>0</v>
      </c>
      <c r="AF64" s="402">
        <f t="shared" ca="1" si="8"/>
        <v>0</v>
      </c>
      <c r="AG64" s="404">
        <f t="shared" ca="1" si="17"/>
        <v>0</v>
      </c>
      <c r="AH64" s="415">
        <f t="shared" ca="1" si="18"/>
        <v>0</v>
      </c>
      <c r="AI64" s="415">
        <f t="shared" ca="1" si="19"/>
        <v>0</v>
      </c>
      <c r="AJ64" s="416">
        <f t="shared" ca="1" si="20"/>
        <v>0</v>
      </c>
      <c r="AK64" s="416">
        <f t="shared" ca="1" si="21"/>
        <v>0</v>
      </c>
      <c r="AL64" s="417">
        <v>0</v>
      </c>
      <c r="AM64" s="269">
        <f t="shared" ca="1" si="32"/>
        <v>0</v>
      </c>
      <c r="AN64" s="422">
        <f t="shared" ca="1" si="35"/>
        <v>18.380000000000003</v>
      </c>
      <c r="AO64" s="423">
        <f t="shared" ca="1" si="35"/>
        <v>25893685.458928723</v>
      </c>
      <c r="AP64" s="271">
        <f t="shared" ca="1" si="35"/>
        <v>0</v>
      </c>
      <c r="AQ64" s="271">
        <f t="shared" ca="1" si="35"/>
        <v>0.11849999999999999</v>
      </c>
      <c r="AR64" s="271">
        <f t="shared" ca="1" si="35"/>
        <v>0.11849999999999999</v>
      </c>
      <c r="AS64" s="271">
        <f t="shared" ca="1" si="35"/>
        <v>0.11849999999999999</v>
      </c>
      <c r="AT64" s="271">
        <f t="shared" ca="1" si="35"/>
        <v>0.02</v>
      </c>
      <c r="AU64" s="278">
        <f t="shared" ca="1" si="35"/>
        <v>0.1</v>
      </c>
    </row>
    <row r="65" spans="2:47" ht="13.15" thickBot="1" x14ac:dyDescent="0.4">
      <c r="B65" s="18">
        <f t="shared" si="31"/>
        <v>46</v>
      </c>
      <c r="C65" s="85">
        <f t="shared" ca="1" si="10"/>
        <v>0</v>
      </c>
      <c r="D65" s="85">
        <f t="shared" ca="1" si="2"/>
        <v>0</v>
      </c>
      <c r="E65" s="84">
        <f t="shared" ca="1" si="11"/>
        <v>0</v>
      </c>
      <c r="F65" s="135">
        <f t="shared" ca="1" si="25"/>
        <v>0</v>
      </c>
      <c r="G65" s="409">
        <f t="shared" ca="1" si="4"/>
        <v>0</v>
      </c>
      <c r="H65" s="409">
        <f t="shared" ca="1" si="5"/>
        <v>0</v>
      </c>
      <c r="I65" s="275">
        <f t="shared" ca="1" si="26"/>
        <v>0</v>
      </c>
      <c r="J65" s="275">
        <f t="shared" ca="1" si="12"/>
        <v>0</v>
      </c>
      <c r="K65" s="137">
        <f t="shared" ca="1" si="28"/>
        <v>0</v>
      </c>
      <c r="L65" s="15" t="str">
        <f t="shared" ca="1" si="36"/>
        <v>F</v>
      </c>
      <c r="M65" s="88">
        <f t="shared" ca="1" si="36"/>
        <v>0</v>
      </c>
      <c r="N65" s="88">
        <f t="shared" ca="1" si="36"/>
        <v>0</v>
      </c>
      <c r="O65" s="432">
        <v>1000000000000000</v>
      </c>
      <c r="P65" s="69">
        <v>109575</v>
      </c>
      <c r="Q65" s="3">
        <f t="shared" si="13"/>
        <v>64590</v>
      </c>
      <c r="R65" s="107">
        <f t="shared" ca="1" si="14"/>
        <v>18.29</v>
      </c>
      <c r="S65" s="105">
        <f t="shared" ca="1" si="15"/>
        <v>25727391.2880999</v>
      </c>
      <c r="T65" s="341">
        <v>0</v>
      </c>
      <c r="U65" s="341">
        <v>0.11849999999999999</v>
      </c>
      <c r="V65" s="341">
        <v>0.11849999999999999</v>
      </c>
      <c r="W65" s="341">
        <v>0.11849999999999999</v>
      </c>
      <c r="X65" s="281">
        <f t="shared" si="33"/>
        <v>0.02</v>
      </c>
      <c r="Y65" s="282">
        <f t="shared" si="27"/>
        <v>0.1</v>
      </c>
      <c r="AA65" s="391">
        <f t="shared" ca="1" si="16"/>
        <v>0</v>
      </c>
      <c r="AB65" s="400">
        <f t="shared" ca="1" si="8"/>
        <v>0</v>
      </c>
      <c r="AC65" s="258">
        <f t="shared" ca="1" si="8"/>
        <v>0</v>
      </c>
      <c r="AD65" s="258">
        <f t="shared" ca="1" si="8"/>
        <v>0</v>
      </c>
      <c r="AE65" s="402">
        <f t="shared" ca="1" si="8"/>
        <v>0</v>
      </c>
      <c r="AF65" s="402">
        <f t="shared" ca="1" si="8"/>
        <v>0</v>
      </c>
      <c r="AG65" s="404">
        <f t="shared" ca="1" si="17"/>
        <v>0</v>
      </c>
      <c r="AH65" s="415">
        <f t="shared" ca="1" si="18"/>
        <v>0</v>
      </c>
      <c r="AI65" s="415">
        <f t="shared" ca="1" si="19"/>
        <v>0</v>
      </c>
      <c r="AJ65" s="416">
        <f t="shared" ca="1" si="20"/>
        <v>0</v>
      </c>
      <c r="AK65" s="416">
        <f t="shared" ca="1" si="21"/>
        <v>0</v>
      </c>
      <c r="AL65" s="417">
        <v>0</v>
      </c>
      <c r="AM65" s="269">
        <f t="shared" ca="1" si="32"/>
        <v>0</v>
      </c>
      <c r="AN65" s="422">
        <f t="shared" ca="1" si="35"/>
        <v>18.380000000000003</v>
      </c>
      <c r="AO65" s="423">
        <f t="shared" ca="1" si="35"/>
        <v>25893685.458928723</v>
      </c>
      <c r="AP65" s="271">
        <f t="shared" ca="1" si="35"/>
        <v>0</v>
      </c>
      <c r="AQ65" s="271">
        <f t="shared" ca="1" si="35"/>
        <v>0.11849999999999999</v>
      </c>
      <c r="AR65" s="271">
        <f t="shared" ca="1" si="35"/>
        <v>0.11849999999999999</v>
      </c>
      <c r="AS65" s="271">
        <f t="shared" ca="1" si="35"/>
        <v>0.11849999999999999</v>
      </c>
      <c r="AT65" s="271">
        <f t="shared" ca="1" si="35"/>
        <v>0.02</v>
      </c>
      <c r="AU65" s="278">
        <f t="shared" ca="1" si="35"/>
        <v>0.1</v>
      </c>
    </row>
    <row r="66" spans="2:47" ht="13.15" thickBot="1" x14ac:dyDescent="0.4">
      <c r="B66" s="18">
        <f t="shared" si="31"/>
        <v>47</v>
      </c>
      <c r="C66" s="85">
        <f t="shared" ca="1" si="10"/>
        <v>0</v>
      </c>
      <c r="D66" s="85">
        <f t="shared" ca="1" si="2"/>
        <v>0</v>
      </c>
      <c r="E66" s="84">
        <f t="shared" ca="1" si="11"/>
        <v>0</v>
      </c>
      <c r="F66" s="135">
        <f t="shared" ca="1" si="25"/>
        <v>0</v>
      </c>
      <c r="G66" s="409">
        <f t="shared" ca="1" si="4"/>
        <v>0</v>
      </c>
      <c r="H66" s="409">
        <f t="shared" ca="1" si="5"/>
        <v>0</v>
      </c>
      <c r="I66" s="275">
        <f t="shared" ca="1" si="26"/>
        <v>0</v>
      </c>
      <c r="J66" s="275">
        <f t="shared" ca="1" si="12"/>
        <v>0</v>
      </c>
      <c r="K66" s="137">
        <f t="shared" ca="1" si="28"/>
        <v>0</v>
      </c>
      <c r="L66" s="15" t="str">
        <f t="shared" ca="1" si="36"/>
        <v>F</v>
      </c>
      <c r="M66" s="88">
        <f t="shared" ca="1" si="36"/>
        <v>0</v>
      </c>
      <c r="N66" s="88">
        <f t="shared" ca="1" si="36"/>
        <v>0</v>
      </c>
      <c r="O66" s="432">
        <v>1000000000000000</v>
      </c>
      <c r="P66" s="69">
        <v>109575</v>
      </c>
      <c r="Q66" s="3">
        <f t="shared" si="13"/>
        <v>64590</v>
      </c>
      <c r="R66" s="107">
        <f t="shared" ca="1" si="14"/>
        <v>18.29</v>
      </c>
      <c r="S66" s="105">
        <f t="shared" ca="1" si="15"/>
        <v>25727391.2880999</v>
      </c>
      <c r="T66" s="341">
        <v>0</v>
      </c>
      <c r="U66" s="341">
        <v>0.11849999999999999</v>
      </c>
      <c r="V66" s="341">
        <v>0.11849999999999999</v>
      </c>
      <c r="W66" s="341">
        <v>0.11849999999999999</v>
      </c>
      <c r="X66" s="281">
        <f t="shared" si="33"/>
        <v>0.02</v>
      </c>
      <c r="Y66" s="282">
        <f t="shared" si="27"/>
        <v>0.1</v>
      </c>
      <c r="AA66" s="391">
        <f t="shared" ca="1" si="16"/>
        <v>0</v>
      </c>
      <c r="AB66" s="400">
        <f t="shared" ca="1" si="8"/>
        <v>0</v>
      </c>
      <c r="AC66" s="258">
        <f t="shared" ca="1" si="8"/>
        <v>0</v>
      </c>
      <c r="AD66" s="258">
        <f t="shared" ca="1" si="8"/>
        <v>0</v>
      </c>
      <c r="AE66" s="402">
        <f t="shared" ca="1" si="8"/>
        <v>0</v>
      </c>
      <c r="AF66" s="402">
        <f t="shared" ca="1" si="8"/>
        <v>0</v>
      </c>
      <c r="AG66" s="404">
        <f t="shared" ca="1" si="17"/>
        <v>0</v>
      </c>
      <c r="AH66" s="415">
        <f t="shared" ca="1" si="18"/>
        <v>0</v>
      </c>
      <c r="AI66" s="415">
        <f t="shared" ca="1" si="19"/>
        <v>0</v>
      </c>
      <c r="AJ66" s="416">
        <f t="shared" ca="1" si="20"/>
        <v>0</v>
      </c>
      <c r="AK66" s="416">
        <f t="shared" ca="1" si="21"/>
        <v>0</v>
      </c>
      <c r="AL66" s="417">
        <v>0</v>
      </c>
      <c r="AM66" s="269">
        <f t="shared" ca="1" si="32"/>
        <v>0</v>
      </c>
      <c r="AN66" s="422">
        <f t="shared" ca="1" si="35"/>
        <v>18.380000000000003</v>
      </c>
      <c r="AO66" s="423">
        <f t="shared" ca="1" si="35"/>
        <v>25893685.458928723</v>
      </c>
      <c r="AP66" s="271">
        <f t="shared" ca="1" si="35"/>
        <v>0</v>
      </c>
      <c r="AQ66" s="271">
        <f t="shared" ca="1" si="35"/>
        <v>0.11849999999999999</v>
      </c>
      <c r="AR66" s="271">
        <f t="shared" ca="1" si="35"/>
        <v>0.11849999999999999</v>
      </c>
      <c r="AS66" s="271">
        <f t="shared" ca="1" si="35"/>
        <v>0.11849999999999999</v>
      </c>
      <c r="AT66" s="271">
        <f t="shared" ca="1" si="35"/>
        <v>0.02</v>
      </c>
      <c r="AU66" s="278">
        <f t="shared" ca="1" si="35"/>
        <v>0.1</v>
      </c>
    </row>
    <row r="67" spans="2:47" ht="13.15" thickBot="1" x14ac:dyDescent="0.4">
      <c r="B67" s="18">
        <f t="shared" si="31"/>
        <v>48</v>
      </c>
      <c r="C67" s="85">
        <f t="shared" ca="1" si="10"/>
        <v>0</v>
      </c>
      <c r="D67" s="85">
        <f t="shared" ca="1" si="2"/>
        <v>0</v>
      </c>
      <c r="E67" s="84">
        <f t="shared" ca="1" si="11"/>
        <v>0</v>
      </c>
      <c r="F67" s="135">
        <f t="shared" ca="1" si="25"/>
        <v>0</v>
      </c>
      <c r="G67" s="409">
        <f t="shared" ca="1" si="4"/>
        <v>0</v>
      </c>
      <c r="H67" s="409">
        <f t="shared" ca="1" si="5"/>
        <v>0</v>
      </c>
      <c r="I67" s="275">
        <f t="shared" ca="1" si="26"/>
        <v>0</v>
      </c>
      <c r="J67" s="275">
        <f t="shared" ca="1" si="12"/>
        <v>0</v>
      </c>
      <c r="K67" s="137">
        <f t="shared" ca="1" si="28"/>
        <v>0</v>
      </c>
      <c r="L67" s="15" t="str">
        <f t="shared" ca="1" si="36"/>
        <v>F</v>
      </c>
      <c r="M67" s="88">
        <f t="shared" ca="1" si="36"/>
        <v>0</v>
      </c>
      <c r="N67" s="88">
        <f t="shared" ca="1" si="36"/>
        <v>0</v>
      </c>
      <c r="O67" s="432">
        <v>1000000000000000</v>
      </c>
      <c r="P67" s="69">
        <v>109575</v>
      </c>
      <c r="Q67" s="3">
        <f t="shared" si="13"/>
        <v>64590</v>
      </c>
      <c r="R67" s="107">
        <f t="shared" ca="1" si="14"/>
        <v>18.29</v>
      </c>
      <c r="S67" s="105">
        <f t="shared" ca="1" si="15"/>
        <v>25727391.2880999</v>
      </c>
      <c r="T67" s="341">
        <v>0</v>
      </c>
      <c r="U67" s="341">
        <v>0.11849999999999999</v>
      </c>
      <c r="V67" s="341">
        <v>0.11849999999999999</v>
      </c>
      <c r="W67" s="341">
        <v>0.11849999999999999</v>
      </c>
      <c r="X67" s="281">
        <f t="shared" si="33"/>
        <v>0.02</v>
      </c>
      <c r="Y67" s="282">
        <f t="shared" si="27"/>
        <v>0.1</v>
      </c>
      <c r="AA67" s="391">
        <f t="shared" ca="1" si="16"/>
        <v>0</v>
      </c>
      <c r="AB67" s="400">
        <f t="shared" ca="1" si="8"/>
        <v>0</v>
      </c>
      <c r="AC67" s="258">
        <f t="shared" ca="1" si="8"/>
        <v>0</v>
      </c>
      <c r="AD67" s="258">
        <f t="shared" ca="1" si="8"/>
        <v>0</v>
      </c>
      <c r="AE67" s="402">
        <f t="shared" ca="1" si="8"/>
        <v>0</v>
      </c>
      <c r="AF67" s="402">
        <f t="shared" ca="1" si="8"/>
        <v>0</v>
      </c>
      <c r="AG67" s="404">
        <f t="shared" ca="1" si="17"/>
        <v>0</v>
      </c>
      <c r="AH67" s="415">
        <f t="shared" ca="1" si="18"/>
        <v>0</v>
      </c>
      <c r="AI67" s="415">
        <f t="shared" ca="1" si="19"/>
        <v>0</v>
      </c>
      <c r="AJ67" s="416">
        <f t="shared" ca="1" si="20"/>
        <v>0</v>
      </c>
      <c r="AK67" s="416">
        <f t="shared" ca="1" si="21"/>
        <v>0</v>
      </c>
      <c r="AL67" s="417">
        <v>0</v>
      </c>
      <c r="AM67" s="269">
        <f t="shared" ca="1" si="32"/>
        <v>0</v>
      </c>
      <c r="AN67" s="422">
        <f t="shared" ca="1" si="35"/>
        <v>18.380000000000003</v>
      </c>
      <c r="AO67" s="423">
        <f t="shared" ca="1" si="35"/>
        <v>25893685.458928723</v>
      </c>
      <c r="AP67" s="271">
        <f t="shared" ca="1" si="35"/>
        <v>0</v>
      </c>
      <c r="AQ67" s="271">
        <f t="shared" ca="1" si="35"/>
        <v>0.11849999999999999</v>
      </c>
      <c r="AR67" s="271">
        <f t="shared" ca="1" si="35"/>
        <v>0.11849999999999999</v>
      </c>
      <c r="AS67" s="271">
        <f t="shared" ca="1" si="35"/>
        <v>0.11849999999999999</v>
      </c>
      <c r="AT67" s="271">
        <f t="shared" ca="1" si="35"/>
        <v>0.02</v>
      </c>
      <c r="AU67" s="278">
        <f t="shared" ca="1" si="35"/>
        <v>0.1</v>
      </c>
    </row>
    <row r="68" spans="2:47" ht="13.15" thickBot="1" x14ac:dyDescent="0.4">
      <c r="B68" s="18">
        <f t="shared" si="31"/>
        <v>49</v>
      </c>
      <c r="C68" s="85">
        <f t="shared" ca="1" si="10"/>
        <v>0</v>
      </c>
      <c r="D68" s="85">
        <f t="shared" ca="1" si="2"/>
        <v>0</v>
      </c>
      <c r="E68" s="84">
        <f t="shared" ca="1" si="11"/>
        <v>0</v>
      </c>
      <c r="F68" s="135">
        <f t="shared" ca="1" si="25"/>
        <v>0</v>
      </c>
      <c r="G68" s="409">
        <f t="shared" ca="1" si="4"/>
        <v>0</v>
      </c>
      <c r="H68" s="409">
        <f t="shared" ca="1" si="5"/>
        <v>0</v>
      </c>
      <c r="I68" s="275">
        <f t="shared" ca="1" si="26"/>
        <v>0</v>
      </c>
      <c r="J68" s="275">
        <f t="shared" ca="1" si="12"/>
        <v>0</v>
      </c>
      <c r="K68" s="137">
        <f t="shared" ca="1" si="28"/>
        <v>0</v>
      </c>
      <c r="L68" s="15" t="str">
        <f t="shared" ca="1" si="36"/>
        <v>F</v>
      </c>
      <c r="M68" s="88">
        <f t="shared" ca="1" si="36"/>
        <v>0</v>
      </c>
      <c r="N68" s="88">
        <f t="shared" ca="1" si="36"/>
        <v>0</v>
      </c>
      <c r="O68" s="432">
        <v>1000000000000000</v>
      </c>
      <c r="P68" s="69">
        <v>109575</v>
      </c>
      <c r="Q68" s="3">
        <f t="shared" si="13"/>
        <v>64590</v>
      </c>
      <c r="R68" s="107">
        <f t="shared" ca="1" si="14"/>
        <v>18.29</v>
      </c>
      <c r="S68" s="105">
        <f t="shared" ca="1" si="15"/>
        <v>25727391.2880999</v>
      </c>
      <c r="T68" s="341">
        <v>0</v>
      </c>
      <c r="U68" s="341">
        <v>0.11849999999999999</v>
      </c>
      <c r="V68" s="341">
        <v>0.11849999999999999</v>
      </c>
      <c r="W68" s="341">
        <v>0.11849999999999999</v>
      </c>
      <c r="X68" s="281">
        <f t="shared" si="33"/>
        <v>0.02</v>
      </c>
      <c r="Y68" s="282">
        <f t="shared" si="27"/>
        <v>0.1</v>
      </c>
      <c r="AA68" s="391">
        <f t="shared" ca="1" si="16"/>
        <v>0</v>
      </c>
      <c r="AB68" s="400">
        <f t="shared" ca="1" si="8"/>
        <v>0</v>
      </c>
      <c r="AC68" s="258">
        <f t="shared" ca="1" si="8"/>
        <v>0</v>
      </c>
      <c r="AD68" s="258">
        <f t="shared" ca="1" si="8"/>
        <v>0</v>
      </c>
      <c r="AE68" s="402">
        <f t="shared" ca="1" si="8"/>
        <v>0</v>
      </c>
      <c r="AF68" s="402">
        <f t="shared" ca="1" si="8"/>
        <v>0</v>
      </c>
      <c r="AG68" s="404">
        <f t="shared" ca="1" si="17"/>
        <v>0</v>
      </c>
      <c r="AH68" s="415">
        <f t="shared" ca="1" si="18"/>
        <v>0</v>
      </c>
      <c r="AI68" s="415">
        <f t="shared" ca="1" si="19"/>
        <v>0</v>
      </c>
      <c r="AJ68" s="416">
        <f t="shared" ca="1" si="20"/>
        <v>0</v>
      </c>
      <c r="AK68" s="416">
        <f t="shared" ca="1" si="21"/>
        <v>0</v>
      </c>
      <c r="AL68" s="417">
        <v>0</v>
      </c>
      <c r="AM68" s="269">
        <f t="shared" ca="1" si="32"/>
        <v>0</v>
      </c>
      <c r="AN68" s="422">
        <f t="shared" ca="1" si="35"/>
        <v>18.380000000000003</v>
      </c>
      <c r="AO68" s="423">
        <f t="shared" ca="1" si="35"/>
        <v>25893685.458928723</v>
      </c>
      <c r="AP68" s="271">
        <f t="shared" ca="1" si="35"/>
        <v>0</v>
      </c>
      <c r="AQ68" s="271">
        <f t="shared" ca="1" si="35"/>
        <v>0.11849999999999999</v>
      </c>
      <c r="AR68" s="271">
        <f t="shared" ca="1" si="35"/>
        <v>0.11849999999999999</v>
      </c>
      <c r="AS68" s="271">
        <f t="shared" ca="1" si="35"/>
        <v>0.11849999999999999</v>
      </c>
      <c r="AT68" s="271">
        <f t="shared" ca="1" si="35"/>
        <v>0.02</v>
      </c>
      <c r="AU68" s="278">
        <f t="shared" ref="AU68:AU110" ca="1" si="37">INDIRECT("'"&amp; $AB$16 &amp;"'!"&amp; ADDRESS(ROW(Y68),COLUMN(Y68),4))</f>
        <v>0.1</v>
      </c>
    </row>
    <row r="69" spans="2:47" ht="13.15" thickBot="1" x14ac:dyDescent="0.4">
      <c r="B69" s="18">
        <f t="shared" si="31"/>
        <v>50</v>
      </c>
      <c r="C69" s="85">
        <f t="shared" ca="1" si="10"/>
        <v>0</v>
      </c>
      <c r="D69" s="85">
        <f t="shared" ca="1" si="2"/>
        <v>0</v>
      </c>
      <c r="E69" s="84">
        <f t="shared" ca="1" si="11"/>
        <v>0</v>
      </c>
      <c r="F69" s="135">
        <f t="shared" ca="1" si="25"/>
        <v>0</v>
      </c>
      <c r="G69" s="409">
        <f t="shared" ca="1" si="4"/>
        <v>0</v>
      </c>
      <c r="H69" s="409">
        <f t="shared" ca="1" si="5"/>
        <v>0</v>
      </c>
      <c r="I69" s="275">
        <f t="shared" ca="1" si="26"/>
        <v>0</v>
      </c>
      <c r="J69" s="275">
        <f t="shared" ca="1" si="12"/>
        <v>0</v>
      </c>
      <c r="K69" s="137">
        <f t="shared" ca="1" si="28"/>
        <v>0</v>
      </c>
      <c r="L69" s="15" t="str">
        <f t="shared" ref="L69:N110" ca="1" si="38">INDIRECT("'"&amp; $AB$16 &amp;"'!"&amp; ADDRESS(ROW(L69),COLUMN(L69),4))</f>
        <v>F</v>
      </c>
      <c r="M69" s="88">
        <f t="shared" ca="1" si="38"/>
        <v>0</v>
      </c>
      <c r="N69" s="88">
        <f t="shared" ca="1" si="38"/>
        <v>0</v>
      </c>
      <c r="O69" s="432">
        <v>1000000000000000</v>
      </c>
      <c r="P69" s="69">
        <v>109575</v>
      </c>
      <c r="Q69" s="3">
        <f t="shared" si="13"/>
        <v>64590</v>
      </c>
      <c r="R69" s="107">
        <f t="shared" ca="1" si="14"/>
        <v>18.29</v>
      </c>
      <c r="S69" s="105">
        <f t="shared" ca="1" si="15"/>
        <v>25727391.2880999</v>
      </c>
      <c r="T69" s="341">
        <v>0</v>
      </c>
      <c r="U69" s="341">
        <v>0.11849999999999999</v>
      </c>
      <c r="V69" s="341">
        <v>0.11849999999999999</v>
      </c>
      <c r="W69" s="341">
        <v>0.11849999999999999</v>
      </c>
      <c r="X69" s="281">
        <f t="shared" si="33"/>
        <v>0.02</v>
      </c>
      <c r="Y69" s="282">
        <f t="shared" si="27"/>
        <v>0.1</v>
      </c>
      <c r="AA69" s="391">
        <f t="shared" ca="1" si="16"/>
        <v>0</v>
      </c>
      <c r="AB69" s="400">
        <f t="shared" ca="1" si="8"/>
        <v>0</v>
      </c>
      <c r="AC69" s="258">
        <f t="shared" ca="1" si="8"/>
        <v>0</v>
      </c>
      <c r="AD69" s="258">
        <f t="shared" ca="1" si="8"/>
        <v>0</v>
      </c>
      <c r="AE69" s="402">
        <f t="shared" ca="1" si="8"/>
        <v>0</v>
      </c>
      <c r="AF69" s="402">
        <f t="shared" ca="1" si="8"/>
        <v>0</v>
      </c>
      <c r="AG69" s="404">
        <f t="shared" ca="1" si="17"/>
        <v>0</v>
      </c>
      <c r="AH69" s="415">
        <f t="shared" ca="1" si="18"/>
        <v>0</v>
      </c>
      <c r="AI69" s="415">
        <f t="shared" ca="1" si="19"/>
        <v>0</v>
      </c>
      <c r="AJ69" s="416">
        <f t="shared" ca="1" si="20"/>
        <v>0</v>
      </c>
      <c r="AK69" s="416">
        <f t="shared" ca="1" si="21"/>
        <v>0</v>
      </c>
      <c r="AL69" s="417">
        <v>0</v>
      </c>
      <c r="AM69" s="269">
        <f t="shared" ca="1" si="32"/>
        <v>0</v>
      </c>
      <c r="AN69" s="422">
        <f t="shared" ref="AN69:AT105" ca="1" si="39">INDIRECT("'"&amp; $AB$16 &amp;"'!"&amp; ADDRESS(ROW(R69),COLUMN(R69),4))</f>
        <v>18.380000000000003</v>
      </c>
      <c r="AO69" s="423">
        <f t="shared" ca="1" si="39"/>
        <v>25893685.458928723</v>
      </c>
      <c r="AP69" s="271">
        <f t="shared" ca="1" si="39"/>
        <v>0</v>
      </c>
      <c r="AQ69" s="271">
        <f t="shared" ca="1" si="39"/>
        <v>0.11849999999999999</v>
      </c>
      <c r="AR69" s="271">
        <f t="shared" ca="1" si="39"/>
        <v>0.11849999999999999</v>
      </c>
      <c r="AS69" s="271">
        <f t="shared" ca="1" si="39"/>
        <v>0.11849999999999999</v>
      </c>
      <c r="AT69" s="271">
        <f t="shared" ca="1" si="39"/>
        <v>0.02</v>
      </c>
      <c r="AU69" s="278">
        <f t="shared" ca="1" si="37"/>
        <v>0.1</v>
      </c>
    </row>
    <row r="70" spans="2:47" ht="13.15" thickBot="1" x14ac:dyDescent="0.4">
      <c r="B70" s="18">
        <f t="shared" si="31"/>
        <v>51</v>
      </c>
      <c r="C70" s="85">
        <f t="shared" ca="1" si="10"/>
        <v>0</v>
      </c>
      <c r="D70" s="85">
        <f t="shared" ca="1" si="2"/>
        <v>0</v>
      </c>
      <c r="E70" s="84">
        <f t="shared" ca="1" si="11"/>
        <v>0</v>
      </c>
      <c r="F70" s="135">
        <f t="shared" ca="1" si="25"/>
        <v>0</v>
      </c>
      <c r="G70" s="409">
        <f t="shared" ca="1" si="4"/>
        <v>0</v>
      </c>
      <c r="H70" s="409">
        <f t="shared" ca="1" si="5"/>
        <v>0</v>
      </c>
      <c r="I70" s="275">
        <f t="shared" ca="1" si="26"/>
        <v>0</v>
      </c>
      <c r="J70" s="275">
        <f t="shared" ca="1" si="12"/>
        <v>0</v>
      </c>
      <c r="K70" s="137">
        <f t="shared" ca="1" si="28"/>
        <v>0</v>
      </c>
      <c r="L70" s="15" t="str">
        <f t="shared" ca="1" si="38"/>
        <v>F</v>
      </c>
      <c r="M70" s="88">
        <f t="shared" ca="1" si="38"/>
        <v>0</v>
      </c>
      <c r="N70" s="88">
        <f t="shared" ca="1" si="38"/>
        <v>0</v>
      </c>
      <c r="O70" s="432">
        <v>1000000000000000</v>
      </c>
      <c r="P70" s="69">
        <v>109575</v>
      </c>
      <c r="Q70" s="3">
        <f t="shared" si="13"/>
        <v>64590</v>
      </c>
      <c r="R70" s="107">
        <f t="shared" ca="1" si="14"/>
        <v>18.29</v>
      </c>
      <c r="S70" s="105">
        <f t="shared" ca="1" si="15"/>
        <v>25727391.2880999</v>
      </c>
      <c r="T70" s="341">
        <v>0</v>
      </c>
      <c r="U70" s="341">
        <v>0.11849999999999999</v>
      </c>
      <c r="V70" s="341">
        <v>0.11849999999999999</v>
      </c>
      <c r="W70" s="341">
        <v>0.11849999999999999</v>
      </c>
      <c r="X70" s="281">
        <f t="shared" si="33"/>
        <v>0.02</v>
      </c>
      <c r="Y70" s="282">
        <f t="shared" si="27"/>
        <v>0.1</v>
      </c>
      <c r="AA70" s="391">
        <f t="shared" ca="1" si="16"/>
        <v>0</v>
      </c>
      <c r="AB70" s="400">
        <f t="shared" ca="1" si="8"/>
        <v>0</v>
      </c>
      <c r="AC70" s="258">
        <f t="shared" ca="1" si="8"/>
        <v>0</v>
      </c>
      <c r="AD70" s="258">
        <f t="shared" ca="1" si="8"/>
        <v>0</v>
      </c>
      <c r="AE70" s="402">
        <f t="shared" ca="1" si="8"/>
        <v>0</v>
      </c>
      <c r="AF70" s="402">
        <f t="shared" ca="1" si="8"/>
        <v>0</v>
      </c>
      <c r="AG70" s="404">
        <f t="shared" ca="1" si="17"/>
        <v>0</v>
      </c>
      <c r="AH70" s="415">
        <f t="shared" ca="1" si="18"/>
        <v>0</v>
      </c>
      <c r="AI70" s="415">
        <f t="shared" ca="1" si="19"/>
        <v>0</v>
      </c>
      <c r="AJ70" s="416">
        <f t="shared" ca="1" si="20"/>
        <v>0</v>
      </c>
      <c r="AK70" s="416">
        <f t="shared" ca="1" si="21"/>
        <v>0</v>
      </c>
      <c r="AL70" s="417">
        <v>0</v>
      </c>
      <c r="AM70" s="269">
        <f t="shared" ca="1" si="32"/>
        <v>0</v>
      </c>
      <c r="AN70" s="422">
        <f t="shared" ca="1" si="39"/>
        <v>18.380000000000003</v>
      </c>
      <c r="AO70" s="423">
        <f t="shared" ca="1" si="39"/>
        <v>25893685.458928723</v>
      </c>
      <c r="AP70" s="271">
        <f t="shared" ca="1" si="39"/>
        <v>0</v>
      </c>
      <c r="AQ70" s="271">
        <f t="shared" ca="1" si="39"/>
        <v>0.11849999999999999</v>
      </c>
      <c r="AR70" s="271">
        <f t="shared" ca="1" si="39"/>
        <v>0.11849999999999999</v>
      </c>
      <c r="AS70" s="271">
        <f t="shared" ca="1" si="39"/>
        <v>0.11849999999999999</v>
      </c>
      <c r="AT70" s="271">
        <f t="shared" ca="1" si="39"/>
        <v>0.02</v>
      </c>
      <c r="AU70" s="278">
        <f t="shared" ca="1" si="37"/>
        <v>0.1</v>
      </c>
    </row>
    <row r="71" spans="2:47" ht="13.15" thickBot="1" x14ac:dyDescent="0.4">
      <c r="B71" s="18">
        <f t="shared" si="31"/>
        <v>52</v>
      </c>
      <c r="C71" s="85">
        <f t="shared" ca="1" si="10"/>
        <v>0</v>
      </c>
      <c r="D71" s="85">
        <f t="shared" ca="1" si="2"/>
        <v>0</v>
      </c>
      <c r="E71" s="84">
        <f t="shared" ca="1" si="11"/>
        <v>0</v>
      </c>
      <c r="F71" s="135">
        <f t="shared" ca="1" si="25"/>
        <v>0</v>
      </c>
      <c r="G71" s="409">
        <f t="shared" ca="1" si="4"/>
        <v>0</v>
      </c>
      <c r="H71" s="409">
        <f t="shared" ca="1" si="5"/>
        <v>0</v>
      </c>
      <c r="I71" s="275">
        <f t="shared" ca="1" si="26"/>
        <v>0</v>
      </c>
      <c r="J71" s="275">
        <f t="shared" ca="1" si="12"/>
        <v>0</v>
      </c>
      <c r="K71" s="137">
        <f t="shared" ca="1" si="28"/>
        <v>0</v>
      </c>
      <c r="L71" s="15" t="str">
        <f t="shared" ca="1" si="38"/>
        <v>F</v>
      </c>
      <c r="M71" s="88">
        <f t="shared" ca="1" si="38"/>
        <v>0</v>
      </c>
      <c r="N71" s="88">
        <f t="shared" ca="1" si="38"/>
        <v>0</v>
      </c>
      <c r="O71" s="432">
        <v>1000000000000000</v>
      </c>
      <c r="P71" s="69">
        <v>109575</v>
      </c>
      <c r="Q71" s="3">
        <f t="shared" si="13"/>
        <v>64590</v>
      </c>
      <c r="R71" s="107">
        <f t="shared" ca="1" si="14"/>
        <v>18.29</v>
      </c>
      <c r="S71" s="105">
        <f t="shared" ca="1" si="15"/>
        <v>25727391.2880999</v>
      </c>
      <c r="T71" s="341">
        <v>0</v>
      </c>
      <c r="U71" s="341">
        <v>0.11849999999999999</v>
      </c>
      <c r="V71" s="341">
        <v>0.11849999999999999</v>
      </c>
      <c r="W71" s="341">
        <v>0.11849999999999999</v>
      </c>
      <c r="X71" s="281">
        <f t="shared" si="33"/>
        <v>0.02</v>
      </c>
      <c r="Y71" s="282">
        <f t="shared" si="27"/>
        <v>0.1</v>
      </c>
      <c r="AA71" s="391">
        <f t="shared" ca="1" si="16"/>
        <v>0</v>
      </c>
      <c r="AB71" s="400">
        <f t="shared" ca="1" si="16"/>
        <v>0</v>
      </c>
      <c r="AC71" s="258">
        <f t="shared" ca="1" si="16"/>
        <v>0</v>
      </c>
      <c r="AD71" s="258">
        <f t="shared" ca="1" si="16"/>
        <v>0</v>
      </c>
      <c r="AE71" s="402">
        <f t="shared" ca="1" si="16"/>
        <v>0</v>
      </c>
      <c r="AF71" s="402">
        <f t="shared" ca="1" si="16"/>
        <v>0</v>
      </c>
      <c r="AG71" s="404">
        <f t="shared" ca="1" si="17"/>
        <v>0</v>
      </c>
      <c r="AH71" s="415">
        <f t="shared" ca="1" si="18"/>
        <v>0</v>
      </c>
      <c r="AI71" s="415">
        <f t="shared" ca="1" si="19"/>
        <v>0</v>
      </c>
      <c r="AJ71" s="416">
        <f t="shared" ca="1" si="20"/>
        <v>0</v>
      </c>
      <c r="AK71" s="416">
        <f t="shared" ca="1" si="21"/>
        <v>0</v>
      </c>
      <c r="AL71" s="417">
        <v>0</v>
      </c>
      <c r="AM71" s="269">
        <f t="shared" ca="1" si="32"/>
        <v>0</v>
      </c>
      <c r="AN71" s="422">
        <f t="shared" ca="1" si="39"/>
        <v>18.380000000000003</v>
      </c>
      <c r="AO71" s="423">
        <f t="shared" ca="1" si="39"/>
        <v>25893685.458928723</v>
      </c>
      <c r="AP71" s="271">
        <f t="shared" ca="1" si="39"/>
        <v>0</v>
      </c>
      <c r="AQ71" s="271">
        <f t="shared" ca="1" si="39"/>
        <v>0.11849999999999999</v>
      </c>
      <c r="AR71" s="271">
        <f t="shared" ca="1" si="39"/>
        <v>0.11849999999999999</v>
      </c>
      <c r="AS71" s="271">
        <f t="shared" ca="1" si="39"/>
        <v>0.11849999999999999</v>
      </c>
      <c r="AT71" s="271">
        <f t="shared" ca="1" si="39"/>
        <v>0.02</v>
      </c>
      <c r="AU71" s="278">
        <f t="shared" ca="1" si="37"/>
        <v>0.1</v>
      </c>
    </row>
    <row r="72" spans="2:47" ht="13.15" thickBot="1" x14ac:dyDescent="0.4">
      <c r="B72" s="18">
        <f t="shared" si="31"/>
        <v>53</v>
      </c>
      <c r="C72" s="85">
        <f t="shared" ca="1" si="10"/>
        <v>0</v>
      </c>
      <c r="D72" s="85">
        <f t="shared" ca="1" si="2"/>
        <v>0</v>
      </c>
      <c r="E72" s="84">
        <f t="shared" ca="1" si="11"/>
        <v>0</v>
      </c>
      <c r="F72" s="135">
        <f t="shared" ca="1" si="25"/>
        <v>0</v>
      </c>
      <c r="G72" s="409">
        <f t="shared" ca="1" si="4"/>
        <v>0</v>
      </c>
      <c r="H72" s="409">
        <f t="shared" ca="1" si="5"/>
        <v>0</v>
      </c>
      <c r="I72" s="275">
        <f t="shared" ca="1" si="26"/>
        <v>0</v>
      </c>
      <c r="J72" s="275">
        <f t="shared" ca="1" si="12"/>
        <v>0</v>
      </c>
      <c r="K72" s="137">
        <f t="shared" ca="1" si="28"/>
        <v>0</v>
      </c>
      <c r="L72" s="15" t="str">
        <f t="shared" ca="1" si="38"/>
        <v>F</v>
      </c>
      <c r="M72" s="88">
        <f t="shared" ca="1" si="38"/>
        <v>0</v>
      </c>
      <c r="N72" s="88">
        <f t="shared" ca="1" si="38"/>
        <v>0</v>
      </c>
      <c r="O72" s="432">
        <v>1000000000000000</v>
      </c>
      <c r="P72" s="69">
        <v>109575</v>
      </c>
      <c r="Q72" s="3">
        <f t="shared" si="13"/>
        <v>64590</v>
      </c>
      <c r="R72" s="107">
        <f t="shared" ca="1" si="14"/>
        <v>18.29</v>
      </c>
      <c r="S72" s="105">
        <f t="shared" ca="1" si="15"/>
        <v>25727391.2880999</v>
      </c>
      <c r="T72" s="341">
        <v>0</v>
      </c>
      <c r="U72" s="341">
        <v>0.11849999999999999</v>
      </c>
      <c r="V72" s="341">
        <v>0.11849999999999999</v>
      </c>
      <c r="W72" s="341">
        <v>0.11849999999999999</v>
      </c>
      <c r="X72" s="281">
        <f t="shared" si="33"/>
        <v>0.02</v>
      </c>
      <c r="Y72" s="282">
        <f t="shared" si="27"/>
        <v>0.1</v>
      </c>
      <c r="AA72" s="391">
        <f t="shared" ca="1" si="16"/>
        <v>0</v>
      </c>
      <c r="AB72" s="400">
        <f t="shared" ca="1" si="16"/>
        <v>0</v>
      </c>
      <c r="AC72" s="258">
        <f t="shared" ca="1" si="16"/>
        <v>0</v>
      </c>
      <c r="AD72" s="258">
        <f t="shared" ca="1" si="16"/>
        <v>0</v>
      </c>
      <c r="AE72" s="402">
        <f t="shared" ca="1" si="16"/>
        <v>0</v>
      </c>
      <c r="AF72" s="402">
        <f t="shared" ca="1" si="16"/>
        <v>0</v>
      </c>
      <c r="AG72" s="404">
        <f t="shared" ca="1" si="17"/>
        <v>0</v>
      </c>
      <c r="AH72" s="415">
        <f t="shared" ca="1" si="18"/>
        <v>0</v>
      </c>
      <c r="AI72" s="415">
        <f t="shared" ca="1" si="19"/>
        <v>0</v>
      </c>
      <c r="AJ72" s="416">
        <f t="shared" ca="1" si="20"/>
        <v>0</v>
      </c>
      <c r="AK72" s="416">
        <f t="shared" ca="1" si="21"/>
        <v>0</v>
      </c>
      <c r="AL72" s="417">
        <v>0</v>
      </c>
      <c r="AM72" s="269">
        <f t="shared" ca="1" si="32"/>
        <v>0</v>
      </c>
      <c r="AN72" s="422">
        <f t="shared" ca="1" si="39"/>
        <v>18.380000000000003</v>
      </c>
      <c r="AO72" s="423">
        <f t="shared" ca="1" si="39"/>
        <v>25893685.458928723</v>
      </c>
      <c r="AP72" s="271">
        <f t="shared" ca="1" si="39"/>
        <v>0</v>
      </c>
      <c r="AQ72" s="271">
        <f t="shared" ca="1" si="39"/>
        <v>0.11849999999999999</v>
      </c>
      <c r="AR72" s="271">
        <f t="shared" ca="1" si="39"/>
        <v>0.11849999999999999</v>
      </c>
      <c r="AS72" s="271">
        <f t="shared" ca="1" si="39"/>
        <v>0.11849999999999999</v>
      </c>
      <c r="AT72" s="271">
        <f t="shared" ca="1" si="39"/>
        <v>0.02</v>
      </c>
      <c r="AU72" s="278">
        <f t="shared" ca="1" si="37"/>
        <v>0.1</v>
      </c>
    </row>
    <row r="73" spans="2:47" ht="13.15" thickBot="1" x14ac:dyDescent="0.4">
      <c r="B73" s="18">
        <f t="shared" si="31"/>
        <v>54</v>
      </c>
      <c r="C73" s="85">
        <f t="shared" ca="1" si="10"/>
        <v>0</v>
      </c>
      <c r="D73" s="85">
        <f t="shared" ca="1" si="2"/>
        <v>0</v>
      </c>
      <c r="E73" s="84">
        <f t="shared" ca="1" si="11"/>
        <v>0</v>
      </c>
      <c r="F73" s="135">
        <f t="shared" ca="1" si="25"/>
        <v>0</v>
      </c>
      <c r="G73" s="409">
        <f t="shared" ca="1" si="4"/>
        <v>0</v>
      </c>
      <c r="H73" s="409">
        <f t="shared" ca="1" si="5"/>
        <v>0</v>
      </c>
      <c r="I73" s="275">
        <f t="shared" ca="1" si="26"/>
        <v>0</v>
      </c>
      <c r="J73" s="275">
        <f t="shared" ca="1" si="12"/>
        <v>0</v>
      </c>
      <c r="K73" s="137">
        <f t="shared" ca="1" si="28"/>
        <v>0</v>
      </c>
      <c r="L73" s="15" t="str">
        <f t="shared" ca="1" si="38"/>
        <v>F</v>
      </c>
      <c r="M73" s="88">
        <f t="shared" ca="1" si="38"/>
        <v>0</v>
      </c>
      <c r="N73" s="88">
        <f t="shared" ca="1" si="38"/>
        <v>0</v>
      </c>
      <c r="O73" s="432">
        <v>1000000000000000</v>
      </c>
      <c r="P73" s="69">
        <v>109575</v>
      </c>
      <c r="Q73" s="3">
        <f t="shared" si="13"/>
        <v>64590</v>
      </c>
      <c r="R73" s="107">
        <f t="shared" ca="1" si="14"/>
        <v>18.29</v>
      </c>
      <c r="S73" s="105">
        <f t="shared" ca="1" si="15"/>
        <v>25727391.2880999</v>
      </c>
      <c r="T73" s="341">
        <v>0</v>
      </c>
      <c r="U73" s="341">
        <v>0.11849999999999999</v>
      </c>
      <c r="V73" s="341">
        <v>0.11849999999999999</v>
      </c>
      <c r="W73" s="341">
        <v>0.11849999999999999</v>
      </c>
      <c r="X73" s="281">
        <f t="shared" si="33"/>
        <v>0.02</v>
      </c>
      <c r="Y73" s="282">
        <f t="shared" si="27"/>
        <v>0.1</v>
      </c>
      <c r="AA73" s="391">
        <f t="shared" ca="1" si="16"/>
        <v>0</v>
      </c>
      <c r="AB73" s="400">
        <f t="shared" ca="1" si="16"/>
        <v>0</v>
      </c>
      <c r="AC73" s="258">
        <f t="shared" ca="1" si="16"/>
        <v>0</v>
      </c>
      <c r="AD73" s="258">
        <f t="shared" ca="1" si="16"/>
        <v>0</v>
      </c>
      <c r="AE73" s="402">
        <f t="shared" ca="1" si="16"/>
        <v>0</v>
      </c>
      <c r="AF73" s="402">
        <f t="shared" ca="1" si="16"/>
        <v>0</v>
      </c>
      <c r="AG73" s="404">
        <f t="shared" ca="1" si="17"/>
        <v>0</v>
      </c>
      <c r="AH73" s="415">
        <f t="shared" ca="1" si="18"/>
        <v>0</v>
      </c>
      <c r="AI73" s="415">
        <f t="shared" ca="1" si="19"/>
        <v>0</v>
      </c>
      <c r="AJ73" s="416">
        <f t="shared" ca="1" si="20"/>
        <v>0</v>
      </c>
      <c r="AK73" s="416">
        <f t="shared" ca="1" si="21"/>
        <v>0</v>
      </c>
      <c r="AL73" s="417">
        <v>0</v>
      </c>
      <c r="AM73" s="269">
        <f t="shared" ca="1" si="32"/>
        <v>0</v>
      </c>
      <c r="AN73" s="422">
        <f t="shared" ca="1" si="39"/>
        <v>18.380000000000003</v>
      </c>
      <c r="AO73" s="423">
        <f t="shared" ca="1" si="39"/>
        <v>25893685.458928723</v>
      </c>
      <c r="AP73" s="271">
        <f t="shared" ca="1" si="39"/>
        <v>0</v>
      </c>
      <c r="AQ73" s="271">
        <f t="shared" ca="1" si="39"/>
        <v>0.11849999999999999</v>
      </c>
      <c r="AR73" s="271">
        <f t="shared" ca="1" si="39"/>
        <v>0.11849999999999999</v>
      </c>
      <c r="AS73" s="271">
        <f t="shared" ca="1" si="39"/>
        <v>0.11849999999999999</v>
      </c>
      <c r="AT73" s="271">
        <f t="shared" ca="1" si="39"/>
        <v>0.02</v>
      </c>
      <c r="AU73" s="278">
        <f t="shared" ca="1" si="37"/>
        <v>0.1</v>
      </c>
    </row>
    <row r="74" spans="2:47" ht="13.15" thickBot="1" x14ac:dyDescent="0.4">
      <c r="B74" s="18">
        <f t="shared" si="31"/>
        <v>55</v>
      </c>
      <c r="C74" s="85">
        <f t="shared" ca="1" si="10"/>
        <v>0</v>
      </c>
      <c r="D74" s="85">
        <f t="shared" ca="1" si="2"/>
        <v>0</v>
      </c>
      <c r="E74" s="84">
        <f t="shared" ca="1" si="11"/>
        <v>0</v>
      </c>
      <c r="F74" s="135">
        <f t="shared" ca="1" si="25"/>
        <v>0</v>
      </c>
      <c r="G74" s="409">
        <f t="shared" ca="1" si="4"/>
        <v>0</v>
      </c>
      <c r="H74" s="409">
        <f t="shared" ca="1" si="5"/>
        <v>0</v>
      </c>
      <c r="I74" s="275">
        <f t="shared" ca="1" si="26"/>
        <v>0</v>
      </c>
      <c r="J74" s="275">
        <f t="shared" ca="1" si="12"/>
        <v>0</v>
      </c>
      <c r="K74" s="137">
        <f t="shared" ca="1" si="28"/>
        <v>0</v>
      </c>
      <c r="L74" s="15" t="str">
        <f t="shared" ca="1" si="38"/>
        <v>F</v>
      </c>
      <c r="M74" s="88">
        <f t="shared" ca="1" si="38"/>
        <v>0</v>
      </c>
      <c r="N74" s="88">
        <f t="shared" ca="1" si="38"/>
        <v>0</v>
      </c>
      <c r="O74" s="432">
        <v>1000000000000000</v>
      </c>
      <c r="P74" s="69">
        <v>109575</v>
      </c>
      <c r="Q74" s="3">
        <f t="shared" si="13"/>
        <v>64590</v>
      </c>
      <c r="R74" s="107">
        <f t="shared" ca="1" si="14"/>
        <v>18.29</v>
      </c>
      <c r="S74" s="105">
        <f t="shared" ca="1" si="15"/>
        <v>25727391.2880999</v>
      </c>
      <c r="T74" s="341">
        <v>0</v>
      </c>
      <c r="U74" s="341">
        <v>0.11849999999999999</v>
      </c>
      <c r="V74" s="341">
        <v>0.11849999999999999</v>
      </c>
      <c r="W74" s="341">
        <v>0.11849999999999999</v>
      </c>
      <c r="X74" s="281">
        <f t="shared" si="33"/>
        <v>0.02</v>
      </c>
      <c r="Y74" s="282">
        <f t="shared" si="27"/>
        <v>0.1</v>
      </c>
      <c r="AA74" s="391">
        <f t="shared" ca="1" si="16"/>
        <v>0</v>
      </c>
      <c r="AB74" s="400">
        <f t="shared" ca="1" si="16"/>
        <v>0</v>
      </c>
      <c r="AC74" s="258">
        <f t="shared" ca="1" si="16"/>
        <v>0</v>
      </c>
      <c r="AD74" s="258">
        <f t="shared" ca="1" si="16"/>
        <v>0</v>
      </c>
      <c r="AE74" s="402">
        <f t="shared" ca="1" si="16"/>
        <v>0</v>
      </c>
      <c r="AF74" s="402">
        <f t="shared" ca="1" si="16"/>
        <v>0</v>
      </c>
      <c r="AG74" s="404">
        <f t="shared" ca="1" si="17"/>
        <v>0</v>
      </c>
      <c r="AH74" s="415">
        <f t="shared" ca="1" si="18"/>
        <v>0</v>
      </c>
      <c r="AI74" s="415">
        <f t="shared" ca="1" si="19"/>
        <v>0</v>
      </c>
      <c r="AJ74" s="416">
        <f t="shared" ca="1" si="20"/>
        <v>0</v>
      </c>
      <c r="AK74" s="416">
        <f t="shared" ca="1" si="21"/>
        <v>0</v>
      </c>
      <c r="AL74" s="417">
        <v>0</v>
      </c>
      <c r="AM74" s="269">
        <f t="shared" ca="1" si="32"/>
        <v>0</v>
      </c>
      <c r="AN74" s="422">
        <f t="shared" ca="1" si="39"/>
        <v>18.380000000000003</v>
      </c>
      <c r="AO74" s="423">
        <f t="shared" ca="1" si="39"/>
        <v>25893685.458928723</v>
      </c>
      <c r="AP74" s="271">
        <f t="shared" ca="1" si="39"/>
        <v>0</v>
      </c>
      <c r="AQ74" s="271">
        <f t="shared" ca="1" si="39"/>
        <v>0.11849999999999999</v>
      </c>
      <c r="AR74" s="271">
        <f t="shared" ca="1" si="39"/>
        <v>0.11849999999999999</v>
      </c>
      <c r="AS74" s="271">
        <f t="shared" ca="1" si="39"/>
        <v>0.11849999999999999</v>
      </c>
      <c r="AT74" s="271">
        <f t="shared" ca="1" si="39"/>
        <v>0.02</v>
      </c>
      <c r="AU74" s="278">
        <f t="shared" ca="1" si="37"/>
        <v>0.1</v>
      </c>
    </row>
    <row r="75" spans="2:47" ht="13.15" thickBot="1" x14ac:dyDescent="0.4">
      <c r="B75" s="18">
        <f t="shared" si="31"/>
        <v>56</v>
      </c>
      <c r="C75" s="85">
        <f t="shared" ca="1" si="10"/>
        <v>0</v>
      </c>
      <c r="D75" s="85">
        <f t="shared" ca="1" si="2"/>
        <v>0</v>
      </c>
      <c r="E75" s="84">
        <f t="shared" ca="1" si="11"/>
        <v>0</v>
      </c>
      <c r="F75" s="135">
        <f t="shared" ca="1" si="25"/>
        <v>0</v>
      </c>
      <c r="G75" s="409">
        <f t="shared" ca="1" si="4"/>
        <v>0</v>
      </c>
      <c r="H75" s="409">
        <f t="shared" ca="1" si="5"/>
        <v>0</v>
      </c>
      <c r="I75" s="275">
        <f t="shared" ca="1" si="26"/>
        <v>0</v>
      </c>
      <c r="J75" s="275">
        <f t="shared" ca="1" si="12"/>
        <v>0</v>
      </c>
      <c r="K75" s="137">
        <f t="shared" ca="1" si="28"/>
        <v>0</v>
      </c>
      <c r="L75" s="15" t="str">
        <f t="shared" ca="1" si="38"/>
        <v>F</v>
      </c>
      <c r="M75" s="88">
        <f t="shared" ca="1" si="38"/>
        <v>0</v>
      </c>
      <c r="N75" s="88">
        <f t="shared" ca="1" si="38"/>
        <v>0</v>
      </c>
      <c r="O75" s="432">
        <v>1000000000000000</v>
      </c>
      <c r="P75" s="69">
        <v>109575</v>
      </c>
      <c r="Q75" s="3">
        <f t="shared" si="13"/>
        <v>64590</v>
      </c>
      <c r="R75" s="107">
        <f t="shared" ca="1" si="14"/>
        <v>18.29</v>
      </c>
      <c r="S75" s="105">
        <f t="shared" ca="1" si="15"/>
        <v>25727391.2880999</v>
      </c>
      <c r="T75" s="341">
        <v>0</v>
      </c>
      <c r="U75" s="341">
        <v>0.11849999999999999</v>
      </c>
      <c r="V75" s="341">
        <v>0.11849999999999999</v>
      </c>
      <c r="W75" s="341">
        <v>0.11849999999999999</v>
      </c>
      <c r="X75" s="281">
        <f t="shared" si="33"/>
        <v>0.02</v>
      </c>
      <c r="Y75" s="282">
        <f t="shared" si="27"/>
        <v>0.1</v>
      </c>
      <c r="AA75" s="391">
        <f t="shared" ca="1" si="16"/>
        <v>0</v>
      </c>
      <c r="AB75" s="400">
        <f t="shared" ca="1" si="16"/>
        <v>0</v>
      </c>
      <c r="AC75" s="258">
        <f t="shared" ca="1" si="16"/>
        <v>0</v>
      </c>
      <c r="AD75" s="258">
        <f t="shared" ca="1" si="16"/>
        <v>0</v>
      </c>
      <c r="AE75" s="402">
        <f t="shared" ca="1" si="16"/>
        <v>0</v>
      </c>
      <c r="AF75" s="402">
        <f t="shared" ca="1" si="16"/>
        <v>0</v>
      </c>
      <c r="AG75" s="404">
        <f t="shared" ca="1" si="17"/>
        <v>0</v>
      </c>
      <c r="AH75" s="415">
        <f t="shared" ca="1" si="18"/>
        <v>0</v>
      </c>
      <c r="AI75" s="415">
        <f t="shared" ca="1" si="19"/>
        <v>0</v>
      </c>
      <c r="AJ75" s="416">
        <f t="shared" ca="1" si="20"/>
        <v>0</v>
      </c>
      <c r="AK75" s="416">
        <f t="shared" ca="1" si="21"/>
        <v>0</v>
      </c>
      <c r="AL75" s="417">
        <v>0</v>
      </c>
      <c r="AM75" s="269">
        <f t="shared" ca="1" si="32"/>
        <v>0</v>
      </c>
      <c r="AN75" s="422">
        <f t="shared" ca="1" si="39"/>
        <v>18.380000000000003</v>
      </c>
      <c r="AO75" s="423">
        <f t="shared" ca="1" si="39"/>
        <v>25893685.458928723</v>
      </c>
      <c r="AP75" s="271">
        <f t="shared" ca="1" si="39"/>
        <v>0</v>
      </c>
      <c r="AQ75" s="271">
        <f t="shared" ca="1" si="39"/>
        <v>0.11849999999999999</v>
      </c>
      <c r="AR75" s="271">
        <f t="shared" ca="1" si="39"/>
        <v>0.11849999999999999</v>
      </c>
      <c r="AS75" s="271">
        <f t="shared" ca="1" si="39"/>
        <v>0.11849999999999999</v>
      </c>
      <c r="AT75" s="271">
        <f t="shared" ca="1" si="39"/>
        <v>0.02</v>
      </c>
      <c r="AU75" s="278">
        <f t="shared" ca="1" si="37"/>
        <v>0.1</v>
      </c>
    </row>
    <row r="76" spans="2:47" ht="13.15" thickBot="1" x14ac:dyDescent="0.4">
      <c r="B76" s="18">
        <f t="shared" si="31"/>
        <v>57</v>
      </c>
      <c r="C76" s="85">
        <f t="shared" ca="1" si="10"/>
        <v>0</v>
      </c>
      <c r="D76" s="85">
        <f t="shared" ca="1" si="2"/>
        <v>0</v>
      </c>
      <c r="E76" s="84">
        <f t="shared" ca="1" si="11"/>
        <v>0</v>
      </c>
      <c r="F76" s="135">
        <f t="shared" ca="1" si="25"/>
        <v>0</v>
      </c>
      <c r="G76" s="409">
        <f t="shared" ca="1" si="4"/>
        <v>0</v>
      </c>
      <c r="H76" s="409">
        <f t="shared" ca="1" si="5"/>
        <v>0</v>
      </c>
      <c r="I76" s="275">
        <f t="shared" ca="1" si="26"/>
        <v>0</v>
      </c>
      <c r="J76" s="275">
        <f t="shared" ca="1" si="12"/>
        <v>0</v>
      </c>
      <c r="K76" s="137">
        <f t="shared" ca="1" si="28"/>
        <v>0</v>
      </c>
      <c r="L76" s="15" t="str">
        <f t="shared" ca="1" si="38"/>
        <v>F</v>
      </c>
      <c r="M76" s="88">
        <f t="shared" ca="1" si="38"/>
        <v>0</v>
      </c>
      <c r="N76" s="88">
        <f t="shared" ca="1" si="38"/>
        <v>0</v>
      </c>
      <c r="O76" s="432">
        <v>1000000000000000</v>
      </c>
      <c r="P76" s="69">
        <v>109575</v>
      </c>
      <c r="Q76" s="3">
        <f t="shared" si="13"/>
        <v>64590</v>
      </c>
      <c r="R76" s="107">
        <f t="shared" ca="1" si="14"/>
        <v>18.29</v>
      </c>
      <c r="S76" s="105">
        <f t="shared" ca="1" si="15"/>
        <v>25727391.2880999</v>
      </c>
      <c r="T76" s="341">
        <v>0</v>
      </c>
      <c r="U76" s="341">
        <v>0.11849999999999999</v>
      </c>
      <c r="V76" s="341">
        <v>0.11849999999999999</v>
      </c>
      <c r="W76" s="341">
        <v>0.11849999999999999</v>
      </c>
      <c r="X76" s="281">
        <f t="shared" si="33"/>
        <v>0.02</v>
      </c>
      <c r="Y76" s="282">
        <f t="shared" si="27"/>
        <v>0.1</v>
      </c>
      <c r="AA76" s="391">
        <f t="shared" ca="1" si="16"/>
        <v>0</v>
      </c>
      <c r="AB76" s="400">
        <f t="shared" ca="1" si="16"/>
        <v>0</v>
      </c>
      <c r="AC76" s="258">
        <f t="shared" ca="1" si="16"/>
        <v>0</v>
      </c>
      <c r="AD76" s="258">
        <f t="shared" ca="1" si="16"/>
        <v>0</v>
      </c>
      <c r="AE76" s="402">
        <f t="shared" ca="1" si="16"/>
        <v>0</v>
      </c>
      <c r="AF76" s="402">
        <f t="shared" ca="1" si="16"/>
        <v>0</v>
      </c>
      <c r="AG76" s="404">
        <f t="shared" ca="1" si="17"/>
        <v>0</v>
      </c>
      <c r="AH76" s="415">
        <f t="shared" ca="1" si="18"/>
        <v>0</v>
      </c>
      <c r="AI76" s="415">
        <f t="shared" ca="1" si="19"/>
        <v>0</v>
      </c>
      <c r="AJ76" s="416">
        <f t="shared" ca="1" si="20"/>
        <v>0</v>
      </c>
      <c r="AK76" s="416">
        <f t="shared" ca="1" si="21"/>
        <v>0</v>
      </c>
      <c r="AL76" s="417">
        <v>0</v>
      </c>
      <c r="AM76" s="269">
        <f t="shared" ca="1" si="32"/>
        <v>0</v>
      </c>
      <c r="AN76" s="422">
        <f t="shared" ca="1" si="39"/>
        <v>18.380000000000003</v>
      </c>
      <c r="AO76" s="423">
        <f t="shared" ca="1" si="39"/>
        <v>25893685.458928723</v>
      </c>
      <c r="AP76" s="271">
        <f t="shared" ca="1" si="39"/>
        <v>0</v>
      </c>
      <c r="AQ76" s="271">
        <f t="shared" ca="1" si="39"/>
        <v>0.11849999999999999</v>
      </c>
      <c r="AR76" s="271">
        <f t="shared" ca="1" si="39"/>
        <v>0.11849999999999999</v>
      </c>
      <c r="AS76" s="271">
        <f t="shared" ca="1" si="39"/>
        <v>0.11849999999999999</v>
      </c>
      <c r="AT76" s="271">
        <f t="shared" ca="1" si="39"/>
        <v>0.02</v>
      </c>
      <c r="AU76" s="278">
        <f t="shared" ca="1" si="37"/>
        <v>0.1</v>
      </c>
    </row>
    <row r="77" spans="2:47" ht="13.15" thickBot="1" x14ac:dyDescent="0.4">
      <c r="B77" s="18">
        <f t="shared" si="31"/>
        <v>58</v>
      </c>
      <c r="C77" s="85">
        <f t="shared" ca="1" si="10"/>
        <v>0</v>
      </c>
      <c r="D77" s="85">
        <f t="shared" ca="1" si="2"/>
        <v>0</v>
      </c>
      <c r="E77" s="84">
        <f t="shared" ca="1" si="11"/>
        <v>0</v>
      </c>
      <c r="F77" s="135">
        <f t="shared" ca="1" si="25"/>
        <v>0</v>
      </c>
      <c r="G77" s="409">
        <f t="shared" ca="1" si="4"/>
        <v>0</v>
      </c>
      <c r="H77" s="409">
        <f t="shared" ca="1" si="5"/>
        <v>0</v>
      </c>
      <c r="I77" s="275">
        <f t="shared" ca="1" si="26"/>
        <v>0</v>
      </c>
      <c r="J77" s="275">
        <f t="shared" ca="1" si="12"/>
        <v>0</v>
      </c>
      <c r="K77" s="137">
        <f t="shared" ca="1" si="28"/>
        <v>0</v>
      </c>
      <c r="L77" s="15" t="str">
        <f t="shared" ca="1" si="38"/>
        <v>F</v>
      </c>
      <c r="M77" s="88">
        <f t="shared" ca="1" si="38"/>
        <v>0</v>
      </c>
      <c r="N77" s="88">
        <f t="shared" ca="1" si="38"/>
        <v>0</v>
      </c>
      <c r="O77" s="432">
        <v>1000000000000000</v>
      </c>
      <c r="P77" s="69">
        <v>109575</v>
      </c>
      <c r="Q77" s="3">
        <f t="shared" si="13"/>
        <v>64590</v>
      </c>
      <c r="R77" s="107">
        <f t="shared" ca="1" si="14"/>
        <v>18.29</v>
      </c>
      <c r="S77" s="105">
        <f t="shared" ca="1" si="15"/>
        <v>25727391.2880999</v>
      </c>
      <c r="T77" s="341">
        <v>0</v>
      </c>
      <c r="U77" s="341">
        <v>0.11849999999999999</v>
      </c>
      <c r="V77" s="341">
        <v>0.11849999999999999</v>
      </c>
      <c r="W77" s="341">
        <v>0.11849999999999999</v>
      </c>
      <c r="X77" s="281">
        <f t="shared" si="33"/>
        <v>0.02</v>
      </c>
      <c r="Y77" s="282">
        <f t="shared" si="27"/>
        <v>0.1</v>
      </c>
      <c r="AA77" s="391">
        <f t="shared" ca="1" si="16"/>
        <v>0</v>
      </c>
      <c r="AB77" s="400">
        <f t="shared" ca="1" si="16"/>
        <v>0</v>
      </c>
      <c r="AC77" s="258">
        <f t="shared" ca="1" si="16"/>
        <v>0</v>
      </c>
      <c r="AD77" s="258">
        <f t="shared" ca="1" si="16"/>
        <v>0</v>
      </c>
      <c r="AE77" s="402">
        <f t="shared" ca="1" si="16"/>
        <v>0</v>
      </c>
      <c r="AF77" s="402">
        <f t="shared" ca="1" si="16"/>
        <v>0</v>
      </c>
      <c r="AG77" s="404">
        <f t="shared" ca="1" si="17"/>
        <v>0</v>
      </c>
      <c r="AH77" s="415">
        <f t="shared" ca="1" si="18"/>
        <v>0</v>
      </c>
      <c r="AI77" s="415">
        <f t="shared" ca="1" si="19"/>
        <v>0</v>
      </c>
      <c r="AJ77" s="416">
        <f t="shared" ca="1" si="20"/>
        <v>0</v>
      </c>
      <c r="AK77" s="416">
        <f t="shared" ca="1" si="21"/>
        <v>0</v>
      </c>
      <c r="AL77" s="417">
        <v>0</v>
      </c>
      <c r="AM77" s="269">
        <f t="shared" ca="1" si="32"/>
        <v>0</v>
      </c>
      <c r="AN77" s="422">
        <f t="shared" ca="1" si="39"/>
        <v>18.380000000000003</v>
      </c>
      <c r="AO77" s="423">
        <f t="shared" ca="1" si="39"/>
        <v>25893685.458928723</v>
      </c>
      <c r="AP77" s="271">
        <f t="shared" ca="1" si="39"/>
        <v>0</v>
      </c>
      <c r="AQ77" s="271">
        <f t="shared" ca="1" si="39"/>
        <v>0.11849999999999999</v>
      </c>
      <c r="AR77" s="271">
        <f t="shared" ca="1" si="39"/>
        <v>0.11849999999999999</v>
      </c>
      <c r="AS77" s="271">
        <f t="shared" ca="1" si="39"/>
        <v>0.11849999999999999</v>
      </c>
      <c r="AT77" s="271">
        <f t="shared" ca="1" si="39"/>
        <v>0.02</v>
      </c>
      <c r="AU77" s="278">
        <f t="shared" ca="1" si="37"/>
        <v>0.1</v>
      </c>
    </row>
    <row r="78" spans="2:47" ht="13.15" thickBot="1" x14ac:dyDescent="0.4">
      <c r="B78" s="18">
        <f t="shared" si="31"/>
        <v>59</v>
      </c>
      <c r="C78" s="85">
        <f t="shared" ca="1" si="10"/>
        <v>0</v>
      </c>
      <c r="D78" s="85">
        <f t="shared" ca="1" si="2"/>
        <v>0</v>
      </c>
      <c r="E78" s="84">
        <f t="shared" ca="1" si="11"/>
        <v>0</v>
      </c>
      <c r="F78" s="135">
        <f t="shared" ca="1" si="25"/>
        <v>0</v>
      </c>
      <c r="G78" s="409">
        <f t="shared" ca="1" si="4"/>
        <v>0</v>
      </c>
      <c r="H78" s="409">
        <f t="shared" ca="1" si="5"/>
        <v>0</v>
      </c>
      <c r="I78" s="275">
        <f t="shared" ca="1" si="26"/>
        <v>0</v>
      </c>
      <c r="J78" s="275">
        <f t="shared" ca="1" si="12"/>
        <v>0</v>
      </c>
      <c r="K78" s="137">
        <f t="shared" ca="1" si="28"/>
        <v>0</v>
      </c>
      <c r="L78" s="15" t="str">
        <f t="shared" ca="1" si="38"/>
        <v>F</v>
      </c>
      <c r="M78" s="88">
        <f t="shared" ca="1" si="38"/>
        <v>0</v>
      </c>
      <c r="N78" s="88">
        <f t="shared" ca="1" si="38"/>
        <v>0</v>
      </c>
      <c r="O78" s="432">
        <v>1000000000000000</v>
      </c>
      <c r="P78" s="69">
        <v>109575</v>
      </c>
      <c r="Q78" s="3">
        <f t="shared" si="13"/>
        <v>64590</v>
      </c>
      <c r="R78" s="107">
        <f t="shared" ca="1" si="14"/>
        <v>18.29</v>
      </c>
      <c r="S78" s="105">
        <f t="shared" ca="1" si="15"/>
        <v>25727391.2880999</v>
      </c>
      <c r="T78" s="341">
        <v>0</v>
      </c>
      <c r="U78" s="341">
        <v>0.11849999999999999</v>
      </c>
      <c r="V78" s="341">
        <v>0.11849999999999999</v>
      </c>
      <c r="W78" s="341">
        <v>0.11849999999999999</v>
      </c>
      <c r="X78" s="281">
        <f t="shared" si="33"/>
        <v>0.02</v>
      </c>
      <c r="Y78" s="282">
        <f t="shared" si="27"/>
        <v>0.1</v>
      </c>
      <c r="AA78" s="391">
        <f t="shared" ca="1" si="16"/>
        <v>0</v>
      </c>
      <c r="AB78" s="400">
        <f t="shared" ca="1" si="16"/>
        <v>0</v>
      </c>
      <c r="AC78" s="258">
        <f t="shared" ca="1" si="16"/>
        <v>0</v>
      </c>
      <c r="AD78" s="258">
        <f t="shared" ca="1" si="16"/>
        <v>0</v>
      </c>
      <c r="AE78" s="402">
        <f t="shared" ca="1" si="16"/>
        <v>0</v>
      </c>
      <c r="AF78" s="402">
        <f t="shared" ca="1" si="16"/>
        <v>0</v>
      </c>
      <c r="AG78" s="404">
        <f t="shared" ca="1" si="17"/>
        <v>0</v>
      </c>
      <c r="AH78" s="415">
        <f t="shared" ca="1" si="18"/>
        <v>0</v>
      </c>
      <c r="AI78" s="415">
        <f t="shared" ca="1" si="19"/>
        <v>0</v>
      </c>
      <c r="AJ78" s="416">
        <f t="shared" ca="1" si="20"/>
        <v>0</v>
      </c>
      <c r="AK78" s="416">
        <f t="shared" ca="1" si="21"/>
        <v>0</v>
      </c>
      <c r="AL78" s="417">
        <v>0</v>
      </c>
      <c r="AM78" s="269">
        <f t="shared" ca="1" si="32"/>
        <v>0</v>
      </c>
      <c r="AN78" s="422">
        <f t="shared" ca="1" si="39"/>
        <v>18.380000000000003</v>
      </c>
      <c r="AO78" s="423">
        <f t="shared" ca="1" si="39"/>
        <v>25893685.458928723</v>
      </c>
      <c r="AP78" s="271">
        <f t="shared" ca="1" si="39"/>
        <v>0</v>
      </c>
      <c r="AQ78" s="271">
        <f t="shared" ca="1" si="39"/>
        <v>0.11849999999999999</v>
      </c>
      <c r="AR78" s="271">
        <f t="shared" ca="1" si="39"/>
        <v>0.11849999999999999</v>
      </c>
      <c r="AS78" s="271">
        <f t="shared" ca="1" si="39"/>
        <v>0.11849999999999999</v>
      </c>
      <c r="AT78" s="271">
        <f t="shared" ca="1" si="39"/>
        <v>0.02</v>
      </c>
      <c r="AU78" s="278">
        <f t="shared" ca="1" si="37"/>
        <v>0.1</v>
      </c>
    </row>
    <row r="79" spans="2:47" ht="13.15" thickBot="1" x14ac:dyDescent="0.4">
      <c r="B79" s="18">
        <f t="shared" si="31"/>
        <v>60</v>
      </c>
      <c r="C79" s="85">
        <f t="shared" ca="1" si="10"/>
        <v>0</v>
      </c>
      <c r="D79" s="85">
        <f t="shared" ca="1" si="2"/>
        <v>0</v>
      </c>
      <c r="E79" s="84">
        <f t="shared" ca="1" si="11"/>
        <v>0</v>
      </c>
      <c r="F79" s="135">
        <f t="shared" ca="1" si="25"/>
        <v>0</v>
      </c>
      <c r="G79" s="409">
        <f t="shared" ca="1" si="4"/>
        <v>0</v>
      </c>
      <c r="H79" s="409">
        <f t="shared" ca="1" si="5"/>
        <v>0</v>
      </c>
      <c r="I79" s="275">
        <f t="shared" ca="1" si="26"/>
        <v>0</v>
      </c>
      <c r="J79" s="275">
        <f t="shared" ca="1" si="12"/>
        <v>0</v>
      </c>
      <c r="K79" s="137">
        <f t="shared" ca="1" si="28"/>
        <v>0</v>
      </c>
      <c r="L79" s="15" t="str">
        <f t="shared" ca="1" si="38"/>
        <v>F</v>
      </c>
      <c r="M79" s="88">
        <f t="shared" ca="1" si="38"/>
        <v>0</v>
      </c>
      <c r="N79" s="88">
        <f t="shared" ca="1" si="38"/>
        <v>0</v>
      </c>
      <c r="O79" s="432">
        <v>1000000000000000</v>
      </c>
      <c r="P79" s="69">
        <v>109575</v>
      </c>
      <c r="Q79" s="3">
        <f t="shared" si="13"/>
        <v>64590</v>
      </c>
      <c r="R79" s="107">
        <f t="shared" ca="1" si="14"/>
        <v>18.29</v>
      </c>
      <c r="S79" s="105">
        <f t="shared" ca="1" si="15"/>
        <v>25727391.2880999</v>
      </c>
      <c r="T79" s="341">
        <v>0</v>
      </c>
      <c r="U79" s="341">
        <v>0.11849999999999999</v>
      </c>
      <c r="V79" s="341">
        <v>0.11849999999999999</v>
      </c>
      <c r="W79" s="341">
        <v>0.11849999999999999</v>
      </c>
      <c r="X79" s="281">
        <f t="shared" si="33"/>
        <v>0.02</v>
      </c>
      <c r="Y79" s="282">
        <f t="shared" si="27"/>
        <v>0.1</v>
      </c>
      <c r="AA79" s="391">
        <f t="shared" ca="1" si="16"/>
        <v>0</v>
      </c>
      <c r="AB79" s="400">
        <f t="shared" ca="1" si="16"/>
        <v>0</v>
      </c>
      <c r="AC79" s="258">
        <f t="shared" ca="1" si="16"/>
        <v>0</v>
      </c>
      <c r="AD79" s="258">
        <f t="shared" ca="1" si="16"/>
        <v>0</v>
      </c>
      <c r="AE79" s="402">
        <f t="shared" ca="1" si="16"/>
        <v>0</v>
      </c>
      <c r="AF79" s="402">
        <f t="shared" ca="1" si="16"/>
        <v>0</v>
      </c>
      <c r="AG79" s="404">
        <f t="shared" ca="1" si="17"/>
        <v>0</v>
      </c>
      <c r="AH79" s="415">
        <f t="shared" ca="1" si="18"/>
        <v>0</v>
      </c>
      <c r="AI79" s="415">
        <f t="shared" ca="1" si="19"/>
        <v>0</v>
      </c>
      <c r="AJ79" s="416">
        <f t="shared" ca="1" si="20"/>
        <v>0</v>
      </c>
      <c r="AK79" s="416">
        <f t="shared" ca="1" si="21"/>
        <v>0</v>
      </c>
      <c r="AL79" s="417">
        <v>0</v>
      </c>
      <c r="AM79" s="269">
        <f t="shared" ca="1" si="32"/>
        <v>0</v>
      </c>
      <c r="AN79" s="422">
        <f t="shared" ca="1" si="39"/>
        <v>18.380000000000003</v>
      </c>
      <c r="AO79" s="423">
        <f t="shared" ca="1" si="39"/>
        <v>25893685.458928723</v>
      </c>
      <c r="AP79" s="271">
        <f t="shared" ca="1" si="39"/>
        <v>0</v>
      </c>
      <c r="AQ79" s="271">
        <f t="shared" ca="1" si="39"/>
        <v>0.11849999999999999</v>
      </c>
      <c r="AR79" s="271">
        <f t="shared" ca="1" si="39"/>
        <v>0.11849999999999999</v>
      </c>
      <c r="AS79" s="271">
        <f t="shared" ca="1" si="39"/>
        <v>0.11849999999999999</v>
      </c>
      <c r="AT79" s="271">
        <f t="shared" ca="1" si="39"/>
        <v>0.02</v>
      </c>
      <c r="AU79" s="278">
        <f t="shared" ca="1" si="37"/>
        <v>0.1</v>
      </c>
    </row>
    <row r="80" spans="2:47" ht="13.15" thickBot="1" x14ac:dyDescent="0.4">
      <c r="B80" s="18">
        <f t="shared" si="31"/>
        <v>61</v>
      </c>
      <c r="C80" s="85">
        <f t="shared" ca="1" si="10"/>
        <v>0</v>
      </c>
      <c r="D80" s="85">
        <f t="shared" ca="1" si="2"/>
        <v>0</v>
      </c>
      <c r="E80" s="84">
        <f t="shared" ca="1" si="11"/>
        <v>0</v>
      </c>
      <c r="F80" s="135">
        <f t="shared" ca="1" si="25"/>
        <v>0</v>
      </c>
      <c r="G80" s="409">
        <f t="shared" ca="1" si="4"/>
        <v>0</v>
      </c>
      <c r="H80" s="409">
        <f t="shared" ca="1" si="5"/>
        <v>0</v>
      </c>
      <c r="I80" s="275">
        <f t="shared" ca="1" si="26"/>
        <v>0</v>
      </c>
      <c r="J80" s="275">
        <f t="shared" ca="1" si="12"/>
        <v>0</v>
      </c>
      <c r="K80" s="137">
        <f t="shared" ca="1" si="28"/>
        <v>0</v>
      </c>
      <c r="L80" s="15" t="str">
        <f t="shared" ca="1" si="38"/>
        <v>F</v>
      </c>
      <c r="M80" s="88">
        <f t="shared" ca="1" si="38"/>
        <v>0</v>
      </c>
      <c r="N80" s="88">
        <f t="shared" ca="1" si="38"/>
        <v>0</v>
      </c>
      <c r="O80" s="432">
        <v>1000000000000000</v>
      </c>
      <c r="P80" s="69">
        <v>109575</v>
      </c>
      <c r="Q80" s="3">
        <f t="shared" si="13"/>
        <v>64590</v>
      </c>
      <c r="R80" s="107">
        <f t="shared" ca="1" si="14"/>
        <v>18.29</v>
      </c>
      <c r="S80" s="105">
        <f t="shared" ca="1" si="15"/>
        <v>25727391.2880999</v>
      </c>
      <c r="T80" s="341">
        <v>0</v>
      </c>
      <c r="U80" s="341">
        <v>0.11849999999999999</v>
      </c>
      <c r="V80" s="341">
        <v>0.11849999999999999</v>
      </c>
      <c r="W80" s="341">
        <v>0.11849999999999999</v>
      </c>
      <c r="X80" s="281">
        <f t="shared" si="33"/>
        <v>0.02</v>
      </c>
      <c r="Y80" s="282">
        <f t="shared" si="27"/>
        <v>0.1</v>
      </c>
      <c r="AA80" s="391">
        <f t="shared" ca="1" si="16"/>
        <v>0</v>
      </c>
      <c r="AB80" s="400">
        <f t="shared" ca="1" si="16"/>
        <v>0</v>
      </c>
      <c r="AC80" s="258">
        <f t="shared" ca="1" si="16"/>
        <v>0</v>
      </c>
      <c r="AD80" s="258">
        <f t="shared" ca="1" si="16"/>
        <v>0</v>
      </c>
      <c r="AE80" s="402">
        <f t="shared" ca="1" si="16"/>
        <v>0</v>
      </c>
      <c r="AF80" s="402">
        <f t="shared" ca="1" si="16"/>
        <v>0</v>
      </c>
      <c r="AG80" s="404">
        <f t="shared" ca="1" si="17"/>
        <v>0</v>
      </c>
      <c r="AH80" s="415">
        <f t="shared" ca="1" si="18"/>
        <v>0</v>
      </c>
      <c r="AI80" s="415">
        <f t="shared" ca="1" si="19"/>
        <v>0</v>
      </c>
      <c r="AJ80" s="416">
        <f t="shared" ca="1" si="20"/>
        <v>0</v>
      </c>
      <c r="AK80" s="416">
        <f t="shared" ca="1" si="21"/>
        <v>0</v>
      </c>
      <c r="AL80" s="417">
        <v>0</v>
      </c>
      <c r="AM80" s="269">
        <f t="shared" ca="1" si="32"/>
        <v>0</v>
      </c>
      <c r="AN80" s="422">
        <f t="shared" ca="1" si="39"/>
        <v>18.380000000000003</v>
      </c>
      <c r="AO80" s="423">
        <f t="shared" ca="1" si="39"/>
        <v>25893685.458928723</v>
      </c>
      <c r="AP80" s="271">
        <f t="shared" ca="1" si="39"/>
        <v>0</v>
      </c>
      <c r="AQ80" s="271">
        <f t="shared" ca="1" si="39"/>
        <v>0.11849999999999999</v>
      </c>
      <c r="AR80" s="271">
        <f t="shared" ca="1" si="39"/>
        <v>0.11849999999999999</v>
      </c>
      <c r="AS80" s="271">
        <f t="shared" ca="1" si="39"/>
        <v>0.11849999999999999</v>
      </c>
      <c r="AT80" s="271">
        <f t="shared" ca="1" si="39"/>
        <v>0.02</v>
      </c>
      <c r="AU80" s="278">
        <f t="shared" ca="1" si="37"/>
        <v>0.1</v>
      </c>
    </row>
    <row r="81" spans="2:47" ht="13.15" thickBot="1" x14ac:dyDescent="0.4">
      <c r="B81" s="18">
        <f t="shared" si="31"/>
        <v>62</v>
      </c>
      <c r="C81" s="85">
        <f t="shared" ca="1" si="10"/>
        <v>0</v>
      </c>
      <c r="D81" s="85">
        <f t="shared" ca="1" si="2"/>
        <v>0</v>
      </c>
      <c r="E81" s="84">
        <f t="shared" ca="1" si="11"/>
        <v>0</v>
      </c>
      <c r="F81" s="135">
        <f t="shared" ca="1" si="25"/>
        <v>0</v>
      </c>
      <c r="G81" s="409">
        <f t="shared" ca="1" si="4"/>
        <v>0</v>
      </c>
      <c r="H81" s="409">
        <f t="shared" ca="1" si="5"/>
        <v>0</v>
      </c>
      <c r="I81" s="275">
        <f t="shared" ca="1" si="26"/>
        <v>0</v>
      </c>
      <c r="J81" s="275">
        <f t="shared" ca="1" si="12"/>
        <v>0</v>
      </c>
      <c r="K81" s="137">
        <f t="shared" ca="1" si="28"/>
        <v>0</v>
      </c>
      <c r="L81" s="15" t="str">
        <f t="shared" ca="1" si="38"/>
        <v>F</v>
      </c>
      <c r="M81" s="88">
        <f t="shared" ca="1" si="38"/>
        <v>0</v>
      </c>
      <c r="N81" s="88">
        <f t="shared" ca="1" si="38"/>
        <v>0</v>
      </c>
      <c r="O81" s="432">
        <v>1000000000000000</v>
      </c>
      <c r="P81" s="69">
        <v>109575</v>
      </c>
      <c r="Q81" s="3">
        <f t="shared" si="13"/>
        <v>64590</v>
      </c>
      <c r="R81" s="107">
        <f t="shared" ca="1" si="14"/>
        <v>18.29</v>
      </c>
      <c r="S81" s="105">
        <f t="shared" ca="1" si="15"/>
        <v>25727391.2880999</v>
      </c>
      <c r="T81" s="341">
        <v>0</v>
      </c>
      <c r="U81" s="341">
        <v>0.11849999999999999</v>
      </c>
      <c r="V81" s="341">
        <v>0.11849999999999999</v>
      </c>
      <c r="W81" s="341">
        <v>0.11849999999999999</v>
      </c>
      <c r="X81" s="281">
        <f t="shared" si="33"/>
        <v>0.02</v>
      </c>
      <c r="Y81" s="282">
        <f t="shared" si="27"/>
        <v>0.1</v>
      </c>
      <c r="AA81" s="391">
        <f t="shared" ca="1" si="16"/>
        <v>0</v>
      </c>
      <c r="AB81" s="400">
        <f t="shared" ca="1" si="16"/>
        <v>0</v>
      </c>
      <c r="AC81" s="258">
        <f t="shared" ca="1" si="16"/>
        <v>0</v>
      </c>
      <c r="AD81" s="258">
        <f t="shared" ca="1" si="16"/>
        <v>0</v>
      </c>
      <c r="AE81" s="402">
        <f t="shared" ca="1" si="16"/>
        <v>0</v>
      </c>
      <c r="AF81" s="402">
        <f t="shared" ca="1" si="16"/>
        <v>0</v>
      </c>
      <c r="AG81" s="404">
        <f t="shared" ca="1" si="17"/>
        <v>0</v>
      </c>
      <c r="AH81" s="415">
        <f t="shared" ca="1" si="18"/>
        <v>0</v>
      </c>
      <c r="AI81" s="415">
        <f t="shared" ca="1" si="19"/>
        <v>0</v>
      </c>
      <c r="AJ81" s="416">
        <f t="shared" ca="1" si="20"/>
        <v>0</v>
      </c>
      <c r="AK81" s="416">
        <f t="shared" ca="1" si="21"/>
        <v>0</v>
      </c>
      <c r="AL81" s="417">
        <v>0</v>
      </c>
      <c r="AM81" s="269">
        <f t="shared" ca="1" si="32"/>
        <v>0</v>
      </c>
      <c r="AN81" s="422">
        <f t="shared" ca="1" si="39"/>
        <v>18.380000000000003</v>
      </c>
      <c r="AO81" s="423">
        <f t="shared" ca="1" si="39"/>
        <v>25893685.458928723</v>
      </c>
      <c r="AP81" s="271">
        <f t="shared" ca="1" si="39"/>
        <v>0</v>
      </c>
      <c r="AQ81" s="271">
        <f t="shared" ca="1" si="39"/>
        <v>0.11849999999999999</v>
      </c>
      <c r="AR81" s="271">
        <f t="shared" ca="1" si="39"/>
        <v>0.11849999999999999</v>
      </c>
      <c r="AS81" s="271">
        <f t="shared" ca="1" si="39"/>
        <v>0.11849999999999999</v>
      </c>
      <c r="AT81" s="271">
        <f t="shared" ca="1" si="39"/>
        <v>0.02</v>
      </c>
      <c r="AU81" s="278">
        <f t="shared" ca="1" si="37"/>
        <v>0.1</v>
      </c>
    </row>
    <row r="82" spans="2:47" ht="13.15" thickBot="1" x14ac:dyDescent="0.4">
      <c r="B82" s="18">
        <f t="shared" si="31"/>
        <v>63</v>
      </c>
      <c r="C82" s="85">
        <f t="shared" ca="1" si="10"/>
        <v>0</v>
      </c>
      <c r="D82" s="85">
        <f t="shared" ca="1" si="2"/>
        <v>0</v>
      </c>
      <c r="E82" s="84">
        <f t="shared" ca="1" si="11"/>
        <v>0</v>
      </c>
      <c r="F82" s="135">
        <f t="shared" ca="1" si="25"/>
        <v>0</v>
      </c>
      <c r="G82" s="409">
        <f t="shared" ca="1" si="4"/>
        <v>0</v>
      </c>
      <c r="H82" s="409">
        <f t="shared" ca="1" si="5"/>
        <v>0</v>
      </c>
      <c r="I82" s="275">
        <f t="shared" ca="1" si="26"/>
        <v>0</v>
      </c>
      <c r="J82" s="275">
        <f t="shared" ca="1" si="12"/>
        <v>0</v>
      </c>
      <c r="K82" s="137">
        <f t="shared" ca="1" si="28"/>
        <v>0</v>
      </c>
      <c r="L82" s="15" t="str">
        <f t="shared" ca="1" si="38"/>
        <v>F</v>
      </c>
      <c r="M82" s="88">
        <f t="shared" ca="1" si="38"/>
        <v>0</v>
      </c>
      <c r="N82" s="88">
        <f t="shared" ca="1" si="38"/>
        <v>0</v>
      </c>
      <c r="O82" s="432">
        <v>1000000000000000</v>
      </c>
      <c r="P82" s="69">
        <v>109575</v>
      </c>
      <c r="Q82" s="3">
        <f t="shared" si="13"/>
        <v>64590</v>
      </c>
      <c r="R82" s="107">
        <f t="shared" ca="1" si="14"/>
        <v>18.29</v>
      </c>
      <c r="S82" s="105">
        <f t="shared" ca="1" si="15"/>
        <v>25727391.2880999</v>
      </c>
      <c r="T82" s="341">
        <v>0</v>
      </c>
      <c r="U82" s="341">
        <v>0.11849999999999999</v>
      </c>
      <c r="V82" s="341">
        <v>0.11849999999999999</v>
      </c>
      <c r="W82" s="341">
        <v>0.11849999999999999</v>
      </c>
      <c r="X82" s="281">
        <f t="shared" si="33"/>
        <v>0.02</v>
      </c>
      <c r="Y82" s="282">
        <f t="shared" si="27"/>
        <v>0.1</v>
      </c>
      <c r="AA82" s="391">
        <f t="shared" ca="1" si="16"/>
        <v>0</v>
      </c>
      <c r="AB82" s="400">
        <f t="shared" ca="1" si="16"/>
        <v>0</v>
      </c>
      <c r="AC82" s="258">
        <f t="shared" ca="1" si="16"/>
        <v>0</v>
      </c>
      <c r="AD82" s="258">
        <f t="shared" ca="1" si="16"/>
        <v>0</v>
      </c>
      <c r="AE82" s="402">
        <f t="shared" ca="1" si="16"/>
        <v>0</v>
      </c>
      <c r="AF82" s="402">
        <f t="shared" ca="1" si="16"/>
        <v>0</v>
      </c>
      <c r="AG82" s="404">
        <f t="shared" ca="1" si="17"/>
        <v>0</v>
      </c>
      <c r="AH82" s="415">
        <f t="shared" ca="1" si="18"/>
        <v>0</v>
      </c>
      <c r="AI82" s="415">
        <f t="shared" ca="1" si="19"/>
        <v>0</v>
      </c>
      <c r="AJ82" s="416">
        <f t="shared" ca="1" si="20"/>
        <v>0</v>
      </c>
      <c r="AK82" s="416">
        <f t="shared" ca="1" si="21"/>
        <v>0</v>
      </c>
      <c r="AL82" s="417">
        <v>0</v>
      </c>
      <c r="AM82" s="269">
        <f t="shared" ca="1" si="32"/>
        <v>0</v>
      </c>
      <c r="AN82" s="422">
        <f t="shared" ca="1" si="39"/>
        <v>18.380000000000003</v>
      </c>
      <c r="AO82" s="423">
        <f t="shared" ca="1" si="39"/>
        <v>25893685.458928723</v>
      </c>
      <c r="AP82" s="271">
        <f t="shared" ca="1" si="39"/>
        <v>0</v>
      </c>
      <c r="AQ82" s="271">
        <f t="shared" ca="1" si="39"/>
        <v>0.11849999999999999</v>
      </c>
      <c r="AR82" s="271">
        <f t="shared" ca="1" si="39"/>
        <v>0.11849999999999999</v>
      </c>
      <c r="AS82" s="271">
        <f t="shared" ca="1" si="39"/>
        <v>0.11849999999999999</v>
      </c>
      <c r="AT82" s="271">
        <f t="shared" ca="1" si="39"/>
        <v>0.02</v>
      </c>
      <c r="AU82" s="278">
        <f t="shared" ca="1" si="37"/>
        <v>0.1</v>
      </c>
    </row>
    <row r="83" spans="2:47" ht="13.15" thickBot="1" x14ac:dyDescent="0.4">
      <c r="B83" s="18">
        <f t="shared" si="31"/>
        <v>64</v>
      </c>
      <c r="C83" s="85">
        <f t="shared" ca="1" si="10"/>
        <v>0</v>
      </c>
      <c r="D83" s="85">
        <f t="shared" ca="1" si="2"/>
        <v>0</v>
      </c>
      <c r="E83" s="84">
        <f t="shared" ca="1" si="11"/>
        <v>0</v>
      </c>
      <c r="F83" s="135">
        <f t="shared" ca="1" si="25"/>
        <v>0</v>
      </c>
      <c r="G83" s="409">
        <f t="shared" ca="1" si="4"/>
        <v>0</v>
      </c>
      <c r="H83" s="409">
        <f t="shared" ca="1" si="5"/>
        <v>0</v>
      </c>
      <c r="I83" s="275">
        <f t="shared" ca="1" si="26"/>
        <v>0</v>
      </c>
      <c r="J83" s="275">
        <f t="shared" ca="1" si="12"/>
        <v>0</v>
      </c>
      <c r="K83" s="137">
        <f t="shared" ca="1" si="28"/>
        <v>0</v>
      </c>
      <c r="L83" s="15" t="str">
        <f t="shared" ca="1" si="38"/>
        <v>F</v>
      </c>
      <c r="M83" s="88">
        <f t="shared" ca="1" si="38"/>
        <v>0</v>
      </c>
      <c r="N83" s="88">
        <f t="shared" ca="1" si="38"/>
        <v>0</v>
      </c>
      <c r="O83" s="432">
        <v>1000000000000000</v>
      </c>
      <c r="P83" s="69">
        <v>109575</v>
      </c>
      <c r="Q83" s="3">
        <f t="shared" si="13"/>
        <v>64590</v>
      </c>
      <c r="R83" s="107">
        <f t="shared" ca="1" si="14"/>
        <v>18.29</v>
      </c>
      <c r="S83" s="105">
        <f t="shared" ca="1" si="15"/>
        <v>25727391.2880999</v>
      </c>
      <c r="T83" s="341">
        <v>0</v>
      </c>
      <c r="U83" s="341">
        <v>0.11849999999999999</v>
      </c>
      <c r="V83" s="341">
        <v>0.11849999999999999</v>
      </c>
      <c r="W83" s="341">
        <v>0.11849999999999999</v>
      </c>
      <c r="X83" s="281">
        <f t="shared" si="33"/>
        <v>0.02</v>
      </c>
      <c r="Y83" s="282">
        <f t="shared" si="27"/>
        <v>0.1</v>
      </c>
      <c r="AA83" s="391">
        <f t="shared" ca="1" si="16"/>
        <v>0</v>
      </c>
      <c r="AB83" s="400">
        <f t="shared" ca="1" si="16"/>
        <v>0</v>
      </c>
      <c r="AC83" s="258">
        <f t="shared" ca="1" si="16"/>
        <v>0</v>
      </c>
      <c r="AD83" s="258">
        <f t="shared" ca="1" si="16"/>
        <v>0</v>
      </c>
      <c r="AE83" s="402">
        <f t="shared" ca="1" si="16"/>
        <v>0</v>
      </c>
      <c r="AF83" s="402">
        <f t="shared" ca="1" si="16"/>
        <v>0</v>
      </c>
      <c r="AG83" s="404">
        <f t="shared" ca="1" si="17"/>
        <v>0</v>
      </c>
      <c r="AH83" s="415">
        <f t="shared" ca="1" si="18"/>
        <v>0</v>
      </c>
      <c r="AI83" s="415">
        <f t="shared" ca="1" si="19"/>
        <v>0</v>
      </c>
      <c r="AJ83" s="416">
        <f t="shared" ca="1" si="20"/>
        <v>0</v>
      </c>
      <c r="AK83" s="416">
        <f t="shared" ca="1" si="21"/>
        <v>0</v>
      </c>
      <c r="AL83" s="417">
        <v>0</v>
      </c>
      <c r="AM83" s="269">
        <f t="shared" ca="1" si="32"/>
        <v>0</v>
      </c>
      <c r="AN83" s="422">
        <f t="shared" ca="1" si="39"/>
        <v>18.380000000000003</v>
      </c>
      <c r="AO83" s="423">
        <f t="shared" ca="1" si="39"/>
        <v>25893685.458928723</v>
      </c>
      <c r="AP83" s="271">
        <f t="shared" ca="1" si="39"/>
        <v>0</v>
      </c>
      <c r="AQ83" s="271">
        <f t="shared" ca="1" si="39"/>
        <v>0.11849999999999999</v>
      </c>
      <c r="AR83" s="271">
        <f t="shared" ca="1" si="39"/>
        <v>0.11849999999999999</v>
      </c>
      <c r="AS83" s="271">
        <f t="shared" ca="1" si="39"/>
        <v>0.11849999999999999</v>
      </c>
      <c r="AT83" s="271">
        <f t="shared" ca="1" si="39"/>
        <v>0.02</v>
      </c>
      <c r="AU83" s="278">
        <f t="shared" ca="1" si="37"/>
        <v>0.1</v>
      </c>
    </row>
    <row r="84" spans="2:47" ht="13.15" thickBot="1" x14ac:dyDescent="0.4">
      <c r="B84" s="18">
        <f t="shared" si="31"/>
        <v>65</v>
      </c>
      <c r="C84" s="85">
        <f t="shared" ca="1" si="10"/>
        <v>0</v>
      </c>
      <c r="D84" s="85">
        <f t="shared" ref="D84:D110" ca="1" si="40">E84-AA84</f>
        <v>0</v>
      </c>
      <c r="E84" s="84">
        <f t="shared" ca="1" si="11"/>
        <v>0</v>
      </c>
      <c r="F84" s="135">
        <f t="shared" ca="1" si="25"/>
        <v>0</v>
      </c>
      <c r="G84" s="409">
        <f t="shared" ref="G84:G110" ca="1" si="41">BSGamma(L84,1/S84,1/O84,Q84,X84,Y84,T84)*N84</f>
        <v>0</v>
      </c>
      <c r="H84" s="409">
        <f t="shared" ref="H84:H110" ca="1" si="42">BSVega(L84,1/S84,1/O84,Q84,X84,Y84,T84)*N84*1000000</f>
        <v>0</v>
      </c>
      <c r="I84" s="275">
        <f t="shared" ca="1" si="26"/>
        <v>0</v>
      </c>
      <c r="J84" s="275">
        <f t="shared" ca="1" si="12"/>
        <v>0</v>
      </c>
      <c r="K84" s="137">
        <f t="shared" ca="1" si="28"/>
        <v>0</v>
      </c>
      <c r="L84" s="15" t="str">
        <f t="shared" ca="1" si="38"/>
        <v>F</v>
      </c>
      <c r="M84" s="88">
        <f t="shared" ca="1" si="38"/>
        <v>0</v>
      </c>
      <c r="N84" s="88">
        <f t="shared" ca="1" si="38"/>
        <v>0</v>
      </c>
      <c r="O84" s="432">
        <v>1000000000000000</v>
      </c>
      <c r="P84" s="69">
        <v>109575</v>
      </c>
      <c r="Q84" s="3">
        <f t="shared" si="13"/>
        <v>64590</v>
      </c>
      <c r="R84" s="107">
        <f t="shared" ca="1" si="14"/>
        <v>18.29</v>
      </c>
      <c r="S84" s="105">
        <f t="shared" ca="1" si="15"/>
        <v>25727391.2880999</v>
      </c>
      <c r="T84" s="341">
        <v>0</v>
      </c>
      <c r="U84" s="341">
        <v>0.11849999999999999</v>
      </c>
      <c r="V84" s="341">
        <v>0.11849999999999999</v>
      </c>
      <c r="W84" s="341">
        <v>0.11849999999999999</v>
      </c>
      <c r="X84" s="281">
        <f t="shared" si="33"/>
        <v>0.02</v>
      </c>
      <c r="Y84" s="282">
        <f t="shared" si="27"/>
        <v>0.1</v>
      </c>
      <c r="AA84" s="391">
        <f t="shared" ca="1" si="16"/>
        <v>0</v>
      </c>
      <c r="AB84" s="400">
        <f t="shared" ca="1" si="16"/>
        <v>0</v>
      </c>
      <c r="AC84" s="258">
        <f t="shared" ca="1" si="16"/>
        <v>0</v>
      </c>
      <c r="AD84" s="258">
        <f t="shared" ca="1" si="16"/>
        <v>0</v>
      </c>
      <c r="AE84" s="402">
        <f t="shared" ca="1" si="16"/>
        <v>0</v>
      </c>
      <c r="AF84" s="402">
        <f t="shared" ca="1" si="16"/>
        <v>0</v>
      </c>
      <c r="AG84" s="404">
        <f t="shared" ca="1" si="17"/>
        <v>0</v>
      </c>
      <c r="AH84" s="415">
        <f t="shared" ca="1" si="18"/>
        <v>0</v>
      </c>
      <c r="AI84" s="415">
        <f t="shared" ca="1" si="19"/>
        <v>0</v>
      </c>
      <c r="AJ84" s="416">
        <f t="shared" ca="1" si="20"/>
        <v>0</v>
      </c>
      <c r="AK84" s="416">
        <f t="shared" ca="1" si="21"/>
        <v>0</v>
      </c>
      <c r="AL84" s="417">
        <v>0</v>
      </c>
      <c r="AM84" s="269">
        <f t="shared" ca="1" si="32"/>
        <v>0</v>
      </c>
      <c r="AN84" s="422">
        <f t="shared" ca="1" si="39"/>
        <v>18.380000000000003</v>
      </c>
      <c r="AO84" s="423">
        <f t="shared" ca="1" si="39"/>
        <v>25893685.458928723</v>
      </c>
      <c r="AP84" s="271">
        <f t="shared" ca="1" si="39"/>
        <v>0</v>
      </c>
      <c r="AQ84" s="271">
        <f t="shared" ca="1" si="39"/>
        <v>0.11849999999999999</v>
      </c>
      <c r="AR84" s="271">
        <f t="shared" ca="1" si="39"/>
        <v>0.11849999999999999</v>
      </c>
      <c r="AS84" s="271">
        <f t="shared" ca="1" si="39"/>
        <v>0.11849999999999999</v>
      </c>
      <c r="AT84" s="271">
        <f t="shared" ca="1" si="39"/>
        <v>0.02</v>
      </c>
      <c r="AU84" s="278">
        <f t="shared" ca="1" si="37"/>
        <v>0.1</v>
      </c>
    </row>
    <row r="85" spans="2:47" ht="13.15" thickBot="1" x14ac:dyDescent="0.4">
      <c r="B85" s="18">
        <f t="shared" si="31"/>
        <v>66</v>
      </c>
      <c r="C85" s="85">
        <f t="shared" ref="C85:C110" ca="1" si="43">AM85</f>
        <v>0</v>
      </c>
      <c r="D85" s="85">
        <f t="shared" ca="1" si="40"/>
        <v>0</v>
      </c>
      <c r="E85" s="84">
        <f t="shared" ref="E85:E110" ca="1" si="44">N85*BSPrice(L85,1/S85,1/O85,Q85,X85,Y85,T85)*1000000</f>
        <v>0</v>
      </c>
      <c r="F85" s="135">
        <f t="shared" ca="1" si="25"/>
        <v>0</v>
      </c>
      <c r="G85" s="409">
        <f t="shared" ca="1" si="41"/>
        <v>0</v>
      </c>
      <c r="H85" s="409">
        <f t="shared" ca="1" si="42"/>
        <v>0</v>
      </c>
      <c r="I85" s="275">
        <f t="shared" ca="1" si="26"/>
        <v>0</v>
      </c>
      <c r="J85" s="275">
        <f t="shared" ref="J85:J110" ca="1" si="45">N85*BSDailyRhoExt(L85,1/S85,1/O85,Q85,X85,Y85,T85)*1000000</f>
        <v>0</v>
      </c>
      <c r="K85" s="137">
        <f t="shared" ca="1" si="28"/>
        <v>0</v>
      </c>
      <c r="L85" s="15" t="str">
        <f t="shared" ca="1" si="38"/>
        <v>F</v>
      </c>
      <c r="M85" s="88">
        <f t="shared" ca="1" si="38"/>
        <v>0</v>
      </c>
      <c r="N85" s="88">
        <f t="shared" ca="1" si="38"/>
        <v>0</v>
      </c>
      <c r="O85" s="432">
        <v>1000000000000000</v>
      </c>
      <c r="P85" s="69">
        <v>109575</v>
      </c>
      <c r="Q85" s="3">
        <f t="shared" ref="Q85:Q110" si="46">(P85-$H$2)</f>
        <v>64590</v>
      </c>
      <c r="R85" s="107">
        <f t="shared" ref="R85:R110" ca="1" si="47">IF(L85="D",1,$I$6)</f>
        <v>18.29</v>
      </c>
      <c r="S85" s="105">
        <f t="shared" ref="S85:S110" ca="1" si="48">IF(L85="D",1,R85*EXP(-($I$10-$I$11)*Q85/365))</f>
        <v>25727391.2880999</v>
      </c>
      <c r="T85" s="341">
        <v>0</v>
      </c>
      <c r="U85" s="341">
        <v>0.11849999999999999</v>
      </c>
      <c r="V85" s="341">
        <v>0.11849999999999999</v>
      </c>
      <c r="W85" s="341">
        <v>0.11849999999999999</v>
      </c>
      <c r="X85" s="281">
        <f t="shared" si="33"/>
        <v>0.02</v>
      </c>
      <c r="Y85" s="282">
        <f t="shared" si="27"/>
        <v>0.1</v>
      </c>
      <c r="AA85" s="391">
        <f t="shared" ref="AA85:AF110" ca="1" si="49">INDIRECT("'"&amp; $AB$16 &amp;"'!"&amp; ADDRESS(ROW(E85),COLUMN(E85),4))</f>
        <v>0</v>
      </c>
      <c r="AB85" s="400">
        <f t="shared" ca="1" si="49"/>
        <v>0</v>
      </c>
      <c r="AC85" s="258">
        <f t="shared" ca="1" si="49"/>
        <v>0</v>
      </c>
      <c r="AD85" s="258">
        <f t="shared" ca="1" si="49"/>
        <v>0</v>
      </c>
      <c r="AE85" s="402">
        <f t="shared" ca="1" si="49"/>
        <v>0</v>
      </c>
      <c r="AF85" s="402">
        <f t="shared" ca="1" si="49"/>
        <v>0</v>
      </c>
      <c r="AG85" s="404">
        <f t="shared" ref="AG85:AG110" ca="1" si="50">AB85*((1/R85)-(1/AN85))*1000000</f>
        <v>0</v>
      </c>
      <c r="AH85" s="415">
        <f t="shared" ref="AH85:AH110" ca="1" si="51">0.5*AC85*((1/R85)-(1/AN85))^2*1000000</f>
        <v>0</v>
      </c>
      <c r="AI85" s="415">
        <f t="shared" ref="AI85:AI110" ca="1" si="52">AD85*(T85-AP85)</f>
        <v>0</v>
      </c>
      <c r="AJ85" s="416">
        <f t="shared" ref="AJ85:AJ110" ca="1" si="53">(AE85*(X85-AT85))/0.01%</f>
        <v>0</v>
      </c>
      <c r="AK85" s="416">
        <f t="shared" ref="AK85:AK110" ca="1" si="54">(AF85*(Y85-AU85))/0.01%</f>
        <v>0</v>
      </c>
      <c r="AL85" s="417">
        <v>0</v>
      </c>
      <c r="AM85" s="269">
        <f t="shared" ca="1" si="32"/>
        <v>0</v>
      </c>
      <c r="AN85" s="422">
        <f t="shared" ca="1" si="39"/>
        <v>18.380000000000003</v>
      </c>
      <c r="AO85" s="423">
        <f t="shared" ca="1" si="39"/>
        <v>25893685.458928723</v>
      </c>
      <c r="AP85" s="271">
        <f t="shared" ca="1" si="39"/>
        <v>0</v>
      </c>
      <c r="AQ85" s="271">
        <f t="shared" ca="1" si="39"/>
        <v>0.11849999999999999</v>
      </c>
      <c r="AR85" s="271">
        <f t="shared" ca="1" si="39"/>
        <v>0.11849999999999999</v>
      </c>
      <c r="AS85" s="271">
        <f t="shared" ca="1" si="39"/>
        <v>0.11849999999999999</v>
      </c>
      <c r="AT85" s="271">
        <f t="shared" ca="1" si="39"/>
        <v>0.02</v>
      </c>
      <c r="AU85" s="278">
        <f t="shared" ca="1" si="37"/>
        <v>0.1</v>
      </c>
    </row>
    <row r="86" spans="2:47" ht="13.15" thickBot="1" x14ac:dyDescent="0.4">
      <c r="B86" s="18">
        <f t="shared" si="31"/>
        <v>67</v>
      </c>
      <c r="C86" s="85">
        <f t="shared" ca="1" si="43"/>
        <v>0</v>
      </c>
      <c r="D86" s="85">
        <f t="shared" ca="1" si="40"/>
        <v>0</v>
      </c>
      <c r="E86" s="84">
        <f t="shared" ca="1" si="44"/>
        <v>0</v>
      </c>
      <c r="F86" s="135">
        <f t="shared" ref="F86:F110" ca="1" si="55">N86*BSDelta(L86,1/S86,1/O86,Q86,X86,Y86,T86)</f>
        <v>0</v>
      </c>
      <c r="G86" s="409">
        <f t="shared" ca="1" si="41"/>
        <v>0</v>
      </c>
      <c r="H86" s="409">
        <f t="shared" ca="1" si="42"/>
        <v>0</v>
      </c>
      <c r="I86" s="275">
        <f t="shared" ref="I86:I110" ca="1" si="56">N86*BSDailyRhoUSD(L86,1/S86,1/O86,Q86,X86,Y86,T86)*1000000</f>
        <v>0</v>
      </c>
      <c r="J86" s="275">
        <f t="shared" ca="1" si="45"/>
        <v>0</v>
      </c>
      <c r="K86" s="137">
        <f t="shared" ca="1" si="28"/>
        <v>0</v>
      </c>
      <c r="L86" s="15" t="str">
        <f t="shared" ca="1" si="38"/>
        <v>F</v>
      </c>
      <c r="M86" s="88">
        <f t="shared" ca="1" si="38"/>
        <v>0</v>
      </c>
      <c r="N86" s="88">
        <f t="shared" ca="1" si="38"/>
        <v>0</v>
      </c>
      <c r="O86" s="432">
        <v>1000000000000000</v>
      </c>
      <c r="P86" s="69">
        <v>109575</v>
      </c>
      <c r="Q86" s="3">
        <f t="shared" si="46"/>
        <v>64590</v>
      </c>
      <c r="R86" s="107">
        <f t="shared" ca="1" si="47"/>
        <v>18.29</v>
      </c>
      <c r="S86" s="105">
        <f t="shared" ca="1" si="48"/>
        <v>25727391.2880999</v>
      </c>
      <c r="T86" s="341">
        <v>0</v>
      </c>
      <c r="U86" s="341">
        <v>0.11849999999999999</v>
      </c>
      <c r="V86" s="341">
        <v>0.11849999999999999</v>
      </c>
      <c r="W86" s="341">
        <v>0.11849999999999999</v>
      </c>
      <c r="X86" s="281">
        <f t="shared" si="33"/>
        <v>0.02</v>
      </c>
      <c r="Y86" s="282">
        <f t="shared" ref="Y86:Y110" si="57">Y85</f>
        <v>0.1</v>
      </c>
      <c r="AA86" s="391">
        <f t="shared" ca="1" si="49"/>
        <v>0</v>
      </c>
      <c r="AB86" s="400">
        <f t="shared" ca="1" si="49"/>
        <v>0</v>
      </c>
      <c r="AC86" s="258">
        <f t="shared" ca="1" si="49"/>
        <v>0</v>
      </c>
      <c r="AD86" s="258">
        <f t="shared" ca="1" si="49"/>
        <v>0</v>
      </c>
      <c r="AE86" s="402">
        <f t="shared" ca="1" si="49"/>
        <v>0</v>
      </c>
      <c r="AF86" s="402">
        <f t="shared" ca="1" si="49"/>
        <v>0</v>
      </c>
      <c r="AG86" s="404">
        <f t="shared" ca="1" si="50"/>
        <v>0</v>
      </c>
      <c r="AH86" s="415">
        <f t="shared" ca="1" si="51"/>
        <v>0</v>
      </c>
      <c r="AI86" s="415">
        <f t="shared" ca="1" si="52"/>
        <v>0</v>
      </c>
      <c r="AJ86" s="416">
        <f t="shared" ca="1" si="53"/>
        <v>0</v>
      </c>
      <c r="AK86" s="416">
        <f t="shared" ca="1" si="54"/>
        <v>0</v>
      </c>
      <c r="AL86" s="417">
        <v>0</v>
      </c>
      <c r="AM86" s="269">
        <f t="shared" ca="1" si="32"/>
        <v>0</v>
      </c>
      <c r="AN86" s="422">
        <f t="shared" ca="1" si="39"/>
        <v>18.380000000000003</v>
      </c>
      <c r="AO86" s="423">
        <f t="shared" ca="1" si="39"/>
        <v>25893685.458928723</v>
      </c>
      <c r="AP86" s="271">
        <f t="shared" ca="1" si="39"/>
        <v>0</v>
      </c>
      <c r="AQ86" s="271">
        <f t="shared" ca="1" si="39"/>
        <v>0.11849999999999999</v>
      </c>
      <c r="AR86" s="271">
        <f t="shared" ca="1" si="39"/>
        <v>0.11849999999999999</v>
      </c>
      <c r="AS86" s="271">
        <f t="shared" ca="1" si="39"/>
        <v>0.11849999999999999</v>
      </c>
      <c r="AT86" s="271">
        <f t="shared" ca="1" si="39"/>
        <v>0.02</v>
      </c>
      <c r="AU86" s="278">
        <f t="shared" ca="1" si="37"/>
        <v>0.1</v>
      </c>
    </row>
    <row r="87" spans="2:47" ht="13.15" thickBot="1" x14ac:dyDescent="0.4">
      <c r="B87" s="18">
        <f t="shared" si="31"/>
        <v>68</v>
      </c>
      <c r="C87" s="85">
        <f t="shared" ca="1" si="43"/>
        <v>0</v>
      </c>
      <c r="D87" s="85">
        <f t="shared" ca="1" si="40"/>
        <v>0</v>
      </c>
      <c r="E87" s="84">
        <f t="shared" ca="1" si="44"/>
        <v>0</v>
      </c>
      <c r="F87" s="135">
        <f t="shared" ca="1" si="55"/>
        <v>0</v>
      </c>
      <c r="G87" s="409">
        <f t="shared" ca="1" si="41"/>
        <v>0</v>
      </c>
      <c r="H87" s="409">
        <f t="shared" ca="1" si="42"/>
        <v>0</v>
      </c>
      <c r="I87" s="275">
        <f t="shared" ca="1" si="56"/>
        <v>0</v>
      </c>
      <c r="J87" s="275">
        <f t="shared" ca="1" si="45"/>
        <v>0</v>
      </c>
      <c r="K87" s="137">
        <f t="shared" ref="K87:K110" ca="1" si="58">N87*BSDailyTheta(L87,1/S87,1/O87,Q87,X87,Y87,T87)*1000000</f>
        <v>0</v>
      </c>
      <c r="L87" s="15" t="str">
        <f t="shared" ca="1" si="38"/>
        <v>F</v>
      </c>
      <c r="M87" s="88">
        <f t="shared" ca="1" si="38"/>
        <v>0</v>
      </c>
      <c r="N87" s="88">
        <f t="shared" ca="1" si="38"/>
        <v>0</v>
      </c>
      <c r="O87" s="432">
        <v>1000000000000000</v>
      </c>
      <c r="P87" s="69">
        <v>109575</v>
      </c>
      <c r="Q87" s="3">
        <f t="shared" si="46"/>
        <v>64590</v>
      </c>
      <c r="R87" s="107">
        <f t="shared" ca="1" si="47"/>
        <v>18.29</v>
      </c>
      <c r="S87" s="105">
        <f t="shared" ca="1" si="48"/>
        <v>25727391.2880999</v>
      </c>
      <c r="T87" s="341">
        <v>0</v>
      </c>
      <c r="U87" s="341">
        <v>0.11849999999999999</v>
      </c>
      <c r="V87" s="341">
        <v>0.11849999999999999</v>
      </c>
      <c r="W87" s="341">
        <v>0.11849999999999999</v>
      </c>
      <c r="X87" s="281">
        <f t="shared" si="33"/>
        <v>0.02</v>
      </c>
      <c r="Y87" s="282">
        <f t="shared" si="57"/>
        <v>0.1</v>
      </c>
      <c r="AA87" s="391">
        <f t="shared" ca="1" si="49"/>
        <v>0</v>
      </c>
      <c r="AB87" s="400">
        <f t="shared" ca="1" si="49"/>
        <v>0</v>
      </c>
      <c r="AC87" s="258">
        <f t="shared" ca="1" si="49"/>
        <v>0</v>
      </c>
      <c r="AD87" s="258">
        <f t="shared" ca="1" si="49"/>
        <v>0</v>
      </c>
      <c r="AE87" s="402">
        <f t="shared" ca="1" si="49"/>
        <v>0</v>
      </c>
      <c r="AF87" s="402">
        <f t="shared" ca="1" si="49"/>
        <v>0</v>
      </c>
      <c r="AG87" s="404">
        <f t="shared" ca="1" si="50"/>
        <v>0</v>
      </c>
      <c r="AH87" s="415">
        <f t="shared" ca="1" si="51"/>
        <v>0</v>
      </c>
      <c r="AI87" s="415">
        <f t="shared" ca="1" si="52"/>
        <v>0</v>
      </c>
      <c r="AJ87" s="416">
        <f t="shared" ca="1" si="53"/>
        <v>0</v>
      </c>
      <c r="AK87" s="416">
        <f t="shared" ca="1" si="54"/>
        <v>0</v>
      </c>
      <c r="AL87" s="417">
        <v>0</v>
      </c>
      <c r="AM87" s="269">
        <f t="shared" ca="1" si="32"/>
        <v>0</v>
      </c>
      <c r="AN87" s="422">
        <f t="shared" ca="1" si="39"/>
        <v>18.380000000000003</v>
      </c>
      <c r="AO87" s="423">
        <f t="shared" ca="1" si="39"/>
        <v>25893685.458928723</v>
      </c>
      <c r="AP87" s="271">
        <f t="shared" ca="1" si="39"/>
        <v>0</v>
      </c>
      <c r="AQ87" s="271">
        <f t="shared" ca="1" si="39"/>
        <v>0.11849999999999999</v>
      </c>
      <c r="AR87" s="271">
        <f t="shared" ca="1" si="39"/>
        <v>0.11849999999999999</v>
      </c>
      <c r="AS87" s="271">
        <f t="shared" ca="1" si="39"/>
        <v>0.11849999999999999</v>
      </c>
      <c r="AT87" s="271">
        <f t="shared" ca="1" si="39"/>
        <v>0.02</v>
      </c>
      <c r="AU87" s="278">
        <f t="shared" ca="1" si="37"/>
        <v>0.1</v>
      </c>
    </row>
    <row r="88" spans="2:47" ht="13.15" thickBot="1" x14ac:dyDescent="0.4">
      <c r="B88" s="18">
        <f t="shared" si="31"/>
        <v>69</v>
      </c>
      <c r="C88" s="85">
        <f t="shared" ca="1" si="43"/>
        <v>0</v>
      </c>
      <c r="D88" s="85">
        <f t="shared" ca="1" si="40"/>
        <v>0</v>
      </c>
      <c r="E88" s="84">
        <f t="shared" ca="1" si="44"/>
        <v>0</v>
      </c>
      <c r="F88" s="135">
        <f t="shared" ca="1" si="55"/>
        <v>0</v>
      </c>
      <c r="G88" s="409">
        <f t="shared" ca="1" si="41"/>
        <v>0</v>
      </c>
      <c r="H88" s="409">
        <f t="shared" ca="1" si="42"/>
        <v>0</v>
      </c>
      <c r="I88" s="275">
        <f t="shared" ca="1" si="56"/>
        <v>0</v>
      </c>
      <c r="J88" s="275">
        <f t="shared" ca="1" si="45"/>
        <v>0</v>
      </c>
      <c r="K88" s="137">
        <f t="shared" ca="1" si="58"/>
        <v>0</v>
      </c>
      <c r="L88" s="15" t="str">
        <f t="shared" ca="1" si="38"/>
        <v>F</v>
      </c>
      <c r="M88" s="88">
        <f t="shared" ca="1" si="38"/>
        <v>0</v>
      </c>
      <c r="N88" s="88">
        <f t="shared" ca="1" si="38"/>
        <v>0</v>
      </c>
      <c r="O88" s="432">
        <v>1000000000000000</v>
      </c>
      <c r="P88" s="69">
        <v>109575</v>
      </c>
      <c r="Q88" s="3">
        <f t="shared" si="46"/>
        <v>64590</v>
      </c>
      <c r="R88" s="107">
        <f t="shared" ca="1" si="47"/>
        <v>18.29</v>
      </c>
      <c r="S88" s="105">
        <f t="shared" ca="1" si="48"/>
        <v>25727391.2880999</v>
      </c>
      <c r="T88" s="341">
        <v>0</v>
      </c>
      <c r="U88" s="341">
        <v>0.11849999999999999</v>
      </c>
      <c r="V88" s="341">
        <v>0.11849999999999999</v>
      </c>
      <c r="W88" s="341">
        <v>0.11849999999999999</v>
      </c>
      <c r="X88" s="281">
        <f t="shared" si="33"/>
        <v>0.02</v>
      </c>
      <c r="Y88" s="282">
        <f t="shared" si="57"/>
        <v>0.1</v>
      </c>
      <c r="AA88" s="391">
        <f t="shared" ca="1" si="49"/>
        <v>0</v>
      </c>
      <c r="AB88" s="400">
        <f t="shared" ca="1" si="49"/>
        <v>0</v>
      </c>
      <c r="AC88" s="258">
        <f t="shared" ca="1" si="49"/>
        <v>0</v>
      </c>
      <c r="AD88" s="258">
        <f t="shared" ca="1" si="49"/>
        <v>0</v>
      </c>
      <c r="AE88" s="402">
        <f t="shared" ca="1" si="49"/>
        <v>0</v>
      </c>
      <c r="AF88" s="402">
        <f t="shared" ca="1" si="49"/>
        <v>0</v>
      </c>
      <c r="AG88" s="404">
        <f t="shared" ca="1" si="50"/>
        <v>0</v>
      </c>
      <c r="AH88" s="415">
        <f t="shared" ca="1" si="51"/>
        <v>0</v>
      </c>
      <c r="AI88" s="415">
        <f t="shared" ca="1" si="52"/>
        <v>0</v>
      </c>
      <c r="AJ88" s="416">
        <f t="shared" ca="1" si="53"/>
        <v>0</v>
      </c>
      <c r="AK88" s="416">
        <f t="shared" ca="1" si="54"/>
        <v>0</v>
      </c>
      <c r="AL88" s="417">
        <v>0</v>
      </c>
      <c r="AM88" s="269">
        <f t="shared" ca="1" si="32"/>
        <v>0</v>
      </c>
      <c r="AN88" s="422">
        <f t="shared" ca="1" si="39"/>
        <v>18.380000000000003</v>
      </c>
      <c r="AO88" s="423">
        <f t="shared" ca="1" si="39"/>
        <v>25893685.458928723</v>
      </c>
      <c r="AP88" s="271">
        <f t="shared" ca="1" si="39"/>
        <v>0</v>
      </c>
      <c r="AQ88" s="271">
        <f t="shared" ca="1" si="39"/>
        <v>0.11849999999999999</v>
      </c>
      <c r="AR88" s="271">
        <f t="shared" ca="1" si="39"/>
        <v>0.11849999999999999</v>
      </c>
      <c r="AS88" s="271">
        <f t="shared" ca="1" si="39"/>
        <v>0.11849999999999999</v>
      </c>
      <c r="AT88" s="271">
        <f t="shared" ca="1" si="39"/>
        <v>0.02</v>
      </c>
      <c r="AU88" s="278">
        <f t="shared" ca="1" si="37"/>
        <v>0.1</v>
      </c>
    </row>
    <row r="89" spans="2:47" ht="13.15" thickBot="1" x14ac:dyDescent="0.4">
      <c r="B89" s="18">
        <f t="shared" si="31"/>
        <v>70</v>
      </c>
      <c r="C89" s="85">
        <f t="shared" ca="1" si="43"/>
        <v>0</v>
      </c>
      <c r="D89" s="85">
        <f t="shared" ca="1" si="40"/>
        <v>0</v>
      </c>
      <c r="E89" s="84">
        <f t="shared" ca="1" si="44"/>
        <v>0</v>
      </c>
      <c r="F89" s="135">
        <f t="shared" ca="1" si="55"/>
        <v>0</v>
      </c>
      <c r="G89" s="409">
        <f t="shared" ca="1" si="41"/>
        <v>0</v>
      </c>
      <c r="H89" s="409">
        <f t="shared" ca="1" si="42"/>
        <v>0</v>
      </c>
      <c r="I89" s="275">
        <f t="shared" ca="1" si="56"/>
        <v>0</v>
      </c>
      <c r="J89" s="275">
        <f t="shared" ca="1" si="45"/>
        <v>0</v>
      </c>
      <c r="K89" s="137">
        <f t="shared" ca="1" si="58"/>
        <v>0</v>
      </c>
      <c r="L89" s="15" t="str">
        <f t="shared" ca="1" si="38"/>
        <v>F</v>
      </c>
      <c r="M89" s="88">
        <f t="shared" ca="1" si="38"/>
        <v>0</v>
      </c>
      <c r="N89" s="88">
        <f t="shared" ca="1" si="38"/>
        <v>0</v>
      </c>
      <c r="O89" s="432">
        <v>1000000000000000</v>
      </c>
      <c r="P89" s="69">
        <v>109575</v>
      </c>
      <c r="Q89" s="3">
        <f t="shared" si="46"/>
        <v>64590</v>
      </c>
      <c r="R89" s="107">
        <f t="shared" ca="1" si="47"/>
        <v>18.29</v>
      </c>
      <c r="S89" s="105">
        <f t="shared" ca="1" si="48"/>
        <v>25727391.2880999</v>
      </c>
      <c r="T89" s="341">
        <v>0</v>
      </c>
      <c r="U89" s="341">
        <v>0.11849999999999999</v>
      </c>
      <c r="V89" s="341">
        <v>0.11849999999999999</v>
      </c>
      <c r="W89" s="341">
        <v>0.11849999999999999</v>
      </c>
      <c r="X89" s="281">
        <f t="shared" si="33"/>
        <v>0.02</v>
      </c>
      <c r="Y89" s="282">
        <f t="shared" si="57"/>
        <v>0.1</v>
      </c>
      <c r="AA89" s="391">
        <f t="shared" ca="1" si="49"/>
        <v>0</v>
      </c>
      <c r="AB89" s="400">
        <f t="shared" ca="1" si="49"/>
        <v>0</v>
      </c>
      <c r="AC89" s="258">
        <f t="shared" ca="1" si="49"/>
        <v>0</v>
      </c>
      <c r="AD89" s="258">
        <f t="shared" ca="1" si="49"/>
        <v>0</v>
      </c>
      <c r="AE89" s="402">
        <f t="shared" ca="1" si="49"/>
        <v>0</v>
      </c>
      <c r="AF89" s="402">
        <f t="shared" ca="1" si="49"/>
        <v>0</v>
      </c>
      <c r="AG89" s="404">
        <f t="shared" ca="1" si="50"/>
        <v>0</v>
      </c>
      <c r="AH89" s="415">
        <f t="shared" ca="1" si="51"/>
        <v>0</v>
      </c>
      <c r="AI89" s="415">
        <f t="shared" ca="1" si="52"/>
        <v>0</v>
      </c>
      <c r="AJ89" s="416">
        <f t="shared" ca="1" si="53"/>
        <v>0</v>
      </c>
      <c r="AK89" s="416">
        <f t="shared" ca="1" si="54"/>
        <v>0</v>
      </c>
      <c r="AL89" s="417">
        <v>0</v>
      </c>
      <c r="AM89" s="269">
        <f t="shared" ca="1" si="32"/>
        <v>0</v>
      </c>
      <c r="AN89" s="422">
        <f t="shared" ca="1" si="39"/>
        <v>18.380000000000003</v>
      </c>
      <c r="AO89" s="423">
        <f t="shared" ca="1" si="39"/>
        <v>25893685.458928723</v>
      </c>
      <c r="AP89" s="271">
        <f t="shared" ca="1" si="39"/>
        <v>0</v>
      </c>
      <c r="AQ89" s="271">
        <f t="shared" ca="1" si="39"/>
        <v>0.11849999999999999</v>
      </c>
      <c r="AR89" s="271">
        <f t="shared" ca="1" si="39"/>
        <v>0.11849999999999999</v>
      </c>
      <c r="AS89" s="271">
        <f t="shared" ca="1" si="39"/>
        <v>0.11849999999999999</v>
      </c>
      <c r="AT89" s="271">
        <f t="shared" ca="1" si="39"/>
        <v>0.02</v>
      </c>
      <c r="AU89" s="278">
        <f t="shared" ca="1" si="37"/>
        <v>0.1</v>
      </c>
    </row>
    <row r="90" spans="2:47" ht="13.15" thickBot="1" x14ac:dyDescent="0.4">
      <c r="B90" s="18">
        <f t="shared" si="31"/>
        <v>71</v>
      </c>
      <c r="C90" s="85">
        <f t="shared" ca="1" si="43"/>
        <v>0</v>
      </c>
      <c r="D90" s="85">
        <f t="shared" ca="1" si="40"/>
        <v>0</v>
      </c>
      <c r="E90" s="84">
        <f t="shared" ca="1" si="44"/>
        <v>0</v>
      </c>
      <c r="F90" s="135">
        <f t="shared" ca="1" si="55"/>
        <v>0</v>
      </c>
      <c r="G90" s="409">
        <f t="shared" ca="1" si="41"/>
        <v>0</v>
      </c>
      <c r="H90" s="409">
        <f t="shared" ca="1" si="42"/>
        <v>0</v>
      </c>
      <c r="I90" s="275">
        <f t="shared" ca="1" si="56"/>
        <v>0</v>
      </c>
      <c r="J90" s="275">
        <f t="shared" ca="1" si="45"/>
        <v>0</v>
      </c>
      <c r="K90" s="137">
        <f t="shared" ca="1" si="58"/>
        <v>0</v>
      </c>
      <c r="L90" s="15" t="str">
        <f t="shared" ca="1" si="38"/>
        <v>F</v>
      </c>
      <c r="M90" s="88">
        <f t="shared" ca="1" si="38"/>
        <v>0</v>
      </c>
      <c r="N90" s="88">
        <f t="shared" ca="1" si="38"/>
        <v>0</v>
      </c>
      <c r="O90" s="432">
        <v>1000000000000000</v>
      </c>
      <c r="P90" s="69">
        <v>109575</v>
      </c>
      <c r="Q90" s="3">
        <f t="shared" si="46"/>
        <v>64590</v>
      </c>
      <c r="R90" s="107">
        <f t="shared" ca="1" si="47"/>
        <v>18.29</v>
      </c>
      <c r="S90" s="105">
        <f t="shared" ca="1" si="48"/>
        <v>25727391.2880999</v>
      </c>
      <c r="T90" s="341">
        <v>0</v>
      </c>
      <c r="U90" s="341">
        <v>0.11849999999999999</v>
      </c>
      <c r="V90" s="341">
        <v>0.11849999999999999</v>
      </c>
      <c r="W90" s="341">
        <v>0.11849999999999999</v>
      </c>
      <c r="X90" s="281">
        <f t="shared" si="33"/>
        <v>0.02</v>
      </c>
      <c r="Y90" s="282">
        <f t="shared" si="57"/>
        <v>0.1</v>
      </c>
      <c r="AA90" s="391">
        <f t="shared" ca="1" si="49"/>
        <v>0</v>
      </c>
      <c r="AB90" s="400">
        <f t="shared" ca="1" si="49"/>
        <v>0</v>
      </c>
      <c r="AC90" s="258">
        <f t="shared" ca="1" si="49"/>
        <v>0</v>
      </c>
      <c r="AD90" s="258">
        <f t="shared" ca="1" si="49"/>
        <v>0</v>
      </c>
      <c r="AE90" s="402">
        <f t="shared" ca="1" si="49"/>
        <v>0</v>
      </c>
      <c r="AF90" s="402">
        <f t="shared" ca="1" si="49"/>
        <v>0</v>
      </c>
      <c r="AG90" s="404">
        <f t="shared" ca="1" si="50"/>
        <v>0</v>
      </c>
      <c r="AH90" s="415">
        <f t="shared" ca="1" si="51"/>
        <v>0</v>
      </c>
      <c r="AI90" s="415">
        <f t="shared" ca="1" si="52"/>
        <v>0</v>
      </c>
      <c r="AJ90" s="416">
        <f t="shared" ca="1" si="53"/>
        <v>0</v>
      </c>
      <c r="AK90" s="416">
        <f t="shared" ca="1" si="54"/>
        <v>0</v>
      </c>
      <c r="AL90" s="417">
        <v>0</v>
      </c>
      <c r="AM90" s="269">
        <f t="shared" ca="1" si="32"/>
        <v>0</v>
      </c>
      <c r="AN90" s="422">
        <f t="shared" ca="1" si="39"/>
        <v>18.380000000000003</v>
      </c>
      <c r="AO90" s="423">
        <f t="shared" ca="1" si="39"/>
        <v>25893685.458928723</v>
      </c>
      <c r="AP90" s="271">
        <f t="shared" ca="1" si="39"/>
        <v>0</v>
      </c>
      <c r="AQ90" s="271">
        <f t="shared" ca="1" si="39"/>
        <v>0.11849999999999999</v>
      </c>
      <c r="AR90" s="271">
        <f t="shared" ca="1" si="39"/>
        <v>0.11849999999999999</v>
      </c>
      <c r="AS90" s="271">
        <f t="shared" ca="1" si="39"/>
        <v>0.11849999999999999</v>
      </c>
      <c r="AT90" s="271">
        <f t="shared" ca="1" si="39"/>
        <v>0.02</v>
      </c>
      <c r="AU90" s="278">
        <f t="shared" ca="1" si="37"/>
        <v>0.1</v>
      </c>
    </row>
    <row r="91" spans="2:47" ht="13.15" thickBot="1" x14ac:dyDescent="0.4">
      <c r="B91" s="18">
        <f t="shared" si="31"/>
        <v>72</v>
      </c>
      <c r="C91" s="85">
        <f t="shared" ca="1" si="43"/>
        <v>0</v>
      </c>
      <c r="D91" s="85">
        <f t="shared" ca="1" si="40"/>
        <v>0</v>
      </c>
      <c r="E91" s="84">
        <f t="shared" ca="1" si="44"/>
        <v>0</v>
      </c>
      <c r="F91" s="135">
        <f t="shared" ca="1" si="55"/>
        <v>0</v>
      </c>
      <c r="G91" s="409">
        <f t="shared" ca="1" si="41"/>
        <v>0</v>
      </c>
      <c r="H91" s="409">
        <f t="shared" ca="1" si="42"/>
        <v>0</v>
      </c>
      <c r="I91" s="275">
        <f t="shared" ca="1" si="56"/>
        <v>0</v>
      </c>
      <c r="J91" s="275">
        <f t="shared" ca="1" si="45"/>
        <v>0</v>
      </c>
      <c r="K91" s="137">
        <f t="shared" ca="1" si="58"/>
        <v>0</v>
      </c>
      <c r="L91" s="15" t="str">
        <f t="shared" ca="1" si="38"/>
        <v>F</v>
      </c>
      <c r="M91" s="88">
        <f t="shared" ca="1" si="38"/>
        <v>0</v>
      </c>
      <c r="N91" s="88">
        <f t="shared" ca="1" si="38"/>
        <v>0</v>
      </c>
      <c r="O91" s="432">
        <v>1000000000000000</v>
      </c>
      <c r="P91" s="69">
        <v>109575</v>
      </c>
      <c r="Q91" s="3">
        <f t="shared" si="46"/>
        <v>64590</v>
      </c>
      <c r="R91" s="107">
        <f t="shared" ca="1" si="47"/>
        <v>18.29</v>
      </c>
      <c r="S91" s="105">
        <f t="shared" ca="1" si="48"/>
        <v>25727391.2880999</v>
      </c>
      <c r="T91" s="341">
        <v>0</v>
      </c>
      <c r="U91" s="341">
        <v>0.11849999999999999</v>
      </c>
      <c r="V91" s="341">
        <v>0.11849999999999999</v>
      </c>
      <c r="W91" s="341">
        <v>0.11849999999999999</v>
      </c>
      <c r="X91" s="281">
        <f t="shared" si="33"/>
        <v>0.02</v>
      </c>
      <c r="Y91" s="282">
        <f t="shared" si="57"/>
        <v>0.1</v>
      </c>
      <c r="AA91" s="391">
        <f t="shared" ca="1" si="49"/>
        <v>0</v>
      </c>
      <c r="AB91" s="400">
        <f t="shared" ca="1" si="49"/>
        <v>0</v>
      </c>
      <c r="AC91" s="258">
        <f t="shared" ca="1" si="49"/>
        <v>0</v>
      </c>
      <c r="AD91" s="258">
        <f t="shared" ca="1" si="49"/>
        <v>0</v>
      </c>
      <c r="AE91" s="402">
        <f t="shared" ca="1" si="49"/>
        <v>0</v>
      </c>
      <c r="AF91" s="402">
        <f t="shared" ca="1" si="49"/>
        <v>0</v>
      </c>
      <c r="AG91" s="404">
        <f t="shared" ca="1" si="50"/>
        <v>0</v>
      </c>
      <c r="AH91" s="415">
        <f t="shared" ca="1" si="51"/>
        <v>0</v>
      </c>
      <c r="AI91" s="415">
        <f t="shared" ca="1" si="52"/>
        <v>0</v>
      </c>
      <c r="AJ91" s="416">
        <f t="shared" ca="1" si="53"/>
        <v>0</v>
      </c>
      <c r="AK91" s="416">
        <f t="shared" ca="1" si="54"/>
        <v>0</v>
      </c>
      <c r="AL91" s="417">
        <v>0</v>
      </c>
      <c r="AM91" s="269">
        <f t="shared" ca="1" si="32"/>
        <v>0</v>
      </c>
      <c r="AN91" s="422">
        <f t="shared" ca="1" si="39"/>
        <v>18.380000000000003</v>
      </c>
      <c r="AO91" s="423">
        <f t="shared" ca="1" si="39"/>
        <v>25893685.458928723</v>
      </c>
      <c r="AP91" s="271">
        <f t="shared" ca="1" si="39"/>
        <v>0</v>
      </c>
      <c r="AQ91" s="271">
        <f t="shared" ca="1" si="39"/>
        <v>0.11849999999999999</v>
      </c>
      <c r="AR91" s="271">
        <f t="shared" ca="1" si="39"/>
        <v>0.11849999999999999</v>
      </c>
      <c r="AS91" s="271">
        <f t="shared" ca="1" si="39"/>
        <v>0.11849999999999999</v>
      </c>
      <c r="AT91" s="271">
        <f t="shared" ca="1" si="39"/>
        <v>0.02</v>
      </c>
      <c r="AU91" s="278">
        <f t="shared" ca="1" si="37"/>
        <v>0.1</v>
      </c>
    </row>
    <row r="92" spans="2:47" ht="13.15" thickBot="1" x14ac:dyDescent="0.4">
      <c r="B92" s="18">
        <f t="shared" si="31"/>
        <v>73</v>
      </c>
      <c r="C92" s="85">
        <f t="shared" ca="1" si="43"/>
        <v>0</v>
      </c>
      <c r="D92" s="85">
        <f t="shared" ca="1" si="40"/>
        <v>0</v>
      </c>
      <c r="E92" s="84">
        <f t="shared" ca="1" si="44"/>
        <v>0</v>
      </c>
      <c r="F92" s="135">
        <f t="shared" ca="1" si="55"/>
        <v>0</v>
      </c>
      <c r="G92" s="409">
        <f t="shared" ca="1" si="41"/>
        <v>0</v>
      </c>
      <c r="H92" s="409">
        <f t="shared" ca="1" si="42"/>
        <v>0</v>
      </c>
      <c r="I92" s="275">
        <f t="shared" ca="1" si="56"/>
        <v>0</v>
      </c>
      <c r="J92" s="275">
        <f t="shared" ca="1" si="45"/>
        <v>0</v>
      </c>
      <c r="K92" s="137">
        <f t="shared" ca="1" si="58"/>
        <v>0</v>
      </c>
      <c r="L92" s="15" t="str">
        <f t="shared" ca="1" si="38"/>
        <v>F</v>
      </c>
      <c r="M92" s="88">
        <f t="shared" ca="1" si="38"/>
        <v>0</v>
      </c>
      <c r="N92" s="88">
        <f t="shared" ca="1" si="38"/>
        <v>0</v>
      </c>
      <c r="O92" s="432">
        <v>1000000000000000</v>
      </c>
      <c r="P92" s="69">
        <v>109575</v>
      </c>
      <c r="Q92" s="3">
        <f t="shared" si="46"/>
        <v>64590</v>
      </c>
      <c r="R92" s="107">
        <f t="shared" ca="1" si="47"/>
        <v>18.29</v>
      </c>
      <c r="S92" s="105">
        <f t="shared" ca="1" si="48"/>
        <v>25727391.2880999</v>
      </c>
      <c r="T92" s="341">
        <v>0</v>
      </c>
      <c r="U92" s="341">
        <v>0.11849999999999999</v>
      </c>
      <c r="V92" s="341">
        <v>0.11849999999999999</v>
      </c>
      <c r="W92" s="341">
        <v>0.11849999999999999</v>
      </c>
      <c r="X92" s="281">
        <f t="shared" si="33"/>
        <v>0.02</v>
      </c>
      <c r="Y92" s="282">
        <f t="shared" si="57"/>
        <v>0.1</v>
      </c>
      <c r="AA92" s="391">
        <f t="shared" ca="1" si="49"/>
        <v>0</v>
      </c>
      <c r="AB92" s="400">
        <f t="shared" ca="1" si="49"/>
        <v>0</v>
      </c>
      <c r="AC92" s="258">
        <f t="shared" ca="1" si="49"/>
        <v>0</v>
      </c>
      <c r="AD92" s="258">
        <f t="shared" ca="1" si="49"/>
        <v>0</v>
      </c>
      <c r="AE92" s="402">
        <f t="shared" ca="1" si="49"/>
        <v>0</v>
      </c>
      <c r="AF92" s="402">
        <f t="shared" ca="1" si="49"/>
        <v>0</v>
      </c>
      <c r="AG92" s="404">
        <f t="shared" ca="1" si="50"/>
        <v>0</v>
      </c>
      <c r="AH92" s="415">
        <f t="shared" ca="1" si="51"/>
        <v>0</v>
      </c>
      <c r="AI92" s="415">
        <f t="shared" ca="1" si="52"/>
        <v>0</v>
      </c>
      <c r="AJ92" s="416">
        <f t="shared" ca="1" si="53"/>
        <v>0</v>
      </c>
      <c r="AK92" s="416">
        <f t="shared" ca="1" si="54"/>
        <v>0</v>
      </c>
      <c r="AL92" s="417">
        <v>0</v>
      </c>
      <c r="AM92" s="269">
        <f t="shared" ca="1" si="32"/>
        <v>0</v>
      </c>
      <c r="AN92" s="422">
        <f t="shared" ca="1" si="39"/>
        <v>18.380000000000003</v>
      </c>
      <c r="AO92" s="423">
        <f t="shared" ca="1" si="39"/>
        <v>25893685.458928723</v>
      </c>
      <c r="AP92" s="271">
        <f t="shared" ca="1" si="39"/>
        <v>0</v>
      </c>
      <c r="AQ92" s="271">
        <f t="shared" ca="1" si="39"/>
        <v>0.11849999999999999</v>
      </c>
      <c r="AR92" s="271">
        <f t="shared" ca="1" si="39"/>
        <v>0.11849999999999999</v>
      </c>
      <c r="AS92" s="271">
        <f t="shared" ca="1" si="39"/>
        <v>0.11849999999999999</v>
      </c>
      <c r="AT92" s="271">
        <f t="shared" ca="1" si="39"/>
        <v>0.02</v>
      </c>
      <c r="AU92" s="278">
        <f t="shared" ca="1" si="37"/>
        <v>0.1</v>
      </c>
    </row>
    <row r="93" spans="2:47" ht="13.15" thickBot="1" x14ac:dyDescent="0.4">
      <c r="B93" s="18">
        <f t="shared" si="31"/>
        <v>74</v>
      </c>
      <c r="C93" s="85">
        <f t="shared" ca="1" si="43"/>
        <v>0</v>
      </c>
      <c r="D93" s="85">
        <f t="shared" ca="1" si="40"/>
        <v>0</v>
      </c>
      <c r="E93" s="84">
        <f t="shared" ca="1" si="44"/>
        <v>0</v>
      </c>
      <c r="F93" s="135">
        <f t="shared" ca="1" si="55"/>
        <v>0</v>
      </c>
      <c r="G93" s="409">
        <f t="shared" ca="1" si="41"/>
        <v>0</v>
      </c>
      <c r="H93" s="409">
        <f t="shared" ca="1" si="42"/>
        <v>0</v>
      </c>
      <c r="I93" s="275">
        <f t="shared" ca="1" si="56"/>
        <v>0</v>
      </c>
      <c r="J93" s="275">
        <f t="shared" ca="1" si="45"/>
        <v>0</v>
      </c>
      <c r="K93" s="137">
        <f t="shared" ca="1" si="58"/>
        <v>0</v>
      </c>
      <c r="L93" s="15" t="str">
        <f t="shared" ca="1" si="38"/>
        <v>F</v>
      </c>
      <c r="M93" s="88">
        <f t="shared" ca="1" si="38"/>
        <v>0</v>
      </c>
      <c r="N93" s="88">
        <f t="shared" ca="1" si="38"/>
        <v>0</v>
      </c>
      <c r="O93" s="432">
        <v>1000000000000000</v>
      </c>
      <c r="P93" s="69">
        <v>109575</v>
      </c>
      <c r="Q93" s="3">
        <f t="shared" si="46"/>
        <v>64590</v>
      </c>
      <c r="R93" s="107">
        <f t="shared" ca="1" si="47"/>
        <v>18.29</v>
      </c>
      <c r="S93" s="105">
        <f t="shared" ca="1" si="48"/>
        <v>25727391.2880999</v>
      </c>
      <c r="T93" s="341">
        <v>0</v>
      </c>
      <c r="U93" s="341">
        <v>0.11849999999999999</v>
      </c>
      <c r="V93" s="341">
        <v>0.11849999999999999</v>
      </c>
      <c r="W93" s="341">
        <v>0.11849999999999999</v>
      </c>
      <c r="X93" s="281">
        <f t="shared" si="33"/>
        <v>0.02</v>
      </c>
      <c r="Y93" s="282">
        <f t="shared" si="57"/>
        <v>0.1</v>
      </c>
      <c r="AA93" s="391">
        <f t="shared" ca="1" si="49"/>
        <v>0</v>
      </c>
      <c r="AB93" s="400">
        <f t="shared" ca="1" si="49"/>
        <v>0</v>
      </c>
      <c r="AC93" s="258">
        <f t="shared" ca="1" si="49"/>
        <v>0</v>
      </c>
      <c r="AD93" s="258">
        <f t="shared" ca="1" si="49"/>
        <v>0</v>
      </c>
      <c r="AE93" s="402">
        <f t="shared" ca="1" si="49"/>
        <v>0</v>
      </c>
      <c r="AF93" s="402">
        <f t="shared" ca="1" si="49"/>
        <v>0</v>
      </c>
      <c r="AG93" s="404">
        <f t="shared" ca="1" si="50"/>
        <v>0</v>
      </c>
      <c r="AH93" s="415">
        <f t="shared" ca="1" si="51"/>
        <v>0</v>
      </c>
      <c r="AI93" s="415">
        <f t="shared" ca="1" si="52"/>
        <v>0</v>
      </c>
      <c r="AJ93" s="416">
        <f t="shared" ca="1" si="53"/>
        <v>0</v>
      </c>
      <c r="AK93" s="416">
        <f t="shared" ca="1" si="54"/>
        <v>0</v>
      </c>
      <c r="AL93" s="417">
        <v>0</v>
      </c>
      <c r="AM93" s="269">
        <f t="shared" ca="1" si="32"/>
        <v>0</v>
      </c>
      <c r="AN93" s="422">
        <f t="shared" ca="1" si="39"/>
        <v>18.380000000000003</v>
      </c>
      <c r="AO93" s="423">
        <f t="shared" ca="1" si="39"/>
        <v>25893685.458928723</v>
      </c>
      <c r="AP93" s="271">
        <f t="shared" ca="1" si="39"/>
        <v>0</v>
      </c>
      <c r="AQ93" s="271">
        <f t="shared" ca="1" si="39"/>
        <v>0.11849999999999999</v>
      </c>
      <c r="AR93" s="271">
        <f t="shared" ca="1" si="39"/>
        <v>0.11849999999999999</v>
      </c>
      <c r="AS93" s="271">
        <f t="shared" ca="1" si="39"/>
        <v>0.11849999999999999</v>
      </c>
      <c r="AT93" s="271">
        <f t="shared" ca="1" si="39"/>
        <v>0.02</v>
      </c>
      <c r="AU93" s="278">
        <f t="shared" ca="1" si="37"/>
        <v>0.1</v>
      </c>
    </row>
    <row r="94" spans="2:47" ht="13.15" thickBot="1" x14ac:dyDescent="0.4">
      <c r="B94" s="18">
        <f t="shared" ref="B94:B110" si="59">B93+1</f>
        <v>75</v>
      </c>
      <c r="C94" s="85">
        <f t="shared" ca="1" si="43"/>
        <v>0</v>
      </c>
      <c r="D94" s="85">
        <f t="shared" ca="1" si="40"/>
        <v>0</v>
      </c>
      <c r="E94" s="84">
        <f t="shared" ca="1" si="44"/>
        <v>0</v>
      </c>
      <c r="F94" s="135">
        <f t="shared" ca="1" si="55"/>
        <v>0</v>
      </c>
      <c r="G94" s="409">
        <f t="shared" ca="1" si="41"/>
        <v>0</v>
      </c>
      <c r="H94" s="409">
        <f t="shared" ca="1" si="42"/>
        <v>0</v>
      </c>
      <c r="I94" s="275">
        <f t="shared" ca="1" si="56"/>
        <v>0</v>
      </c>
      <c r="J94" s="275">
        <f t="shared" ca="1" si="45"/>
        <v>0</v>
      </c>
      <c r="K94" s="137">
        <f t="shared" ca="1" si="58"/>
        <v>0</v>
      </c>
      <c r="L94" s="15" t="str">
        <f t="shared" ca="1" si="38"/>
        <v>F</v>
      </c>
      <c r="M94" s="88">
        <f t="shared" ca="1" si="38"/>
        <v>0</v>
      </c>
      <c r="N94" s="88">
        <f t="shared" ca="1" si="38"/>
        <v>0</v>
      </c>
      <c r="O94" s="432">
        <v>1000000000000000</v>
      </c>
      <c r="P94" s="69">
        <v>109575</v>
      </c>
      <c r="Q94" s="3">
        <f t="shared" si="46"/>
        <v>64590</v>
      </c>
      <c r="R94" s="107">
        <f t="shared" ca="1" si="47"/>
        <v>18.29</v>
      </c>
      <c r="S94" s="105">
        <f t="shared" ca="1" si="48"/>
        <v>25727391.2880999</v>
      </c>
      <c r="T94" s="341">
        <v>0</v>
      </c>
      <c r="U94" s="341">
        <v>0.11849999999999999</v>
      </c>
      <c r="V94" s="341">
        <v>0.11849999999999999</v>
      </c>
      <c r="W94" s="341">
        <v>0.11849999999999999</v>
      </c>
      <c r="X94" s="281">
        <f t="shared" si="33"/>
        <v>0.02</v>
      </c>
      <c r="Y94" s="282">
        <f t="shared" si="57"/>
        <v>0.1</v>
      </c>
      <c r="AA94" s="391">
        <f t="shared" ca="1" si="49"/>
        <v>0</v>
      </c>
      <c r="AB94" s="400">
        <f t="shared" ca="1" si="49"/>
        <v>0</v>
      </c>
      <c r="AC94" s="258">
        <f t="shared" ca="1" si="49"/>
        <v>0</v>
      </c>
      <c r="AD94" s="258">
        <f t="shared" ca="1" si="49"/>
        <v>0</v>
      </c>
      <c r="AE94" s="402">
        <f t="shared" ca="1" si="49"/>
        <v>0</v>
      </c>
      <c r="AF94" s="402">
        <f t="shared" ca="1" si="49"/>
        <v>0</v>
      </c>
      <c r="AG94" s="404">
        <f t="shared" ca="1" si="50"/>
        <v>0</v>
      </c>
      <c r="AH94" s="415">
        <f t="shared" ca="1" si="51"/>
        <v>0</v>
      </c>
      <c r="AI94" s="415">
        <f t="shared" ca="1" si="52"/>
        <v>0</v>
      </c>
      <c r="AJ94" s="416">
        <f t="shared" ca="1" si="53"/>
        <v>0</v>
      </c>
      <c r="AK94" s="416">
        <f t="shared" ca="1" si="54"/>
        <v>0</v>
      </c>
      <c r="AL94" s="417">
        <v>0</v>
      </c>
      <c r="AM94" s="269">
        <f t="shared" ref="AM94:AM110" ca="1" si="60">SUM(AG94:AL94)</f>
        <v>0</v>
      </c>
      <c r="AN94" s="422">
        <f t="shared" ca="1" si="39"/>
        <v>18.380000000000003</v>
      </c>
      <c r="AO94" s="423">
        <f t="shared" ca="1" si="39"/>
        <v>25893685.458928723</v>
      </c>
      <c r="AP94" s="271">
        <f t="shared" ca="1" si="39"/>
        <v>0</v>
      </c>
      <c r="AQ94" s="271">
        <f t="shared" ca="1" si="39"/>
        <v>0.11849999999999999</v>
      </c>
      <c r="AR94" s="271">
        <f t="shared" ca="1" si="39"/>
        <v>0.11849999999999999</v>
      </c>
      <c r="AS94" s="271">
        <f t="shared" ca="1" si="39"/>
        <v>0.11849999999999999</v>
      </c>
      <c r="AT94" s="271">
        <f t="shared" ca="1" si="39"/>
        <v>0.02</v>
      </c>
      <c r="AU94" s="278">
        <f t="shared" ca="1" si="37"/>
        <v>0.1</v>
      </c>
    </row>
    <row r="95" spans="2:47" ht="13.15" thickBot="1" x14ac:dyDescent="0.4">
      <c r="B95" s="18">
        <f t="shared" si="59"/>
        <v>76</v>
      </c>
      <c r="C95" s="85">
        <f t="shared" ca="1" si="43"/>
        <v>0</v>
      </c>
      <c r="D95" s="85">
        <f t="shared" ca="1" si="40"/>
        <v>0</v>
      </c>
      <c r="E95" s="84">
        <f t="shared" ca="1" si="44"/>
        <v>0</v>
      </c>
      <c r="F95" s="135">
        <f t="shared" ca="1" si="55"/>
        <v>0</v>
      </c>
      <c r="G95" s="409">
        <f t="shared" ca="1" si="41"/>
        <v>0</v>
      </c>
      <c r="H95" s="409">
        <f t="shared" ca="1" si="42"/>
        <v>0</v>
      </c>
      <c r="I95" s="275">
        <f t="shared" ca="1" si="56"/>
        <v>0</v>
      </c>
      <c r="J95" s="275">
        <f t="shared" ca="1" si="45"/>
        <v>0</v>
      </c>
      <c r="K95" s="137">
        <f t="shared" ca="1" si="58"/>
        <v>0</v>
      </c>
      <c r="L95" s="15" t="str">
        <f t="shared" ca="1" si="38"/>
        <v>F</v>
      </c>
      <c r="M95" s="88">
        <f t="shared" ca="1" si="38"/>
        <v>0</v>
      </c>
      <c r="N95" s="88">
        <f t="shared" ca="1" si="38"/>
        <v>0</v>
      </c>
      <c r="O95" s="432">
        <v>1000000000000000</v>
      </c>
      <c r="P95" s="69">
        <v>109575</v>
      </c>
      <c r="Q95" s="3">
        <f t="shared" si="46"/>
        <v>64590</v>
      </c>
      <c r="R95" s="107">
        <f t="shared" ca="1" si="47"/>
        <v>18.29</v>
      </c>
      <c r="S95" s="105">
        <f t="shared" ca="1" si="48"/>
        <v>25727391.2880999</v>
      </c>
      <c r="T95" s="341">
        <v>0</v>
      </c>
      <c r="U95" s="341">
        <v>0.11849999999999999</v>
      </c>
      <c r="V95" s="341">
        <v>0.11849999999999999</v>
      </c>
      <c r="W95" s="341">
        <v>0.11849999999999999</v>
      </c>
      <c r="X95" s="281">
        <f t="shared" si="33"/>
        <v>0.02</v>
      </c>
      <c r="Y95" s="282">
        <f t="shared" si="57"/>
        <v>0.1</v>
      </c>
      <c r="AA95" s="391">
        <f t="shared" ca="1" si="49"/>
        <v>0</v>
      </c>
      <c r="AB95" s="400">
        <f t="shared" ca="1" si="49"/>
        <v>0</v>
      </c>
      <c r="AC95" s="258">
        <f t="shared" ca="1" si="49"/>
        <v>0</v>
      </c>
      <c r="AD95" s="258">
        <f t="shared" ca="1" si="49"/>
        <v>0</v>
      </c>
      <c r="AE95" s="402">
        <f t="shared" ca="1" si="49"/>
        <v>0</v>
      </c>
      <c r="AF95" s="402">
        <f t="shared" ca="1" si="49"/>
        <v>0</v>
      </c>
      <c r="AG95" s="404">
        <f t="shared" ca="1" si="50"/>
        <v>0</v>
      </c>
      <c r="AH95" s="415">
        <f t="shared" ca="1" si="51"/>
        <v>0</v>
      </c>
      <c r="AI95" s="415">
        <f t="shared" ca="1" si="52"/>
        <v>0</v>
      </c>
      <c r="AJ95" s="416">
        <f t="shared" ca="1" si="53"/>
        <v>0</v>
      </c>
      <c r="AK95" s="416">
        <f t="shared" ca="1" si="54"/>
        <v>0</v>
      </c>
      <c r="AL95" s="417">
        <v>0</v>
      </c>
      <c r="AM95" s="269">
        <f t="shared" ca="1" si="60"/>
        <v>0</v>
      </c>
      <c r="AN95" s="422">
        <f t="shared" ca="1" si="39"/>
        <v>18.380000000000003</v>
      </c>
      <c r="AO95" s="423">
        <f t="shared" ca="1" si="39"/>
        <v>25893685.458928723</v>
      </c>
      <c r="AP95" s="271">
        <f t="shared" ca="1" si="39"/>
        <v>0</v>
      </c>
      <c r="AQ95" s="271">
        <f t="shared" ca="1" si="39"/>
        <v>0.11849999999999999</v>
      </c>
      <c r="AR95" s="271">
        <f t="shared" ca="1" si="39"/>
        <v>0.11849999999999999</v>
      </c>
      <c r="AS95" s="271">
        <f t="shared" ca="1" si="39"/>
        <v>0.11849999999999999</v>
      </c>
      <c r="AT95" s="271">
        <f t="shared" ca="1" si="39"/>
        <v>0.02</v>
      </c>
      <c r="AU95" s="278">
        <f t="shared" ca="1" si="37"/>
        <v>0.1</v>
      </c>
    </row>
    <row r="96" spans="2:47" ht="13.15" thickBot="1" x14ac:dyDescent="0.4">
      <c r="B96" s="18">
        <f t="shared" si="59"/>
        <v>77</v>
      </c>
      <c r="C96" s="85">
        <f t="shared" ca="1" si="43"/>
        <v>0</v>
      </c>
      <c r="D96" s="85">
        <f t="shared" ca="1" si="40"/>
        <v>0</v>
      </c>
      <c r="E96" s="84">
        <f t="shared" ca="1" si="44"/>
        <v>0</v>
      </c>
      <c r="F96" s="135">
        <f t="shared" ca="1" si="55"/>
        <v>0</v>
      </c>
      <c r="G96" s="409">
        <f t="shared" ca="1" si="41"/>
        <v>0</v>
      </c>
      <c r="H96" s="409">
        <f t="shared" ca="1" si="42"/>
        <v>0</v>
      </c>
      <c r="I96" s="275">
        <f t="shared" ca="1" si="56"/>
        <v>0</v>
      </c>
      <c r="J96" s="275">
        <f t="shared" ca="1" si="45"/>
        <v>0</v>
      </c>
      <c r="K96" s="137">
        <f t="shared" ca="1" si="58"/>
        <v>0</v>
      </c>
      <c r="L96" s="15" t="str">
        <f t="shared" ca="1" si="38"/>
        <v>F</v>
      </c>
      <c r="M96" s="88">
        <f t="shared" ca="1" si="38"/>
        <v>0</v>
      </c>
      <c r="N96" s="88">
        <f t="shared" ca="1" si="38"/>
        <v>0</v>
      </c>
      <c r="O96" s="432">
        <v>1000000000000000</v>
      </c>
      <c r="P96" s="69">
        <v>109575</v>
      </c>
      <c r="Q96" s="3">
        <f t="shared" si="46"/>
        <v>64590</v>
      </c>
      <c r="R96" s="107">
        <f t="shared" ca="1" si="47"/>
        <v>18.29</v>
      </c>
      <c r="S96" s="105">
        <f t="shared" ca="1" si="48"/>
        <v>25727391.2880999</v>
      </c>
      <c r="T96" s="341">
        <v>0</v>
      </c>
      <c r="U96" s="341">
        <v>0.11849999999999999</v>
      </c>
      <c r="V96" s="341">
        <v>0.11849999999999999</v>
      </c>
      <c r="W96" s="341">
        <v>0.11849999999999999</v>
      </c>
      <c r="X96" s="281">
        <f t="shared" si="33"/>
        <v>0.02</v>
      </c>
      <c r="Y96" s="282">
        <f t="shared" si="57"/>
        <v>0.1</v>
      </c>
      <c r="AA96" s="391">
        <f t="shared" ca="1" si="49"/>
        <v>0</v>
      </c>
      <c r="AB96" s="400">
        <f t="shared" ca="1" si="49"/>
        <v>0</v>
      </c>
      <c r="AC96" s="258">
        <f t="shared" ca="1" si="49"/>
        <v>0</v>
      </c>
      <c r="AD96" s="258">
        <f t="shared" ca="1" si="49"/>
        <v>0</v>
      </c>
      <c r="AE96" s="402">
        <f t="shared" ca="1" si="49"/>
        <v>0</v>
      </c>
      <c r="AF96" s="402">
        <f t="shared" ca="1" si="49"/>
        <v>0</v>
      </c>
      <c r="AG96" s="404">
        <f t="shared" ca="1" si="50"/>
        <v>0</v>
      </c>
      <c r="AH96" s="415">
        <f t="shared" ca="1" si="51"/>
        <v>0</v>
      </c>
      <c r="AI96" s="415">
        <f t="shared" ca="1" si="52"/>
        <v>0</v>
      </c>
      <c r="AJ96" s="416">
        <f t="shared" ca="1" si="53"/>
        <v>0</v>
      </c>
      <c r="AK96" s="416">
        <f t="shared" ca="1" si="54"/>
        <v>0</v>
      </c>
      <c r="AL96" s="417">
        <v>0</v>
      </c>
      <c r="AM96" s="269">
        <f t="shared" ca="1" si="60"/>
        <v>0</v>
      </c>
      <c r="AN96" s="422">
        <f t="shared" ca="1" si="39"/>
        <v>18.380000000000003</v>
      </c>
      <c r="AO96" s="423">
        <f t="shared" ca="1" si="39"/>
        <v>25893685.458928723</v>
      </c>
      <c r="AP96" s="271">
        <f t="shared" ca="1" si="39"/>
        <v>0</v>
      </c>
      <c r="AQ96" s="271">
        <f t="shared" ca="1" si="39"/>
        <v>0.11849999999999999</v>
      </c>
      <c r="AR96" s="271">
        <f t="shared" ca="1" si="39"/>
        <v>0.11849999999999999</v>
      </c>
      <c r="AS96" s="271">
        <f t="shared" ca="1" si="39"/>
        <v>0.11849999999999999</v>
      </c>
      <c r="AT96" s="271">
        <f t="shared" ca="1" si="39"/>
        <v>0.02</v>
      </c>
      <c r="AU96" s="278">
        <f t="shared" ca="1" si="37"/>
        <v>0.1</v>
      </c>
    </row>
    <row r="97" spans="2:47" ht="13.15" thickBot="1" x14ac:dyDescent="0.4">
      <c r="B97" s="18">
        <f t="shared" si="59"/>
        <v>78</v>
      </c>
      <c r="C97" s="85">
        <f t="shared" ca="1" si="43"/>
        <v>0</v>
      </c>
      <c r="D97" s="85">
        <f t="shared" ca="1" si="40"/>
        <v>0</v>
      </c>
      <c r="E97" s="84">
        <f t="shared" ca="1" si="44"/>
        <v>0</v>
      </c>
      <c r="F97" s="135">
        <f t="shared" ca="1" si="55"/>
        <v>0</v>
      </c>
      <c r="G97" s="409">
        <f t="shared" ca="1" si="41"/>
        <v>0</v>
      </c>
      <c r="H97" s="409">
        <f t="shared" ca="1" si="42"/>
        <v>0</v>
      </c>
      <c r="I97" s="275">
        <f t="shared" ca="1" si="56"/>
        <v>0</v>
      </c>
      <c r="J97" s="275">
        <f t="shared" ca="1" si="45"/>
        <v>0</v>
      </c>
      <c r="K97" s="137">
        <f t="shared" ca="1" si="58"/>
        <v>0</v>
      </c>
      <c r="L97" s="15" t="str">
        <f t="shared" ca="1" si="38"/>
        <v>F</v>
      </c>
      <c r="M97" s="88">
        <f t="shared" ca="1" si="38"/>
        <v>0</v>
      </c>
      <c r="N97" s="88">
        <f t="shared" ca="1" si="38"/>
        <v>0</v>
      </c>
      <c r="O97" s="432">
        <v>1000000000000000</v>
      </c>
      <c r="P97" s="69">
        <v>109575</v>
      </c>
      <c r="Q97" s="3">
        <f t="shared" si="46"/>
        <v>64590</v>
      </c>
      <c r="R97" s="107">
        <f t="shared" ca="1" si="47"/>
        <v>18.29</v>
      </c>
      <c r="S97" s="105">
        <f t="shared" ca="1" si="48"/>
        <v>25727391.2880999</v>
      </c>
      <c r="T97" s="341">
        <v>0</v>
      </c>
      <c r="U97" s="341">
        <v>0.11849999999999999</v>
      </c>
      <c r="V97" s="341">
        <v>0.11849999999999999</v>
      </c>
      <c r="W97" s="341">
        <v>0.11849999999999999</v>
      </c>
      <c r="X97" s="281">
        <f t="shared" ref="X97:X110" si="61">$I$10</f>
        <v>0.02</v>
      </c>
      <c r="Y97" s="282">
        <f t="shared" si="57"/>
        <v>0.1</v>
      </c>
      <c r="AA97" s="391">
        <f t="shared" ca="1" si="49"/>
        <v>0</v>
      </c>
      <c r="AB97" s="400">
        <f t="shared" ca="1" si="49"/>
        <v>0</v>
      </c>
      <c r="AC97" s="258">
        <f t="shared" ca="1" si="49"/>
        <v>0</v>
      </c>
      <c r="AD97" s="258">
        <f t="shared" ca="1" si="49"/>
        <v>0</v>
      </c>
      <c r="AE97" s="402">
        <f t="shared" ca="1" si="49"/>
        <v>0</v>
      </c>
      <c r="AF97" s="402">
        <f t="shared" ca="1" si="49"/>
        <v>0</v>
      </c>
      <c r="AG97" s="404">
        <f t="shared" ca="1" si="50"/>
        <v>0</v>
      </c>
      <c r="AH97" s="415">
        <f t="shared" ca="1" si="51"/>
        <v>0</v>
      </c>
      <c r="AI97" s="415">
        <f t="shared" ca="1" si="52"/>
        <v>0</v>
      </c>
      <c r="AJ97" s="416">
        <f t="shared" ca="1" si="53"/>
        <v>0</v>
      </c>
      <c r="AK97" s="416">
        <f t="shared" ca="1" si="54"/>
        <v>0</v>
      </c>
      <c r="AL97" s="417">
        <v>0</v>
      </c>
      <c r="AM97" s="269">
        <f t="shared" ca="1" si="60"/>
        <v>0</v>
      </c>
      <c r="AN97" s="422">
        <f t="shared" ca="1" si="39"/>
        <v>18.380000000000003</v>
      </c>
      <c r="AO97" s="423">
        <f t="shared" ca="1" si="39"/>
        <v>25893685.458928723</v>
      </c>
      <c r="AP97" s="271">
        <f t="shared" ca="1" si="39"/>
        <v>0</v>
      </c>
      <c r="AQ97" s="271">
        <f t="shared" ca="1" si="39"/>
        <v>0.11849999999999999</v>
      </c>
      <c r="AR97" s="271">
        <f t="shared" ca="1" si="39"/>
        <v>0.11849999999999999</v>
      </c>
      <c r="AS97" s="271">
        <f t="shared" ca="1" si="39"/>
        <v>0.11849999999999999</v>
      </c>
      <c r="AT97" s="271">
        <f t="shared" ca="1" si="39"/>
        <v>0.02</v>
      </c>
      <c r="AU97" s="278">
        <f t="shared" ca="1" si="37"/>
        <v>0.1</v>
      </c>
    </row>
    <row r="98" spans="2:47" ht="13.15" thickBot="1" x14ac:dyDescent="0.4">
      <c r="B98" s="18">
        <f t="shared" si="59"/>
        <v>79</v>
      </c>
      <c r="C98" s="85">
        <f t="shared" ca="1" si="43"/>
        <v>0</v>
      </c>
      <c r="D98" s="85">
        <f t="shared" ca="1" si="40"/>
        <v>0</v>
      </c>
      <c r="E98" s="84">
        <f t="shared" ca="1" si="44"/>
        <v>0</v>
      </c>
      <c r="F98" s="135">
        <f t="shared" ca="1" si="55"/>
        <v>0</v>
      </c>
      <c r="G98" s="409">
        <f t="shared" ca="1" si="41"/>
        <v>0</v>
      </c>
      <c r="H98" s="409">
        <f t="shared" ca="1" si="42"/>
        <v>0</v>
      </c>
      <c r="I98" s="275">
        <f t="shared" ca="1" si="56"/>
        <v>0</v>
      </c>
      <c r="J98" s="275">
        <f t="shared" ca="1" si="45"/>
        <v>0</v>
      </c>
      <c r="K98" s="137">
        <f t="shared" ca="1" si="58"/>
        <v>0</v>
      </c>
      <c r="L98" s="15" t="str">
        <f t="shared" ca="1" si="38"/>
        <v>F</v>
      </c>
      <c r="M98" s="88">
        <f t="shared" ca="1" si="38"/>
        <v>0</v>
      </c>
      <c r="N98" s="88">
        <f t="shared" ca="1" si="38"/>
        <v>0</v>
      </c>
      <c r="O98" s="432">
        <v>1000000000000000</v>
      </c>
      <c r="P98" s="69">
        <v>109575</v>
      </c>
      <c r="Q98" s="3">
        <f t="shared" si="46"/>
        <v>64590</v>
      </c>
      <c r="R98" s="107">
        <f t="shared" ca="1" si="47"/>
        <v>18.29</v>
      </c>
      <c r="S98" s="105">
        <f t="shared" ca="1" si="48"/>
        <v>25727391.2880999</v>
      </c>
      <c r="T98" s="341">
        <v>0</v>
      </c>
      <c r="U98" s="341">
        <v>0.11849999999999999</v>
      </c>
      <c r="V98" s="341">
        <v>0.11849999999999999</v>
      </c>
      <c r="W98" s="341">
        <v>0.11849999999999999</v>
      </c>
      <c r="X98" s="281">
        <f t="shared" si="61"/>
        <v>0.02</v>
      </c>
      <c r="Y98" s="282">
        <f t="shared" si="57"/>
        <v>0.1</v>
      </c>
      <c r="AA98" s="391">
        <f t="shared" ca="1" si="49"/>
        <v>0</v>
      </c>
      <c r="AB98" s="400">
        <f t="shared" ca="1" si="49"/>
        <v>0</v>
      </c>
      <c r="AC98" s="258">
        <f t="shared" ca="1" si="49"/>
        <v>0</v>
      </c>
      <c r="AD98" s="258">
        <f t="shared" ca="1" si="49"/>
        <v>0</v>
      </c>
      <c r="AE98" s="402">
        <f t="shared" ca="1" si="49"/>
        <v>0</v>
      </c>
      <c r="AF98" s="402">
        <f t="shared" ca="1" si="49"/>
        <v>0</v>
      </c>
      <c r="AG98" s="404">
        <f t="shared" ca="1" si="50"/>
        <v>0</v>
      </c>
      <c r="AH98" s="415">
        <f t="shared" ca="1" si="51"/>
        <v>0</v>
      </c>
      <c r="AI98" s="415">
        <f t="shared" ca="1" si="52"/>
        <v>0</v>
      </c>
      <c r="AJ98" s="416">
        <f t="shared" ca="1" si="53"/>
        <v>0</v>
      </c>
      <c r="AK98" s="416">
        <f t="shared" ca="1" si="54"/>
        <v>0</v>
      </c>
      <c r="AL98" s="417">
        <v>0</v>
      </c>
      <c r="AM98" s="269">
        <f t="shared" ca="1" si="60"/>
        <v>0</v>
      </c>
      <c r="AN98" s="422">
        <f t="shared" ca="1" si="39"/>
        <v>18.380000000000003</v>
      </c>
      <c r="AO98" s="423">
        <f t="shared" ca="1" si="39"/>
        <v>25893685.458928723</v>
      </c>
      <c r="AP98" s="271">
        <f t="shared" ca="1" si="39"/>
        <v>0</v>
      </c>
      <c r="AQ98" s="271">
        <f t="shared" ca="1" si="39"/>
        <v>0.11849999999999999</v>
      </c>
      <c r="AR98" s="271">
        <f t="shared" ca="1" si="39"/>
        <v>0.11849999999999999</v>
      </c>
      <c r="AS98" s="271">
        <f t="shared" ca="1" si="39"/>
        <v>0.11849999999999999</v>
      </c>
      <c r="AT98" s="271">
        <f t="shared" ca="1" si="39"/>
        <v>0.02</v>
      </c>
      <c r="AU98" s="278">
        <f t="shared" ca="1" si="37"/>
        <v>0.1</v>
      </c>
    </row>
    <row r="99" spans="2:47" ht="13.15" thickBot="1" x14ac:dyDescent="0.4">
      <c r="B99" s="18">
        <f t="shared" si="59"/>
        <v>80</v>
      </c>
      <c r="C99" s="85">
        <f t="shared" ca="1" si="43"/>
        <v>0</v>
      </c>
      <c r="D99" s="85">
        <f t="shared" ca="1" si="40"/>
        <v>0</v>
      </c>
      <c r="E99" s="84">
        <f t="shared" ca="1" si="44"/>
        <v>0</v>
      </c>
      <c r="F99" s="135">
        <f t="shared" ca="1" si="55"/>
        <v>0</v>
      </c>
      <c r="G99" s="409">
        <f t="shared" ca="1" si="41"/>
        <v>0</v>
      </c>
      <c r="H99" s="409">
        <f t="shared" ca="1" si="42"/>
        <v>0</v>
      </c>
      <c r="I99" s="275">
        <f t="shared" ca="1" si="56"/>
        <v>0</v>
      </c>
      <c r="J99" s="275">
        <f t="shared" ca="1" si="45"/>
        <v>0</v>
      </c>
      <c r="K99" s="137">
        <f t="shared" ca="1" si="58"/>
        <v>0</v>
      </c>
      <c r="L99" s="15" t="str">
        <f t="shared" ca="1" si="38"/>
        <v>F</v>
      </c>
      <c r="M99" s="88">
        <f t="shared" ca="1" si="38"/>
        <v>0</v>
      </c>
      <c r="N99" s="88">
        <f t="shared" ca="1" si="38"/>
        <v>0</v>
      </c>
      <c r="O99" s="432">
        <v>1000000000000000</v>
      </c>
      <c r="P99" s="69">
        <v>109575</v>
      </c>
      <c r="Q99" s="3">
        <f t="shared" si="46"/>
        <v>64590</v>
      </c>
      <c r="R99" s="107">
        <f t="shared" ca="1" si="47"/>
        <v>18.29</v>
      </c>
      <c r="S99" s="105">
        <f t="shared" ca="1" si="48"/>
        <v>25727391.2880999</v>
      </c>
      <c r="T99" s="341">
        <v>0</v>
      </c>
      <c r="U99" s="341">
        <v>0.11849999999999999</v>
      </c>
      <c r="V99" s="341">
        <v>0.11849999999999999</v>
      </c>
      <c r="W99" s="341">
        <v>0.11849999999999999</v>
      </c>
      <c r="X99" s="281">
        <f t="shared" si="61"/>
        <v>0.02</v>
      </c>
      <c r="Y99" s="282">
        <f t="shared" si="57"/>
        <v>0.1</v>
      </c>
      <c r="AA99" s="391">
        <f t="shared" ca="1" si="49"/>
        <v>0</v>
      </c>
      <c r="AB99" s="400">
        <f t="shared" ca="1" si="49"/>
        <v>0</v>
      </c>
      <c r="AC99" s="258">
        <f t="shared" ca="1" si="49"/>
        <v>0</v>
      </c>
      <c r="AD99" s="258">
        <f t="shared" ca="1" si="49"/>
        <v>0</v>
      </c>
      <c r="AE99" s="402">
        <f t="shared" ca="1" si="49"/>
        <v>0</v>
      </c>
      <c r="AF99" s="402">
        <f t="shared" ca="1" si="49"/>
        <v>0</v>
      </c>
      <c r="AG99" s="404">
        <f t="shared" ca="1" si="50"/>
        <v>0</v>
      </c>
      <c r="AH99" s="415">
        <f t="shared" ca="1" si="51"/>
        <v>0</v>
      </c>
      <c r="AI99" s="415">
        <f t="shared" ca="1" si="52"/>
        <v>0</v>
      </c>
      <c r="AJ99" s="416">
        <f t="shared" ca="1" si="53"/>
        <v>0</v>
      </c>
      <c r="AK99" s="416">
        <f t="shared" ca="1" si="54"/>
        <v>0</v>
      </c>
      <c r="AL99" s="417">
        <v>0</v>
      </c>
      <c r="AM99" s="269">
        <f t="shared" ca="1" si="60"/>
        <v>0</v>
      </c>
      <c r="AN99" s="422">
        <f t="shared" ca="1" si="39"/>
        <v>18.380000000000003</v>
      </c>
      <c r="AO99" s="423">
        <f t="shared" ca="1" si="39"/>
        <v>25893685.458928723</v>
      </c>
      <c r="AP99" s="271">
        <f t="shared" ca="1" si="39"/>
        <v>0</v>
      </c>
      <c r="AQ99" s="271">
        <f t="shared" ca="1" si="39"/>
        <v>0.11849999999999999</v>
      </c>
      <c r="AR99" s="271">
        <f t="shared" ca="1" si="39"/>
        <v>0.11849999999999999</v>
      </c>
      <c r="AS99" s="271">
        <f t="shared" ca="1" si="39"/>
        <v>0.11849999999999999</v>
      </c>
      <c r="AT99" s="271">
        <f t="shared" ca="1" si="39"/>
        <v>0.02</v>
      </c>
      <c r="AU99" s="278">
        <f t="shared" ca="1" si="37"/>
        <v>0.1</v>
      </c>
    </row>
    <row r="100" spans="2:47" ht="13.15" thickBot="1" x14ac:dyDescent="0.4">
      <c r="B100" s="18">
        <f t="shared" si="59"/>
        <v>81</v>
      </c>
      <c r="C100" s="85">
        <f t="shared" ca="1" si="43"/>
        <v>0</v>
      </c>
      <c r="D100" s="85">
        <f t="shared" ca="1" si="40"/>
        <v>0</v>
      </c>
      <c r="E100" s="84">
        <f t="shared" ca="1" si="44"/>
        <v>0</v>
      </c>
      <c r="F100" s="135">
        <f t="shared" ca="1" si="55"/>
        <v>0</v>
      </c>
      <c r="G100" s="409">
        <f t="shared" ca="1" si="41"/>
        <v>0</v>
      </c>
      <c r="H100" s="409">
        <f t="shared" ca="1" si="42"/>
        <v>0</v>
      </c>
      <c r="I100" s="275">
        <f t="shared" ca="1" si="56"/>
        <v>0</v>
      </c>
      <c r="J100" s="275">
        <f t="shared" ca="1" si="45"/>
        <v>0</v>
      </c>
      <c r="K100" s="137">
        <f t="shared" ca="1" si="58"/>
        <v>0</v>
      </c>
      <c r="L100" s="15" t="str">
        <f t="shared" ca="1" si="38"/>
        <v>F</v>
      </c>
      <c r="M100" s="88">
        <f t="shared" ca="1" si="38"/>
        <v>0</v>
      </c>
      <c r="N100" s="88">
        <f t="shared" ca="1" si="38"/>
        <v>0</v>
      </c>
      <c r="O100" s="432">
        <v>1000000000000000</v>
      </c>
      <c r="P100" s="69">
        <v>109575</v>
      </c>
      <c r="Q100" s="3">
        <f t="shared" si="46"/>
        <v>64590</v>
      </c>
      <c r="R100" s="107">
        <f t="shared" ca="1" si="47"/>
        <v>18.29</v>
      </c>
      <c r="S100" s="105">
        <f t="shared" ca="1" si="48"/>
        <v>25727391.2880999</v>
      </c>
      <c r="T100" s="341">
        <v>0</v>
      </c>
      <c r="U100" s="341">
        <v>0.11849999999999999</v>
      </c>
      <c r="V100" s="341">
        <v>0.11849999999999999</v>
      </c>
      <c r="W100" s="341">
        <v>0.11849999999999999</v>
      </c>
      <c r="X100" s="281">
        <f t="shared" si="61"/>
        <v>0.02</v>
      </c>
      <c r="Y100" s="282">
        <f t="shared" si="57"/>
        <v>0.1</v>
      </c>
      <c r="AA100" s="391">
        <f t="shared" ca="1" si="49"/>
        <v>0</v>
      </c>
      <c r="AB100" s="400">
        <f t="shared" ca="1" si="49"/>
        <v>0</v>
      </c>
      <c r="AC100" s="258">
        <f t="shared" ca="1" si="49"/>
        <v>0</v>
      </c>
      <c r="AD100" s="258">
        <f t="shared" ca="1" si="49"/>
        <v>0</v>
      </c>
      <c r="AE100" s="402">
        <f t="shared" ca="1" si="49"/>
        <v>0</v>
      </c>
      <c r="AF100" s="402">
        <f t="shared" ca="1" si="49"/>
        <v>0</v>
      </c>
      <c r="AG100" s="404">
        <f t="shared" ca="1" si="50"/>
        <v>0</v>
      </c>
      <c r="AH100" s="415">
        <f t="shared" ca="1" si="51"/>
        <v>0</v>
      </c>
      <c r="AI100" s="415">
        <f t="shared" ca="1" si="52"/>
        <v>0</v>
      </c>
      <c r="AJ100" s="416">
        <f t="shared" ca="1" si="53"/>
        <v>0</v>
      </c>
      <c r="AK100" s="416">
        <f t="shared" ca="1" si="54"/>
        <v>0</v>
      </c>
      <c r="AL100" s="417">
        <v>0</v>
      </c>
      <c r="AM100" s="269">
        <f t="shared" ca="1" si="60"/>
        <v>0</v>
      </c>
      <c r="AN100" s="422">
        <f t="shared" ca="1" si="39"/>
        <v>18.380000000000003</v>
      </c>
      <c r="AO100" s="423">
        <f t="shared" ca="1" si="39"/>
        <v>25893685.458928723</v>
      </c>
      <c r="AP100" s="271">
        <f t="shared" ca="1" si="39"/>
        <v>0</v>
      </c>
      <c r="AQ100" s="271">
        <f t="shared" ca="1" si="39"/>
        <v>0.11849999999999999</v>
      </c>
      <c r="AR100" s="271">
        <f t="shared" ca="1" si="39"/>
        <v>0.11849999999999999</v>
      </c>
      <c r="AS100" s="271">
        <f t="shared" ca="1" si="39"/>
        <v>0.11849999999999999</v>
      </c>
      <c r="AT100" s="271">
        <f t="shared" ca="1" si="39"/>
        <v>0.02</v>
      </c>
      <c r="AU100" s="278">
        <f t="shared" ca="1" si="37"/>
        <v>0.1</v>
      </c>
    </row>
    <row r="101" spans="2:47" ht="13.15" thickBot="1" x14ac:dyDescent="0.4">
      <c r="B101" s="18">
        <f t="shared" si="59"/>
        <v>82</v>
      </c>
      <c r="C101" s="85">
        <f t="shared" ca="1" si="43"/>
        <v>0</v>
      </c>
      <c r="D101" s="85">
        <f t="shared" ca="1" si="40"/>
        <v>0</v>
      </c>
      <c r="E101" s="84">
        <f t="shared" ca="1" si="44"/>
        <v>0</v>
      </c>
      <c r="F101" s="135">
        <f t="shared" ca="1" si="55"/>
        <v>0</v>
      </c>
      <c r="G101" s="409">
        <f t="shared" ca="1" si="41"/>
        <v>0</v>
      </c>
      <c r="H101" s="409">
        <f t="shared" ca="1" si="42"/>
        <v>0</v>
      </c>
      <c r="I101" s="275">
        <f t="shared" ca="1" si="56"/>
        <v>0</v>
      </c>
      <c r="J101" s="275">
        <f t="shared" ca="1" si="45"/>
        <v>0</v>
      </c>
      <c r="K101" s="137">
        <f t="shared" ca="1" si="58"/>
        <v>0</v>
      </c>
      <c r="L101" s="15" t="str">
        <f t="shared" ca="1" si="38"/>
        <v>F</v>
      </c>
      <c r="M101" s="88">
        <f t="shared" ca="1" si="38"/>
        <v>0</v>
      </c>
      <c r="N101" s="88">
        <f t="shared" ca="1" si="38"/>
        <v>0</v>
      </c>
      <c r="O101" s="432">
        <v>1000000000000000</v>
      </c>
      <c r="P101" s="69">
        <v>109575</v>
      </c>
      <c r="Q101" s="3">
        <f t="shared" si="46"/>
        <v>64590</v>
      </c>
      <c r="R101" s="107">
        <f t="shared" ca="1" si="47"/>
        <v>18.29</v>
      </c>
      <c r="S101" s="105">
        <f t="shared" ca="1" si="48"/>
        <v>25727391.2880999</v>
      </c>
      <c r="T101" s="341">
        <v>0</v>
      </c>
      <c r="U101" s="341">
        <v>0.11849999999999999</v>
      </c>
      <c r="V101" s="341">
        <v>0.11849999999999999</v>
      </c>
      <c r="W101" s="341">
        <v>0.11849999999999999</v>
      </c>
      <c r="X101" s="281">
        <f t="shared" si="61"/>
        <v>0.02</v>
      </c>
      <c r="Y101" s="282">
        <f t="shared" si="57"/>
        <v>0.1</v>
      </c>
      <c r="AA101" s="391">
        <f t="shared" ca="1" si="49"/>
        <v>0</v>
      </c>
      <c r="AB101" s="400">
        <f t="shared" ca="1" si="49"/>
        <v>0</v>
      </c>
      <c r="AC101" s="258">
        <f t="shared" ca="1" si="49"/>
        <v>0</v>
      </c>
      <c r="AD101" s="258">
        <f t="shared" ca="1" si="49"/>
        <v>0</v>
      </c>
      <c r="AE101" s="402">
        <f t="shared" ca="1" si="49"/>
        <v>0</v>
      </c>
      <c r="AF101" s="402">
        <f t="shared" ca="1" si="49"/>
        <v>0</v>
      </c>
      <c r="AG101" s="404">
        <f t="shared" ca="1" si="50"/>
        <v>0</v>
      </c>
      <c r="AH101" s="415">
        <f t="shared" ca="1" si="51"/>
        <v>0</v>
      </c>
      <c r="AI101" s="415">
        <f t="shared" ca="1" si="52"/>
        <v>0</v>
      </c>
      <c r="AJ101" s="416">
        <f t="shared" ca="1" si="53"/>
        <v>0</v>
      </c>
      <c r="AK101" s="416">
        <f t="shared" ca="1" si="54"/>
        <v>0</v>
      </c>
      <c r="AL101" s="417">
        <v>0</v>
      </c>
      <c r="AM101" s="269">
        <f t="shared" ca="1" si="60"/>
        <v>0</v>
      </c>
      <c r="AN101" s="422">
        <f t="shared" ca="1" si="39"/>
        <v>18.380000000000003</v>
      </c>
      <c r="AO101" s="423">
        <f t="shared" ca="1" si="39"/>
        <v>25893685.458928723</v>
      </c>
      <c r="AP101" s="271">
        <f t="shared" ca="1" si="39"/>
        <v>0</v>
      </c>
      <c r="AQ101" s="271">
        <f t="shared" ca="1" si="39"/>
        <v>0.11849999999999999</v>
      </c>
      <c r="AR101" s="271">
        <f t="shared" ca="1" si="39"/>
        <v>0.11849999999999999</v>
      </c>
      <c r="AS101" s="271">
        <f t="shared" ca="1" si="39"/>
        <v>0.11849999999999999</v>
      </c>
      <c r="AT101" s="271">
        <f t="shared" ca="1" si="39"/>
        <v>0.02</v>
      </c>
      <c r="AU101" s="278">
        <f t="shared" ca="1" si="37"/>
        <v>0.1</v>
      </c>
    </row>
    <row r="102" spans="2:47" ht="13.15" thickBot="1" x14ac:dyDescent="0.4">
      <c r="B102" s="18">
        <f t="shared" si="59"/>
        <v>83</v>
      </c>
      <c r="C102" s="85">
        <f t="shared" ca="1" si="43"/>
        <v>0</v>
      </c>
      <c r="D102" s="85">
        <f t="shared" ca="1" si="40"/>
        <v>0</v>
      </c>
      <c r="E102" s="84">
        <f t="shared" ca="1" si="44"/>
        <v>0</v>
      </c>
      <c r="F102" s="135">
        <f t="shared" ca="1" si="55"/>
        <v>0</v>
      </c>
      <c r="G102" s="409">
        <f t="shared" ca="1" si="41"/>
        <v>0</v>
      </c>
      <c r="H102" s="409">
        <f t="shared" ca="1" si="42"/>
        <v>0</v>
      </c>
      <c r="I102" s="275">
        <f t="shared" ca="1" si="56"/>
        <v>0</v>
      </c>
      <c r="J102" s="275">
        <f t="shared" ca="1" si="45"/>
        <v>0</v>
      </c>
      <c r="K102" s="137">
        <f t="shared" ca="1" si="58"/>
        <v>0</v>
      </c>
      <c r="L102" s="15" t="str">
        <f t="shared" ca="1" si="38"/>
        <v>F</v>
      </c>
      <c r="M102" s="88">
        <f t="shared" ca="1" si="38"/>
        <v>0</v>
      </c>
      <c r="N102" s="88">
        <f t="shared" ca="1" si="38"/>
        <v>0</v>
      </c>
      <c r="O102" s="432">
        <v>1000000000000000</v>
      </c>
      <c r="P102" s="69">
        <v>109575</v>
      </c>
      <c r="Q102" s="3">
        <f t="shared" si="46"/>
        <v>64590</v>
      </c>
      <c r="R102" s="107">
        <f t="shared" ca="1" si="47"/>
        <v>18.29</v>
      </c>
      <c r="S102" s="105">
        <f t="shared" ca="1" si="48"/>
        <v>25727391.2880999</v>
      </c>
      <c r="T102" s="341">
        <v>0</v>
      </c>
      <c r="U102" s="341">
        <v>0.11849999999999999</v>
      </c>
      <c r="V102" s="341">
        <v>0.11849999999999999</v>
      </c>
      <c r="W102" s="341">
        <v>0.11849999999999999</v>
      </c>
      <c r="X102" s="281">
        <f t="shared" si="61"/>
        <v>0.02</v>
      </c>
      <c r="Y102" s="282">
        <f t="shared" si="57"/>
        <v>0.1</v>
      </c>
      <c r="AA102" s="391">
        <f t="shared" ca="1" si="49"/>
        <v>0</v>
      </c>
      <c r="AB102" s="400">
        <f t="shared" ca="1" si="49"/>
        <v>0</v>
      </c>
      <c r="AC102" s="258">
        <f t="shared" ca="1" si="49"/>
        <v>0</v>
      </c>
      <c r="AD102" s="258">
        <f t="shared" ca="1" si="49"/>
        <v>0</v>
      </c>
      <c r="AE102" s="402">
        <f t="shared" ca="1" si="49"/>
        <v>0</v>
      </c>
      <c r="AF102" s="402">
        <f t="shared" ca="1" si="49"/>
        <v>0</v>
      </c>
      <c r="AG102" s="404">
        <f t="shared" ca="1" si="50"/>
        <v>0</v>
      </c>
      <c r="AH102" s="415">
        <f t="shared" ca="1" si="51"/>
        <v>0</v>
      </c>
      <c r="AI102" s="415">
        <f t="shared" ca="1" si="52"/>
        <v>0</v>
      </c>
      <c r="AJ102" s="416">
        <f t="shared" ca="1" si="53"/>
        <v>0</v>
      </c>
      <c r="AK102" s="416">
        <f t="shared" ca="1" si="54"/>
        <v>0</v>
      </c>
      <c r="AL102" s="417">
        <v>0</v>
      </c>
      <c r="AM102" s="269">
        <f t="shared" ca="1" si="60"/>
        <v>0</v>
      </c>
      <c r="AN102" s="422">
        <f t="shared" ca="1" si="39"/>
        <v>18.380000000000003</v>
      </c>
      <c r="AO102" s="423">
        <f t="shared" ca="1" si="39"/>
        <v>25893685.458928723</v>
      </c>
      <c r="AP102" s="271">
        <f t="shared" ca="1" si="39"/>
        <v>0</v>
      </c>
      <c r="AQ102" s="271">
        <f t="shared" ca="1" si="39"/>
        <v>0.11849999999999999</v>
      </c>
      <c r="AR102" s="271">
        <f t="shared" ca="1" si="39"/>
        <v>0.11849999999999999</v>
      </c>
      <c r="AS102" s="271">
        <f t="shared" ca="1" si="39"/>
        <v>0.11849999999999999</v>
      </c>
      <c r="AT102" s="271">
        <f t="shared" ca="1" si="39"/>
        <v>0.02</v>
      </c>
      <c r="AU102" s="278">
        <f t="shared" ca="1" si="37"/>
        <v>0.1</v>
      </c>
    </row>
    <row r="103" spans="2:47" ht="13.15" thickBot="1" x14ac:dyDescent="0.4">
      <c r="B103" s="18">
        <f t="shared" si="59"/>
        <v>84</v>
      </c>
      <c r="C103" s="85">
        <f t="shared" ca="1" si="43"/>
        <v>0</v>
      </c>
      <c r="D103" s="85">
        <f t="shared" ca="1" si="40"/>
        <v>0</v>
      </c>
      <c r="E103" s="84">
        <f t="shared" ca="1" si="44"/>
        <v>0</v>
      </c>
      <c r="F103" s="135">
        <f t="shared" ca="1" si="55"/>
        <v>0</v>
      </c>
      <c r="G103" s="409">
        <f t="shared" ca="1" si="41"/>
        <v>0</v>
      </c>
      <c r="H103" s="409">
        <f t="shared" ca="1" si="42"/>
        <v>0</v>
      </c>
      <c r="I103" s="275">
        <f t="shared" ca="1" si="56"/>
        <v>0</v>
      </c>
      <c r="J103" s="275">
        <f t="shared" ca="1" si="45"/>
        <v>0</v>
      </c>
      <c r="K103" s="137">
        <f t="shared" ca="1" si="58"/>
        <v>0</v>
      </c>
      <c r="L103" s="15" t="str">
        <f t="shared" ca="1" si="38"/>
        <v>F</v>
      </c>
      <c r="M103" s="88">
        <f t="shared" ca="1" si="38"/>
        <v>0</v>
      </c>
      <c r="N103" s="88">
        <f t="shared" ca="1" si="38"/>
        <v>0</v>
      </c>
      <c r="O103" s="432">
        <v>1000000000000000</v>
      </c>
      <c r="P103" s="69">
        <v>109575</v>
      </c>
      <c r="Q103" s="3">
        <f t="shared" si="46"/>
        <v>64590</v>
      </c>
      <c r="R103" s="107">
        <f t="shared" ca="1" si="47"/>
        <v>18.29</v>
      </c>
      <c r="S103" s="105">
        <f t="shared" ca="1" si="48"/>
        <v>25727391.2880999</v>
      </c>
      <c r="T103" s="341">
        <v>0</v>
      </c>
      <c r="U103" s="341">
        <v>0.11849999999999999</v>
      </c>
      <c r="V103" s="341">
        <v>0.11849999999999999</v>
      </c>
      <c r="W103" s="341">
        <v>0.11849999999999999</v>
      </c>
      <c r="X103" s="281">
        <f t="shared" si="61"/>
        <v>0.02</v>
      </c>
      <c r="Y103" s="282">
        <f t="shared" si="57"/>
        <v>0.1</v>
      </c>
      <c r="AA103" s="391">
        <f t="shared" ca="1" si="49"/>
        <v>0</v>
      </c>
      <c r="AB103" s="400">
        <f t="shared" ca="1" si="49"/>
        <v>0</v>
      </c>
      <c r="AC103" s="258">
        <f t="shared" ca="1" si="49"/>
        <v>0</v>
      </c>
      <c r="AD103" s="258">
        <f t="shared" ca="1" si="49"/>
        <v>0</v>
      </c>
      <c r="AE103" s="402">
        <f t="shared" ca="1" si="49"/>
        <v>0</v>
      </c>
      <c r="AF103" s="402">
        <f t="shared" ca="1" si="49"/>
        <v>0</v>
      </c>
      <c r="AG103" s="404">
        <f t="shared" ca="1" si="50"/>
        <v>0</v>
      </c>
      <c r="AH103" s="415">
        <f t="shared" ca="1" si="51"/>
        <v>0</v>
      </c>
      <c r="AI103" s="415">
        <f t="shared" ca="1" si="52"/>
        <v>0</v>
      </c>
      <c r="AJ103" s="416">
        <f t="shared" ca="1" si="53"/>
        <v>0</v>
      </c>
      <c r="AK103" s="416">
        <f t="shared" ca="1" si="54"/>
        <v>0</v>
      </c>
      <c r="AL103" s="417">
        <v>0</v>
      </c>
      <c r="AM103" s="269">
        <f t="shared" ca="1" si="60"/>
        <v>0</v>
      </c>
      <c r="AN103" s="422">
        <f t="shared" ca="1" si="39"/>
        <v>18.380000000000003</v>
      </c>
      <c r="AO103" s="423">
        <f t="shared" ca="1" si="39"/>
        <v>25893685.458928723</v>
      </c>
      <c r="AP103" s="271">
        <f t="shared" ca="1" si="39"/>
        <v>0</v>
      </c>
      <c r="AQ103" s="271">
        <f t="shared" ca="1" si="39"/>
        <v>0.11849999999999999</v>
      </c>
      <c r="AR103" s="271">
        <f t="shared" ca="1" si="39"/>
        <v>0.11849999999999999</v>
      </c>
      <c r="AS103" s="271">
        <f t="shared" ca="1" si="39"/>
        <v>0.11849999999999999</v>
      </c>
      <c r="AT103" s="271">
        <f t="shared" ca="1" si="39"/>
        <v>0.02</v>
      </c>
      <c r="AU103" s="278">
        <f t="shared" ca="1" si="37"/>
        <v>0.1</v>
      </c>
    </row>
    <row r="104" spans="2:47" ht="13.15" thickBot="1" x14ac:dyDescent="0.4">
      <c r="B104" s="18">
        <f t="shared" si="59"/>
        <v>85</v>
      </c>
      <c r="C104" s="85">
        <f t="shared" ca="1" si="43"/>
        <v>0</v>
      </c>
      <c r="D104" s="85">
        <f t="shared" ca="1" si="40"/>
        <v>0</v>
      </c>
      <c r="E104" s="84">
        <f t="shared" ca="1" si="44"/>
        <v>0</v>
      </c>
      <c r="F104" s="135">
        <f t="shared" ca="1" si="55"/>
        <v>0</v>
      </c>
      <c r="G104" s="409">
        <f t="shared" ca="1" si="41"/>
        <v>0</v>
      </c>
      <c r="H104" s="409">
        <f t="shared" ca="1" si="42"/>
        <v>0</v>
      </c>
      <c r="I104" s="275">
        <f t="shared" ca="1" si="56"/>
        <v>0</v>
      </c>
      <c r="J104" s="275">
        <f t="shared" ca="1" si="45"/>
        <v>0</v>
      </c>
      <c r="K104" s="137">
        <f t="shared" ca="1" si="58"/>
        <v>0</v>
      </c>
      <c r="L104" s="15" t="str">
        <f t="shared" ca="1" si="38"/>
        <v>F</v>
      </c>
      <c r="M104" s="88">
        <f t="shared" ca="1" si="38"/>
        <v>0</v>
      </c>
      <c r="N104" s="88">
        <f t="shared" ca="1" si="38"/>
        <v>0</v>
      </c>
      <c r="O104" s="432">
        <v>1000000000000000</v>
      </c>
      <c r="P104" s="69">
        <v>109575</v>
      </c>
      <c r="Q104" s="3">
        <f t="shared" si="46"/>
        <v>64590</v>
      </c>
      <c r="R104" s="107">
        <f t="shared" ca="1" si="47"/>
        <v>18.29</v>
      </c>
      <c r="S104" s="105">
        <f t="shared" ca="1" si="48"/>
        <v>25727391.2880999</v>
      </c>
      <c r="T104" s="341">
        <v>0</v>
      </c>
      <c r="U104" s="341">
        <v>0.11849999999999999</v>
      </c>
      <c r="V104" s="341">
        <v>0.11849999999999999</v>
      </c>
      <c r="W104" s="341">
        <v>0.11849999999999999</v>
      </c>
      <c r="X104" s="281">
        <f t="shared" si="61"/>
        <v>0.02</v>
      </c>
      <c r="Y104" s="282">
        <f t="shared" si="57"/>
        <v>0.1</v>
      </c>
      <c r="AA104" s="391">
        <f t="shared" ca="1" si="49"/>
        <v>0</v>
      </c>
      <c r="AB104" s="400">
        <f t="shared" ca="1" si="49"/>
        <v>0</v>
      </c>
      <c r="AC104" s="258">
        <f t="shared" ca="1" si="49"/>
        <v>0</v>
      </c>
      <c r="AD104" s="258">
        <f t="shared" ca="1" si="49"/>
        <v>0</v>
      </c>
      <c r="AE104" s="402">
        <f t="shared" ca="1" si="49"/>
        <v>0</v>
      </c>
      <c r="AF104" s="402">
        <f t="shared" ca="1" si="49"/>
        <v>0</v>
      </c>
      <c r="AG104" s="404">
        <f t="shared" ca="1" si="50"/>
        <v>0</v>
      </c>
      <c r="AH104" s="415">
        <f t="shared" ca="1" si="51"/>
        <v>0</v>
      </c>
      <c r="AI104" s="415">
        <f t="shared" ca="1" si="52"/>
        <v>0</v>
      </c>
      <c r="AJ104" s="416">
        <f t="shared" ca="1" si="53"/>
        <v>0</v>
      </c>
      <c r="AK104" s="416">
        <f t="shared" ca="1" si="54"/>
        <v>0</v>
      </c>
      <c r="AL104" s="417">
        <v>0</v>
      </c>
      <c r="AM104" s="269">
        <f t="shared" ca="1" si="60"/>
        <v>0</v>
      </c>
      <c r="AN104" s="422">
        <f t="shared" ca="1" si="39"/>
        <v>18.380000000000003</v>
      </c>
      <c r="AO104" s="423">
        <f t="shared" ca="1" si="39"/>
        <v>25893685.458928723</v>
      </c>
      <c r="AP104" s="271">
        <f t="shared" ca="1" si="39"/>
        <v>0</v>
      </c>
      <c r="AQ104" s="271">
        <f t="shared" ca="1" si="39"/>
        <v>0.11849999999999999</v>
      </c>
      <c r="AR104" s="271">
        <f t="shared" ca="1" si="39"/>
        <v>0.11849999999999999</v>
      </c>
      <c r="AS104" s="271">
        <f t="shared" ca="1" si="39"/>
        <v>0.11849999999999999</v>
      </c>
      <c r="AT104" s="271">
        <f t="shared" ca="1" si="39"/>
        <v>0.02</v>
      </c>
      <c r="AU104" s="278">
        <f t="shared" ca="1" si="37"/>
        <v>0.1</v>
      </c>
    </row>
    <row r="105" spans="2:47" ht="13.15" thickBot="1" x14ac:dyDescent="0.4">
      <c r="B105" s="18">
        <f t="shared" si="59"/>
        <v>86</v>
      </c>
      <c r="C105" s="85">
        <f t="shared" ca="1" si="43"/>
        <v>0</v>
      </c>
      <c r="D105" s="85">
        <f t="shared" ca="1" si="40"/>
        <v>0</v>
      </c>
      <c r="E105" s="84">
        <f t="shared" ca="1" si="44"/>
        <v>0</v>
      </c>
      <c r="F105" s="135">
        <f t="shared" ca="1" si="55"/>
        <v>0</v>
      </c>
      <c r="G105" s="409">
        <f t="shared" ca="1" si="41"/>
        <v>0</v>
      </c>
      <c r="H105" s="409">
        <f t="shared" ca="1" si="42"/>
        <v>0</v>
      </c>
      <c r="I105" s="275">
        <f t="shared" ca="1" si="56"/>
        <v>0</v>
      </c>
      <c r="J105" s="275">
        <f t="shared" ca="1" si="45"/>
        <v>0</v>
      </c>
      <c r="K105" s="137">
        <f t="shared" ca="1" si="58"/>
        <v>0</v>
      </c>
      <c r="L105" s="15" t="str">
        <f t="shared" ca="1" si="38"/>
        <v>F</v>
      </c>
      <c r="M105" s="88">
        <f t="shared" ca="1" si="38"/>
        <v>0</v>
      </c>
      <c r="N105" s="88">
        <f t="shared" ca="1" si="38"/>
        <v>0</v>
      </c>
      <c r="O105" s="432">
        <v>1000000000000000</v>
      </c>
      <c r="P105" s="69">
        <v>109575</v>
      </c>
      <c r="Q105" s="3">
        <f t="shared" si="46"/>
        <v>64590</v>
      </c>
      <c r="R105" s="107">
        <f t="shared" ca="1" si="47"/>
        <v>18.29</v>
      </c>
      <c r="S105" s="105">
        <f t="shared" ca="1" si="48"/>
        <v>25727391.2880999</v>
      </c>
      <c r="T105" s="341">
        <v>0</v>
      </c>
      <c r="U105" s="341">
        <v>0.11849999999999999</v>
      </c>
      <c r="V105" s="341">
        <v>0.11849999999999999</v>
      </c>
      <c r="W105" s="341">
        <v>0.11849999999999999</v>
      </c>
      <c r="X105" s="281">
        <f t="shared" si="61"/>
        <v>0.02</v>
      </c>
      <c r="Y105" s="282">
        <f t="shared" si="57"/>
        <v>0.1</v>
      </c>
      <c r="AA105" s="391">
        <f t="shared" ca="1" si="49"/>
        <v>0</v>
      </c>
      <c r="AB105" s="400">
        <f t="shared" ca="1" si="49"/>
        <v>0</v>
      </c>
      <c r="AC105" s="258">
        <f t="shared" ca="1" si="49"/>
        <v>0</v>
      </c>
      <c r="AD105" s="258">
        <f t="shared" ca="1" si="49"/>
        <v>0</v>
      </c>
      <c r="AE105" s="402">
        <f t="shared" ca="1" si="49"/>
        <v>0</v>
      </c>
      <c r="AF105" s="402">
        <f t="shared" ca="1" si="49"/>
        <v>0</v>
      </c>
      <c r="AG105" s="404">
        <f t="shared" ca="1" si="50"/>
        <v>0</v>
      </c>
      <c r="AH105" s="415">
        <f t="shared" ca="1" si="51"/>
        <v>0</v>
      </c>
      <c r="AI105" s="415">
        <f t="shared" ca="1" si="52"/>
        <v>0</v>
      </c>
      <c r="AJ105" s="416">
        <f t="shared" ca="1" si="53"/>
        <v>0</v>
      </c>
      <c r="AK105" s="416">
        <f t="shared" ca="1" si="54"/>
        <v>0</v>
      </c>
      <c r="AL105" s="417">
        <v>0</v>
      </c>
      <c r="AM105" s="269">
        <f t="shared" ca="1" si="60"/>
        <v>0</v>
      </c>
      <c r="AN105" s="422">
        <f t="shared" ca="1" si="39"/>
        <v>18.380000000000003</v>
      </c>
      <c r="AO105" s="423">
        <f t="shared" ca="1" si="39"/>
        <v>25893685.458928723</v>
      </c>
      <c r="AP105" s="271">
        <f t="shared" ca="1" si="39"/>
        <v>0</v>
      </c>
      <c r="AQ105" s="271">
        <f t="shared" ref="AQ105:AT110" ca="1" si="62">INDIRECT("'"&amp; $AB$16 &amp;"'!"&amp; ADDRESS(ROW(U105),COLUMN(U105),4))</f>
        <v>0.11849999999999999</v>
      </c>
      <c r="AR105" s="271">
        <f t="shared" ca="1" si="62"/>
        <v>0.11849999999999999</v>
      </c>
      <c r="AS105" s="271">
        <f t="shared" ca="1" si="62"/>
        <v>0.11849999999999999</v>
      </c>
      <c r="AT105" s="271">
        <f t="shared" ca="1" si="62"/>
        <v>0.02</v>
      </c>
      <c r="AU105" s="278">
        <f t="shared" ca="1" si="37"/>
        <v>0.1</v>
      </c>
    </row>
    <row r="106" spans="2:47" ht="13.15" thickBot="1" x14ac:dyDescent="0.4">
      <c r="B106" s="18">
        <f t="shared" si="59"/>
        <v>87</v>
      </c>
      <c r="C106" s="85">
        <f t="shared" ca="1" si="43"/>
        <v>0</v>
      </c>
      <c r="D106" s="85">
        <f t="shared" ca="1" si="40"/>
        <v>0</v>
      </c>
      <c r="E106" s="84">
        <f t="shared" ca="1" si="44"/>
        <v>0</v>
      </c>
      <c r="F106" s="135">
        <f t="shared" ca="1" si="55"/>
        <v>0</v>
      </c>
      <c r="G106" s="409">
        <f t="shared" ca="1" si="41"/>
        <v>0</v>
      </c>
      <c r="H106" s="409">
        <f t="shared" ca="1" si="42"/>
        <v>0</v>
      </c>
      <c r="I106" s="275">
        <f t="shared" ca="1" si="56"/>
        <v>0</v>
      </c>
      <c r="J106" s="275">
        <f t="shared" ca="1" si="45"/>
        <v>0</v>
      </c>
      <c r="K106" s="137">
        <f t="shared" ca="1" si="58"/>
        <v>0</v>
      </c>
      <c r="L106" s="15" t="str">
        <f t="shared" ca="1" si="38"/>
        <v>F</v>
      </c>
      <c r="M106" s="88">
        <f t="shared" ca="1" si="38"/>
        <v>0</v>
      </c>
      <c r="N106" s="88">
        <f t="shared" ca="1" si="38"/>
        <v>0</v>
      </c>
      <c r="O106" s="432">
        <v>1000000000000000</v>
      </c>
      <c r="P106" s="69">
        <v>109575</v>
      </c>
      <c r="Q106" s="3">
        <f t="shared" si="46"/>
        <v>64590</v>
      </c>
      <c r="R106" s="107">
        <f t="shared" ca="1" si="47"/>
        <v>18.29</v>
      </c>
      <c r="S106" s="105">
        <f t="shared" ca="1" si="48"/>
        <v>25727391.2880999</v>
      </c>
      <c r="T106" s="341">
        <v>0</v>
      </c>
      <c r="U106" s="341">
        <v>0.11849999999999999</v>
      </c>
      <c r="V106" s="341">
        <v>0.11849999999999999</v>
      </c>
      <c r="W106" s="341">
        <v>0.11849999999999999</v>
      </c>
      <c r="X106" s="281">
        <f t="shared" si="61"/>
        <v>0.02</v>
      </c>
      <c r="Y106" s="282">
        <f t="shared" si="57"/>
        <v>0.1</v>
      </c>
      <c r="AA106" s="391">
        <f t="shared" ca="1" si="49"/>
        <v>0</v>
      </c>
      <c r="AB106" s="400">
        <f t="shared" ca="1" si="49"/>
        <v>0</v>
      </c>
      <c r="AC106" s="258">
        <f t="shared" ca="1" si="49"/>
        <v>0</v>
      </c>
      <c r="AD106" s="258">
        <f t="shared" ca="1" si="49"/>
        <v>0</v>
      </c>
      <c r="AE106" s="402">
        <f t="shared" ca="1" si="49"/>
        <v>0</v>
      </c>
      <c r="AF106" s="402">
        <f t="shared" ca="1" si="49"/>
        <v>0</v>
      </c>
      <c r="AG106" s="404">
        <f t="shared" ca="1" si="50"/>
        <v>0</v>
      </c>
      <c r="AH106" s="415">
        <f t="shared" ca="1" si="51"/>
        <v>0</v>
      </c>
      <c r="AI106" s="415">
        <f t="shared" ca="1" si="52"/>
        <v>0</v>
      </c>
      <c r="AJ106" s="416">
        <f t="shared" ca="1" si="53"/>
        <v>0</v>
      </c>
      <c r="AK106" s="416">
        <f t="shared" ca="1" si="54"/>
        <v>0</v>
      </c>
      <c r="AL106" s="417">
        <v>0</v>
      </c>
      <c r="AM106" s="269">
        <f t="shared" ca="1" si="60"/>
        <v>0</v>
      </c>
      <c r="AN106" s="422">
        <f t="shared" ref="AN106:AP110" ca="1" si="63">INDIRECT("'"&amp; $AB$16 &amp;"'!"&amp; ADDRESS(ROW(R106),COLUMN(R106),4))</f>
        <v>18.380000000000003</v>
      </c>
      <c r="AO106" s="423">
        <f t="shared" ca="1" si="63"/>
        <v>25893685.458928723</v>
      </c>
      <c r="AP106" s="271">
        <f t="shared" ca="1" si="63"/>
        <v>0</v>
      </c>
      <c r="AQ106" s="271">
        <f t="shared" ca="1" si="62"/>
        <v>0.11849999999999999</v>
      </c>
      <c r="AR106" s="271">
        <f t="shared" ca="1" si="62"/>
        <v>0.11849999999999999</v>
      </c>
      <c r="AS106" s="271">
        <f t="shared" ca="1" si="62"/>
        <v>0.11849999999999999</v>
      </c>
      <c r="AT106" s="271">
        <f t="shared" ca="1" si="62"/>
        <v>0.02</v>
      </c>
      <c r="AU106" s="278">
        <f t="shared" ca="1" si="37"/>
        <v>0.1</v>
      </c>
    </row>
    <row r="107" spans="2:47" ht="13.15" thickBot="1" x14ac:dyDescent="0.4">
      <c r="B107" s="18">
        <f t="shared" si="59"/>
        <v>88</v>
      </c>
      <c r="C107" s="85">
        <f t="shared" ca="1" si="43"/>
        <v>0</v>
      </c>
      <c r="D107" s="85">
        <f t="shared" ca="1" si="40"/>
        <v>0</v>
      </c>
      <c r="E107" s="84">
        <f t="shared" ca="1" si="44"/>
        <v>0</v>
      </c>
      <c r="F107" s="135">
        <f t="shared" ca="1" si="55"/>
        <v>0</v>
      </c>
      <c r="G107" s="409">
        <f t="shared" ca="1" si="41"/>
        <v>0</v>
      </c>
      <c r="H107" s="409">
        <f t="shared" ca="1" si="42"/>
        <v>0</v>
      </c>
      <c r="I107" s="275">
        <f t="shared" ca="1" si="56"/>
        <v>0</v>
      </c>
      <c r="J107" s="275">
        <f t="shared" ca="1" si="45"/>
        <v>0</v>
      </c>
      <c r="K107" s="137">
        <f t="shared" ca="1" si="58"/>
        <v>0</v>
      </c>
      <c r="L107" s="15" t="str">
        <f t="shared" ca="1" si="38"/>
        <v>F</v>
      </c>
      <c r="M107" s="88">
        <f t="shared" ca="1" si="38"/>
        <v>0</v>
      </c>
      <c r="N107" s="88">
        <f t="shared" ca="1" si="38"/>
        <v>0</v>
      </c>
      <c r="O107" s="432">
        <v>1000000000000000</v>
      </c>
      <c r="P107" s="69">
        <v>109575</v>
      </c>
      <c r="Q107" s="3">
        <f t="shared" si="46"/>
        <v>64590</v>
      </c>
      <c r="R107" s="107">
        <f t="shared" ca="1" si="47"/>
        <v>18.29</v>
      </c>
      <c r="S107" s="105">
        <f t="shared" ca="1" si="48"/>
        <v>25727391.2880999</v>
      </c>
      <c r="T107" s="341">
        <v>0</v>
      </c>
      <c r="U107" s="341">
        <v>0.11849999999999999</v>
      </c>
      <c r="V107" s="341">
        <v>0.11849999999999999</v>
      </c>
      <c r="W107" s="341">
        <v>0.11849999999999999</v>
      </c>
      <c r="X107" s="281">
        <f t="shared" si="61"/>
        <v>0.02</v>
      </c>
      <c r="Y107" s="282">
        <f t="shared" si="57"/>
        <v>0.1</v>
      </c>
      <c r="AA107" s="391">
        <f t="shared" ca="1" si="49"/>
        <v>0</v>
      </c>
      <c r="AB107" s="400">
        <f t="shared" ca="1" si="49"/>
        <v>0</v>
      </c>
      <c r="AC107" s="258">
        <f t="shared" ca="1" si="49"/>
        <v>0</v>
      </c>
      <c r="AD107" s="258">
        <f t="shared" ca="1" si="49"/>
        <v>0</v>
      </c>
      <c r="AE107" s="402">
        <f t="shared" ca="1" si="49"/>
        <v>0</v>
      </c>
      <c r="AF107" s="402">
        <f t="shared" ca="1" si="49"/>
        <v>0</v>
      </c>
      <c r="AG107" s="404">
        <f t="shared" ca="1" si="50"/>
        <v>0</v>
      </c>
      <c r="AH107" s="415">
        <f t="shared" ca="1" si="51"/>
        <v>0</v>
      </c>
      <c r="AI107" s="415">
        <f t="shared" ca="1" si="52"/>
        <v>0</v>
      </c>
      <c r="AJ107" s="416">
        <f t="shared" ca="1" si="53"/>
        <v>0</v>
      </c>
      <c r="AK107" s="416">
        <f t="shared" ca="1" si="54"/>
        <v>0</v>
      </c>
      <c r="AL107" s="417">
        <v>0</v>
      </c>
      <c r="AM107" s="269">
        <f t="shared" ca="1" si="60"/>
        <v>0</v>
      </c>
      <c r="AN107" s="422">
        <f t="shared" ca="1" si="63"/>
        <v>18.380000000000003</v>
      </c>
      <c r="AO107" s="423">
        <f t="shared" ca="1" si="63"/>
        <v>25893685.458928723</v>
      </c>
      <c r="AP107" s="271">
        <f t="shared" ca="1" si="63"/>
        <v>0</v>
      </c>
      <c r="AQ107" s="271">
        <f t="shared" ca="1" si="62"/>
        <v>0.11849999999999999</v>
      </c>
      <c r="AR107" s="271">
        <f t="shared" ca="1" si="62"/>
        <v>0.11849999999999999</v>
      </c>
      <c r="AS107" s="271">
        <f t="shared" ca="1" si="62"/>
        <v>0.11849999999999999</v>
      </c>
      <c r="AT107" s="271">
        <f t="shared" ca="1" si="62"/>
        <v>0.02</v>
      </c>
      <c r="AU107" s="278">
        <f t="shared" ca="1" si="37"/>
        <v>0.1</v>
      </c>
    </row>
    <row r="108" spans="2:47" ht="13.15" thickBot="1" x14ac:dyDescent="0.4">
      <c r="B108" s="18">
        <f t="shared" si="59"/>
        <v>89</v>
      </c>
      <c r="C108" s="85">
        <f t="shared" ca="1" si="43"/>
        <v>0</v>
      </c>
      <c r="D108" s="85">
        <f t="shared" ca="1" si="40"/>
        <v>0</v>
      </c>
      <c r="E108" s="84">
        <f t="shared" ca="1" si="44"/>
        <v>0</v>
      </c>
      <c r="F108" s="135">
        <f t="shared" ca="1" si="55"/>
        <v>0</v>
      </c>
      <c r="G108" s="409">
        <f t="shared" ca="1" si="41"/>
        <v>0</v>
      </c>
      <c r="H108" s="409">
        <f t="shared" ca="1" si="42"/>
        <v>0</v>
      </c>
      <c r="I108" s="275">
        <f t="shared" ca="1" si="56"/>
        <v>0</v>
      </c>
      <c r="J108" s="275">
        <f t="shared" ca="1" si="45"/>
        <v>0</v>
      </c>
      <c r="K108" s="137">
        <f t="shared" ca="1" si="58"/>
        <v>0</v>
      </c>
      <c r="L108" s="15" t="str">
        <f t="shared" ca="1" si="38"/>
        <v>F</v>
      </c>
      <c r="M108" s="88">
        <f t="shared" ca="1" si="38"/>
        <v>0</v>
      </c>
      <c r="N108" s="88">
        <f t="shared" ca="1" si="38"/>
        <v>0</v>
      </c>
      <c r="O108" s="432">
        <v>1000000000000000</v>
      </c>
      <c r="P108" s="69">
        <v>109575</v>
      </c>
      <c r="Q108" s="3">
        <f t="shared" si="46"/>
        <v>64590</v>
      </c>
      <c r="R108" s="107">
        <f t="shared" ca="1" si="47"/>
        <v>18.29</v>
      </c>
      <c r="S108" s="105">
        <f t="shared" ca="1" si="48"/>
        <v>25727391.2880999</v>
      </c>
      <c r="T108" s="341">
        <v>0</v>
      </c>
      <c r="U108" s="341">
        <v>0.11849999999999999</v>
      </c>
      <c r="V108" s="341">
        <v>0.11849999999999999</v>
      </c>
      <c r="W108" s="341">
        <v>0.11849999999999999</v>
      </c>
      <c r="X108" s="281">
        <f t="shared" si="61"/>
        <v>0.02</v>
      </c>
      <c r="Y108" s="282">
        <f t="shared" si="57"/>
        <v>0.1</v>
      </c>
      <c r="AA108" s="391">
        <f t="shared" ca="1" si="49"/>
        <v>0</v>
      </c>
      <c r="AB108" s="400">
        <f t="shared" ca="1" si="49"/>
        <v>0</v>
      </c>
      <c r="AC108" s="258">
        <f t="shared" ca="1" si="49"/>
        <v>0</v>
      </c>
      <c r="AD108" s="258">
        <f t="shared" ca="1" si="49"/>
        <v>0</v>
      </c>
      <c r="AE108" s="402">
        <f t="shared" ca="1" si="49"/>
        <v>0</v>
      </c>
      <c r="AF108" s="402">
        <f t="shared" ca="1" si="49"/>
        <v>0</v>
      </c>
      <c r="AG108" s="404">
        <f t="shared" ca="1" si="50"/>
        <v>0</v>
      </c>
      <c r="AH108" s="415">
        <f t="shared" ca="1" si="51"/>
        <v>0</v>
      </c>
      <c r="AI108" s="415">
        <f t="shared" ca="1" si="52"/>
        <v>0</v>
      </c>
      <c r="AJ108" s="416">
        <f t="shared" ca="1" si="53"/>
        <v>0</v>
      </c>
      <c r="AK108" s="416">
        <f t="shared" ca="1" si="54"/>
        <v>0</v>
      </c>
      <c r="AL108" s="417">
        <v>0</v>
      </c>
      <c r="AM108" s="269">
        <f t="shared" ca="1" si="60"/>
        <v>0</v>
      </c>
      <c r="AN108" s="422">
        <f t="shared" ca="1" si="63"/>
        <v>18.380000000000003</v>
      </c>
      <c r="AO108" s="423">
        <f t="shared" ca="1" si="63"/>
        <v>25893685.458928723</v>
      </c>
      <c r="AP108" s="271">
        <f t="shared" ca="1" si="63"/>
        <v>0</v>
      </c>
      <c r="AQ108" s="271">
        <f t="shared" ca="1" si="62"/>
        <v>0.11849999999999999</v>
      </c>
      <c r="AR108" s="271">
        <f t="shared" ca="1" si="62"/>
        <v>0.11849999999999999</v>
      </c>
      <c r="AS108" s="271">
        <f t="shared" ca="1" si="62"/>
        <v>0.11849999999999999</v>
      </c>
      <c r="AT108" s="271">
        <f t="shared" ca="1" si="62"/>
        <v>0.02</v>
      </c>
      <c r="AU108" s="278">
        <f t="shared" ca="1" si="37"/>
        <v>0.1</v>
      </c>
    </row>
    <row r="109" spans="2:47" ht="13.15" thickBot="1" x14ac:dyDescent="0.4">
      <c r="B109" s="18">
        <f t="shared" si="59"/>
        <v>90</v>
      </c>
      <c r="C109" s="85">
        <f t="shared" ca="1" si="43"/>
        <v>0</v>
      </c>
      <c r="D109" s="85">
        <f t="shared" ca="1" si="40"/>
        <v>0</v>
      </c>
      <c r="E109" s="84">
        <f t="shared" ca="1" si="44"/>
        <v>0</v>
      </c>
      <c r="F109" s="135">
        <f t="shared" ca="1" si="55"/>
        <v>0</v>
      </c>
      <c r="G109" s="409">
        <f t="shared" ca="1" si="41"/>
        <v>0</v>
      </c>
      <c r="H109" s="409">
        <f t="shared" ca="1" si="42"/>
        <v>0</v>
      </c>
      <c r="I109" s="275">
        <f t="shared" ca="1" si="56"/>
        <v>0</v>
      </c>
      <c r="J109" s="275">
        <f t="shared" ca="1" si="45"/>
        <v>0</v>
      </c>
      <c r="K109" s="137">
        <f t="shared" ca="1" si="58"/>
        <v>0</v>
      </c>
      <c r="L109" s="15" t="str">
        <f t="shared" ca="1" si="38"/>
        <v>F</v>
      </c>
      <c r="M109" s="88">
        <f t="shared" ca="1" si="38"/>
        <v>0</v>
      </c>
      <c r="N109" s="88">
        <f t="shared" ca="1" si="38"/>
        <v>0</v>
      </c>
      <c r="O109" s="432">
        <v>1000000000000000</v>
      </c>
      <c r="P109" s="69">
        <v>109575</v>
      </c>
      <c r="Q109" s="3">
        <f t="shared" si="46"/>
        <v>64590</v>
      </c>
      <c r="R109" s="107">
        <f t="shared" ca="1" si="47"/>
        <v>18.29</v>
      </c>
      <c r="S109" s="105">
        <f t="shared" ca="1" si="48"/>
        <v>25727391.2880999</v>
      </c>
      <c r="T109" s="341">
        <v>0</v>
      </c>
      <c r="U109" s="341">
        <v>0.11849999999999999</v>
      </c>
      <c r="V109" s="341">
        <v>0.11849999999999999</v>
      </c>
      <c r="W109" s="341">
        <v>0.11849999999999999</v>
      </c>
      <c r="X109" s="281">
        <f t="shared" si="61"/>
        <v>0.02</v>
      </c>
      <c r="Y109" s="282">
        <f t="shared" si="57"/>
        <v>0.1</v>
      </c>
      <c r="AA109" s="391">
        <f t="shared" ca="1" si="49"/>
        <v>0</v>
      </c>
      <c r="AB109" s="400">
        <f t="shared" ca="1" si="49"/>
        <v>0</v>
      </c>
      <c r="AC109" s="258">
        <f t="shared" ca="1" si="49"/>
        <v>0</v>
      </c>
      <c r="AD109" s="258">
        <f t="shared" ca="1" si="49"/>
        <v>0</v>
      </c>
      <c r="AE109" s="402">
        <f t="shared" ca="1" si="49"/>
        <v>0</v>
      </c>
      <c r="AF109" s="402">
        <f t="shared" ca="1" si="49"/>
        <v>0</v>
      </c>
      <c r="AG109" s="404">
        <f t="shared" ca="1" si="50"/>
        <v>0</v>
      </c>
      <c r="AH109" s="415">
        <f t="shared" ca="1" si="51"/>
        <v>0</v>
      </c>
      <c r="AI109" s="415">
        <f t="shared" ca="1" si="52"/>
        <v>0</v>
      </c>
      <c r="AJ109" s="416">
        <f t="shared" ca="1" si="53"/>
        <v>0</v>
      </c>
      <c r="AK109" s="416">
        <f t="shared" ca="1" si="54"/>
        <v>0</v>
      </c>
      <c r="AL109" s="417">
        <v>0</v>
      </c>
      <c r="AM109" s="269">
        <f t="shared" ca="1" si="60"/>
        <v>0</v>
      </c>
      <c r="AN109" s="422">
        <f t="shared" ca="1" si="63"/>
        <v>18.380000000000003</v>
      </c>
      <c r="AO109" s="423">
        <f t="shared" ca="1" si="63"/>
        <v>25893685.458928723</v>
      </c>
      <c r="AP109" s="271">
        <f t="shared" ca="1" si="63"/>
        <v>0</v>
      </c>
      <c r="AQ109" s="271">
        <f t="shared" ca="1" si="62"/>
        <v>0.11849999999999999</v>
      </c>
      <c r="AR109" s="271">
        <f t="shared" ca="1" si="62"/>
        <v>0.11849999999999999</v>
      </c>
      <c r="AS109" s="271">
        <f t="shared" ca="1" si="62"/>
        <v>0.11849999999999999</v>
      </c>
      <c r="AT109" s="271">
        <f t="shared" ca="1" si="62"/>
        <v>0.02</v>
      </c>
      <c r="AU109" s="278">
        <f t="shared" ca="1" si="37"/>
        <v>0.1</v>
      </c>
    </row>
    <row r="110" spans="2:47" x14ac:dyDescent="0.35">
      <c r="B110" s="18">
        <f t="shared" si="59"/>
        <v>91</v>
      </c>
      <c r="C110" s="85">
        <f t="shared" ca="1" si="43"/>
        <v>0</v>
      </c>
      <c r="D110" s="85">
        <f t="shared" ca="1" si="40"/>
        <v>0</v>
      </c>
      <c r="E110" s="84">
        <f t="shared" ca="1" si="44"/>
        <v>0</v>
      </c>
      <c r="F110" s="135">
        <f t="shared" ca="1" si="55"/>
        <v>0</v>
      </c>
      <c r="G110" s="409">
        <f t="shared" ca="1" si="41"/>
        <v>0</v>
      </c>
      <c r="H110" s="409">
        <f t="shared" ca="1" si="42"/>
        <v>0</v>
      </c>
      <c r="I110" s="275">
        <f t="shared" ca="1" si="56"/>
        <v>0</v>
      </c>
      <c r="J110" s="275">
        <f t="shared" ca="1" si="45"/>
        <v>0</v>
      </c>
      <c r="K110" s="137">
        <f t="shared" ca="1" si="58"/>
        <v>0</v>
      </c>
      <c r="L110" s="15" t="str">
        <f t="shared" ca="1" si="38"/>
        <v>F</v>
      </c>
      <c r="M110" s="88">
        <f t="shared" ca="1" si="38"/>
        <v>0</v>
      </c>
      <c r="N110" s="88">
        <f t="shared" ca="1" si="38"/>
        <v>0</v>
      </c>
      <c r="O110" s="432">
        <v>1000000000000000</v>
      </c>
      <c r="P110" s="69">
        <v>109575</v>
      </c>
      <c r="Q110" s="3">
        <f t="shared" si="46"/>
        <v>64590</v>
      </c>
      <c r="R110" s="107">
        <f t="shared" ca="1" si="47"/>
        <v>18.29</v>
      </c>
      <c r="S110" s="105">
        <f t="shared" ca="1" si="48"/>
        <v>25727391.2880999</v>
      </c>
      <c r="T110" s="341">
        <v>0</v>
      </c>
      <c r="U110" s="341">
        <v>0.11849999999999999</v>
      </c>
      <c r="V110" s="341">
        <v>0.11849999999999999</v>
      </c>
      <c r="W110" s="341">
        <v>0.11849999999999999</v>
      </c>
      <c r="X110" s="281">
        <f t="shared" si="61"/>
        <v>0.02</v>
      </c>
      <c r="Y110" s="282">
        <f t="shared" si="57"/>
        <v>0.1</v>
      </c>
      <c r="AA110" s="391">
        <f t="shared" ca="1" si="49"/>
        <v>0</v>
      </c>
      <c r="AB110" s="400">
        <f t="shared" ca="1" si="49"/>
        <v>0</v>
      </c>
      <c r="AC110" s="258">
        <f t="shared" ca="1" si="49"/>
        <v>0</v>
      </c>
      <c r="AD110" s="258">
        <f t="shared" ca="1" si="49"/>
        <v>0</v>
      </c>
      <c r="AE110" s="402">
        <f t="shared" ca="1" si="49"/>
        <v>0</v>
      </c>
      <c r="AF110" s="402">
        <f t="shared" ca="1" si="49"/>
        <v>0</v>
      </c>
      <c r="AG110" s="404">
        <f t="shared" ca="1" si="50"/>
        <v>0</v>
      </c>
      <c r="AH110" s="415">
        <f t="shared" ca="1" si="51"/>
        <v>0</v>
      </c>
      <c r="AI110" s="415">
        <f t="shared" ca="1" si="52"/>
        <v>0</v>
      </c>
      <c r="AJ110" s="416">
        <f t="shared" ca="1" si="53"/>
        <v>0</v>
      </c>
      <c r="AK110" s="416">
        <f t="shared" ca="1" si="54"/>
        <v>0</v>
      </c>
      <c r="AL110" s="417">
        <v>0</v>
      </c>
      <c r="AM110" s="269">
        <f t="shared" ca="1" si="60"/>
        <v>0</v>
      </c>
      <c r="AN110" s="422">
        <f t="shared" ca="1" si="63"/>
        <v>18.380000000000003</v>
      </c>
      <c r="AO110" s="423">
        <f t="shared" ca="1" si="63"/>
        <v>25893685.458928723</v>
      </c>
      <c r="AP110" s="271">
        <f t="shared" ca="1" si="63"/>
        <v>0</v>
      </c>
      <c r="AQ110" s="271">
        <f t="shared" ca="1" si="62"/>
        <v>0.11849999999999999</v>
      </c>
      <c r="AR110" s="271">
        <f t="shared" ca="1" si="62"/>
        <v>0.11849999999999999</v>
      </c>
      <c r="AS110" s="271">
        <f t="shared" ca="1" si="62"/>
        <v>0.11849999999999999</v>
      </c>
      <c r="AT110" s="271">
        <f t="shared" ca="1" si="62"/>
        <v>0.02</v>
      </c>
      <c r="AU110" s="278">
        <f t="shared" ca="1" si="37"/>
        <v>0.1</v>
      </c>
    </row>
  </sheetData>
  <mergeCells count="8">
    <mergeCell ref="R17:Y17"/>
    <mergeCell ref="F2:G2"/>
    <mergeCell ref="L2:M2"/>
    <mergeCell ref="F3:G3"/>
    <mergeCell ref="L7:M7"/>
    <mergeCell ref="L12:M12"/>
    <mergeCell ref="E17:K17"/>
    <mergeCell ref="L17:Q17"/>
  </mergeCells>
  <pageMargins left="0.75" right="0.75" top="1" bottom="1" header="0.5" footer="0.5"/>
  <pageSetup orientation="portrait" horizontalDpi="1200" verticalDpi="90" r:id="rId1"/>
  <headerFooter alignWithMargins="0"/>
  <ignoredErrors>
    <ignoredError sqref="N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B1:AU110"/>
  <sheetViews>
    <sheetView topLeftCell="AA13" zoomScale="104" zoomScaleNormal="155" workbookViewId="0">
      <selection activeCell="AG18" sqref="AG18:AM22"/>
    </sheetView>
  </sheetViews>
  <sheetFormatPr defaultRowHeight="12.75" x14ac:dyDescent="0.35"/>
  <cols>
    <col min="1" max="1" width="4.3984375" customWidth="1"/>
    <col min="2" max="5" width="14.265625" customWidth="1"/>
    <col min="6" max="25" width="10" customWidth="1"/>
    <col min="26" max="26" width="4.265625" customWidth="1"/>
    <col min="27" max="27" width="14.265625" customWidth="1"/>
    <col min="28" max="29" width="10" customWidth="1"/>
    <col min="30" max="32" width="9" customWidth="1"/>
    <col min="33" max="39" width="14.265625" customWidth="1"/>
    <col min="40" max="47" width="10" customWidth="1"/>
  </cols>
  <sheetData>
    <row r="1" spans="3:37" ht="13.15" thickBot="1" x14ac:dyDescent="0.4"/>
    <row r="2" spans="3:37" ht="13.15" thickBot="1" x14ac:dyDescent="0.4">
      <c r="F2" s="557" t="s">
        <v>38</v>
      </c>
      <c r="G2" s="558"/>
      <c r="H2" s="378">
        <v>44978</v>
      </c>
      <c r="K2" s="46" t="s">
        <v>57</v>
      </c>
      <c r="L2" s="559" t="s">
        <v>157</v>
      </c>
      <c r="M2" s="560"/>
      <c r="O2" s="41" t="s">
        <v>54</v>
      </c>
      <c r="P2" s="41" t="s">
        <v>35</v>
      </c>
      <c r="Q2" s="41" t="s">
        <v>51</v>
      </c>
      <c r="R2" s="41" t="s">
        <v>53</v>
      </c>
      <c r="S2" s="41" t="s">
        <v>3</v>
      </c>
      <c r="T2" s="41"/>
    </row>
    <row r="3" spans="3:37" ht="13.15" thickBot="1" x14ac:dyDescent="0.4">
      <c r="F3" s="561" t="s">
        <v>61</v>
      </c>
      <c r="G3" s="562"/>
      <c r="H3" s="379">
        <v>44974</v>
      </c>
      <c r="K3" s="259" t="s">
        <v>47</v>
      </c>
      <c r="L3" s="260">
        <v>0.129</v>
      </c>
      <c r="M3" s="261">
        <v>0.13100000000000001</v>
      </c>
      <c r="O3" s="48" t="s">
        <v>32</v>
      </c>
      <c r="P3" s="330">
        <f>AVERAGE($L$3:$M$3)</f>
        <v>0.13</v>
      </c>
      <c r="Q3" s="331">
        <f>AVERAGE($L$4:$M$4)</f>
        <v>-1.7500000000000002E-2</v>
      </c>
      <c r="R3" s="332">
        <f>AVERAGE($L$5:$M$5)</f>
        <v>3.5000000000000003E-2</v>
      </c>
      <c r="S3" s="354">
        <f>$I$6*EXP(-($I$10-$I$11)*365/365)</f>
        <v>19.910816303865744</v>
      </c>
    </row>
    <row r="4" spans="3:37" ht="13.15" thickBot="1" x14ac:dyDescent="0.4">
      <c r="K4" s="262" t="s">
        <v>48</v>
      </c>
      <c r="L4" s="263">
        <v>-0.02</v>
      </c>
      <c r="M4" s="264">
        <v>-1.4999999999999999E-2</v>
      </c>
      <c r="O4" s="344" t="s">
        <v>33</v>
      </c>
      <c r="P4" s="345">
        <f>AVERAGE($L$8:$M$8)</f>
        <v>0.121</v>
      </c>
      <c r="Q4" s="346">
        <f>AVERAGE($L$9:$M$9)</f>
        <v>-7.4999999999999997E-3</v>
      </c>
      <c r="R4" s="347">
        <f>AVERAGE($L$10:$M$10)</f>
        <v>1.7500000000000002E-2</v>
      </c>
      <c r="S4" s="355">
        <f>$I$6*EXP(-($I$10-$I$11)*5*365/365)</f>
        <v>27.419737942646552</v>
      </c>
    </row>
    <row r="5" spans="3:37" ht="13.15" thickBot="1" x14ac:dyDescent="0.4">
      <c r="F5" s="46" t="s">
        <v>60</v>
      </c>
      <c r="G5" s="45" t="s">
        <v>40</v>
      </c>
      <c r="H5" s="47" t="s">
        <v>41</v>
      </c>
      <c r="I5" s="48" t="s">
        <v>44</v>
      </c>
      <c r="K5" s="265" t="s">
        <v>49</v>
      </c>
      <c r="L5" s="386">
        <v>0.03</v>
      </c>
      <c r="M5" s="387">
        <v>0.04</v>
      </c>
      <c r="O5" s="348" t="s">
        <v>34</v>
      </c>
      <c r="P5" s="349">
        <f>AVERAGE($L$13:$M$13)</f>
        <v>0.121</v>
      </c>
      <c r="Q5" s="350">
        <f>AVERAGE($L$10:$M$10)</f>
        <v>1.7500000000000002E-2</v>
      </c>
      <c r="R5" s="351">
        <f>AVERAGE($L$15:$M$15)</f>
        <v>1.4999999999999999E-2</v>
      </c>
      <c r="S5" s="356">
        <f>$I$6*EXP(-($I$10-$I$11)*10*365/365)</f>
        <v>40.905442265691562</v>
      </c>
    </row>
    <row r="6" spans="3:37" ht="13.15" thickBot="1" x14ac:dyDescent="0.4">
      <c r="F6" s="53" t="s">
        <v>39</v>
      </c>
      <c r="G6" s="146">
        <v>18.28</v>
      </c>
      <c r="H6" s="147">
        <v>18.48</v>
      </c>
      <c r="I6" s="148">
        <f>AVERAGE(G6:H6)</f>
        <v>18.380000000000003</v>
      </c>
      <c r="K6" s="266"/>
      <c r="L6" s="266"/>
      <c r="M6" s="266"/>
      <c r="O6" s="267"/>
      <c r="P6" s="267"/>
      <c r="Q6" s="267"/>
      <c r="R6" s="267"/>
      <c r="S6" s="267"/>
    </row>
    <row r="7" spans="3:37" ht="13.15" thickBot="1" x14ac:dyDescent="0.4">
      <c r="F7" s="54" t="s">
        <v>45</v>
      </c>
      <c r="G7" s="336">
        <v>1.06</v>
      </c>
      <c r="H7" s="62">
        <v>1.08</v>
      </c>
      <c r="I7" s="55">
        <f>AVERAGE(G7:H7)</f>
        <v>1.07</v>
      </c>
      <c r="K7" s="46" t="s">
        <v>58</v>
      </c>
      <c r="L7" s="559" t="s">
        <v>157</v>
      </c>
      <c r="M7" s="560"/>
      <c r="O7" s="41" t="s">
        <v>31</v>
      </c>
      <c r="P7" s="41" t="s">
        <v>36</v>
      </c>
      <c r="Q7" s="41" t="s">
        <v>35</v>
      </c>
      <c r="R7" s="41" t="s">
        <v>55</v>
      </c>
      <c r="S7" s="266"/>
    </row>
    <row r="8" spans="3:37" ht="13.15" thickBot="1" x14ac:dyDescent="0.4">
      <c r="K8" s="259" t="s">
        <v>47</v>
      </c>
      <c r="L8" s="260">
        <v>0.12</v>
      </c>
      <c r="M8" s="261">
        <v>0.122</v>
      </c>
      <c r="O8" s="48" t="str">
        <f>O3</f>
        <v>1Y</v>
      </c>
      <c r="P8" s="330">
        <f>P3-Q3/2+R3</f>
        <v>0.17375000000000002</v>
      </c>
      <c r="Q8" s="331">
        <f>P3</f>
        <v>0.13</v>
      </c>
      <c r="R8" s="335">
        <f>P3+Q3/2+R3</f>
        <v>0.15625</v>
      </c>
      <c r="S8" s="266"/>
    </row>
    <row r="9" spans="3:37" ht="13.15" thickBot="1" x14ac:dyDescent="0.4">
      <c r="F9" s="46" t="s">
        <v>46</v>
      </c>
      <c r="G9" s="45" t="s">
        <v>40</v>
      </c>
      <c r="H9" s="47" t="s">
        <v>41</v>
      </c>
      <c r="I9" s="48" t="s">
        <v>44</v>
      </c>
      <c r="K9" s="262" t="s">
        <v>48</v>
      </c>
      <c r="L9" s="263">
        <v>-5.0000000000000001E-3</v>
      </c>
      <c r="M9" s="264">
        <v>-0.01</v>
      </c>
      <c r="O9" s="344" t="str">
        <f>O4</f>
        <v>5Y</v>
      </c>
      <c r="P9" s="345">
        <f>P4-Q4/2+R4</f>
        <v>0.14224999999999999</v>
      </c>
      <c r="Q9" s="346">
        <f>P4</f>
        <v>0.121</v>
      </c>
      <c r="R9" s="352">
        <f>P4+Q4/2+R4</f>
        <v>0.13474999999999998</v>
      </c>
      <c r="S9" s="266"/>
    </row>
    <row r="10" spans="3:37" ht="13.15" thickBot="1" x14ac:dyDescent="0.4">
      <c r="F10" s="56" t="s">
        <v>42</v>
      </c>
      <c r="G10" s="63">
        <v>1.9E-2</v>
      </c>
      <c r="H10" s="64">
        <v>2.1000000000000001E-2</v>
      </c>
      <c r="I10" s="57">
        <f>AVERAGE(G10:H10)</f>
        <v>0.02</v>
      </c>
      <c r="K10" s="265" t="s">
        <v>49</v>
      </c>
      <c r="L10" s="386">
        <v>1.4999999999999999E-2</v>
      </c>
      <c r="M10" s="387">
        <v>0.02</v>
      </c>
      <c r="O10" s="348" t="str">
        <f>O5</f>
        <v>10Y</v>
      </c>
      <c r="P10" s="349">
        <f>P5-Q5/2+R5</f>
        <v>0.12724999999999997</v>
      </c>
      <c r="Q10" s="350">
        <f>P5</f>
        <v>0.121</v>
      </c>
      <c r="R10" s="353">
        <f>P5+Q5/2+R5</f>
        <v>0.14474999999999999</v>
      </c>
      <c r="S10" s="266"/>
    </row>
    <row r="11" spans="3:37" ht="13.15" thickBot="1" x14ac:dyDescent="0.4">
      <c r="F11" s="58" t="s">
        <v>43</v>
      </c>
      <c r="G11" s="65">
        <v>9.9000000000000005E-2</v>
      </c>
      <c r="H11" s="66">
        <v>0.10100000000000001</v>
      </c>
      <c r="I11" s="59">
        <f>AVERAGE(G11:H11)</f>
        <v>0.1</v>
      </c>
      <c r="K11" s="266"/>
      <c r="L11" s="266"/>
      <c r="M11" s="266"/>
      <c r="O11" s="267"/>
      <c r="P11" s="267"/>
      <c r="Q11" s="267"/>
      <c r="R11" s="267"/>
      <c r="S11" s="266"/>
    </row>
    <row r="12" spans="3:37" ht="13.15" thickBot="1" x14ac:dyDescent="0.4">
      <c r="F12" s="50"/>
      <c r="G12" s="51"/>
      <c r="H12" s="52"/>
      <c r="I12" s="1"/>
      <c r="K12" s="46" t="s">
        <v>59</v>
      </c>
      <c r="L12" s="559" t="s">
        <v>157</v>
      </c>
      <c r="M12" s="560"/>
      <c r="O12" s="41" t="s">
        <v>56</v>
      </c>
      <c r="P12" s="41" t="s">
        <v>36</v>
      </c>
      <c r="Q12" s="41" t="s">
        <v>35</v>
      </c>
      <c r="R12" s="41" t="s">
        <v>55</v>
      </c>
      <c r="S12" s="266"/>
    </row>
    <row r="13" spans="3:37" x14ac:dyDescent="0.35">
      <c r="F13" s="50"/>
      <c r="G13" s="51"/>
      <c r="H13" s="52"/>
      <c r="I13" s="1"/>
      <c r="K13" s="259" t="s">
        <v>47</v>
      </c>
      <c r="L13" s="260">
        <v>0.12</v>
      </c>
      <c r="M13" s="261">
        <v>0.122</v>
      </c>
      <c r="O13" s="48" t="str">
        <f>O8</f>
        <v>1Y</v>
      </c>
      <c r="P13" s="357">
        <v>17.7961406391323</v>
      </c>
      <c r="Q13" s="358">
        <f>S3</f>
        <v>19.910816303865744</v>
      </c>
      <c r="R13" s="359">
        <v>21.571140639132299</v>
      </c>
      <c r="S13" s="266"/>
    </row>
    <row r="14" spans="3:37" x14ac:dyDescent="0.35">
      <c r="F14" s="50"/>
      <c r="G14" s="51"/>
      <c r="H14" s="76"/>
      <c r="I14" s="77"/>
      <c r="K14" s="262" t="s">
        <v>48</v>
      </c>
      <c r="L14" s="263">
        <v>-0.01</v>
      </c>
      <c r="M14" s="264">
        <v>-1.4999999999999999E-2</v>
      </c>
      <c r="O14" s="344" t="str">
        <f>O9</f>
        <v>5Y</v>
      </c>
      <c r="P14" s="380">
        <v>23.94</v>
      </c>
      <c r="Q14" s="381">
        <f>S4</f>
        <v>27.419737942646552</v>
      </c>
      <c r="R14" s="382">
        <v>29.786000000000001</v>
      </c>
      <c r="S14" s="266"/>
    </row>
    <row r="15" spans="3:37" ht="13.15" thickBot="1" x14ac:dyDescent="0.4">
      <c r="E15" s="39"/>
      <c r="F15" s="50"/>
      <c r="G15" s="51"/>
      <c r="H15" s="157"/>
      <c r="I15" s="75"/>
      <c r="K15" s="265" t="s">
        <v>49</v>
      </c>
      <c r="L15" s="386">
        <v>0.01</v>
      </c>
      <c r="M15" s="387">
        <v>0.02</v>
      </c>
      <c r="O15" s="348" t="str">
        <f>O10</f>
        <v>10Y</v>
      </c>
      <c r="P15" s="383">
        <v>35.298999999999999</v>
      </c>
      <c r="Q15" s="384">
        <f>S5</f>
        <v>40.905442265691562</v>
      </c>
      <c r="R15" s="385">
        <v>43.604999999999997</v>
      </c>
      <c r="S15" s="266"/>
      <c r="AG15" s="71"/>
    </row>
    <row r="16" spans="3:37" ht="13.15" thickBot="1" x14ac:dyDescent="0.4">
      <c r="C16" s="360" t="s">
        <v>142</v>
      </c>
      <c r="D16" s="361" t="s">
        <v>143</v>
      </c>
      <c r="I16" s="110"/>
      <c r="N16" s="285"/>
      <c r="AA16" s="40" t="s">
        <v>62</v>
      </c>
      <c r="AB16" s="82" t="str">
        <f>TEXT(H3,"mmm-dd")</f>
        <v>Feb-17</v>
      </c>
      <c r="AI16" s="40"/>
      <c r="AJ16" s="40"/>
      <c r="AK16" s="40"/>
    </row>
    <row r="17" spans="2:47" ht="13.15" thickBot="1" x14ac:dyDescent="0.4">
      <c r="B17" s="1"/>
      <c r="C17" s="328">
        <f ca="1">D19-C19-D17</f>
        <v>0.41992214741185308</v>
      </c>
      <c r="D17" s="273">
        <f ca="1">SUM(D23:D25)</f>
        <v>2304.9424232635065</v>
      </c>
      <c r="E17" s="563" t="s">
        <v>16</v>
      </c>
      <c r="F17" s="563"/>
      <c r="G17" s="563"/>
      <c r="H17" s="563"/>
      <c r="I17" s="563"/>
      <c r="J17" s="563"/>
      <c r="K17" s="564"/>
      <c r="L17" s="565" t="s">
        <v>15</v>
      </c>
      <c r="M17" s="566"/>
      <c r="N17" s="566"/>
      <c r="O17" s="566"/>
      <c r="P17" s="566"/>
      <c r="Q17" s="567"/>
      <c r="R17" s="554" t="s">
        <v>37</v>
      </c>
      <c r="S17" s="555"/>
      <c r="T17" s="555"/>
      <c r="U17" s="555"/>
      <c r="V17" s="555"/>
      <c r="W17" s="555"/>
      <c r="X17" s="555"/>
      <c r="Y17" s="556"/>
      <c r="AA17" t="s">
        <v>17</v>
      </c>
      <c r="AH17" s="23"/>
      <c r="AN17" s="82"/>
    </row>
    <row r="18" spans="2:47" ht="27" customHeight="1" thickBot="1" x14ac:dyDescent="0.4">
      <c r="B18" s="362" t="s">
        <v>19</v>
      </c>
      <c r="C18" s="362" t="s">
        <v>137</v>
      </c>
      <c r="D18" s="362" t="s">
        <v>12</v>
      </c>
      <c r="E18" s="363" t="s">
        <v>4</v>
      </c>
      <c r="F18" s="373" t="s">
        <v>159</v>
      </c>
      <c r="G18" s="377" t="s">
        <v>25</v>
      </c>
      <c r="H18" s="377" t="s">
        <v>27</v>
      </c>
      <c r="I18" s="365" t="s">
        <v>140</v>
      </c>
      <c r="J18" s="365" t="s">
        <v>141</v>
      </c>
      <c r="K18" s="366" t="s">
        <v>68</v>
      </c>
      <c r="L18" s="374" t="s">
        <v>160</v>
      </c>
      <c r="M18" s="374" t="s">
        <v>161</v>
      </c>
      <c r="N18" s="374" t="s">
        <v>155</v>
      </c>
      <c r="O18" s="367" t="s">
        <v>2</v>
      </c>
      <c r="P18" s="367" t="s">
        <v>5</v>
      </c>
      <c r="Q18" s="374" t="s">
        <v>162</v>
      </c>
      <c r="R18" s="368" t="s">
        <v>13</v>
      </c>
      <c r="S18" s="369" t="s">
        <v>3</v>
      </c>
      <c r="T18" s="375" t="s">
        <v>163</v>
      </c>
      <c r="U18" s="370" t="s">
        <v>35</v>
      </c>
      <c r="V18" s="370" t="s">
        <v>51</v>
      </c>
      <c r="W18" s="370" t="s">
        <v>52</v>
      </c>
      <c r="X18" s="369" t="s">
        <v>7</v>
      </c>
      <c r="Y18" s="371" t="s">
        <v>138</v>
      </c>
      <c r="AA18" s="392" t="s">
        <v>11</v>
      </c>
      <c r="AB18" s="393" t="s">
        <v>164</v>
      </c>
      <c r="AC18" s="397" t="s">
        <v>165</v>
      </c>
      <c r="AD18" s="397" t="s">
        <v>166</v>
      </c>
      <c r="AE18" s="393" t="s">
        <v>167</v>
      </c>
      <c r="AF18" s="393" t="s">
        <v>168</v>
      </c>
      <c r="AG18" s="403" t="s">
        <v>169</v>
      </c>
      <c r="AH18" s="397" t="s">
        <v>170</v>
      </c>
      <c r="AI18" s="397" t="s">
        <v>171</v>
      </c>
      <c r="AJ18" s="393" t="s">
        <v>172</v>
      </c>
      <c r="AK18" s="393" t="s">
        <v>173</v>
      </c>
      <c r="AL18" s="394" t="s">
        <v>22</v>
      </c>
      <c r="AM18" s="395" t="s">
        <v>21</v>
      </c>
      <c r="AN18" s="396" t="s">
        <v>13</v>
      </c>
      <c r="AO18" s="396" t="s">
        <v>3</v>
      </c>
      <c r="AP18" s="419" t="s">
        <v>163</v>
      </c>
      <c r="AQ18" s="396" t="s">
        <v>35</v>
      </c>
      <c r="AR18" s="396" t="s">
        <v>51</v>
      </c>
      <c r="AS18" s="396" t="s">
        <v>52</v>
      </c>
      <c r="AT18" s="396" t="s">
        <v>7</v>
      </c>
      <c r="AU18" s="418" t="s">
        <v>138</v>
      </c>
    </row>
    <row r="19" spans="2:47" ht="13.5" thickBot="1" x14ac:dyDescent="0.45">
      <c r="B19" s="8"/>
      <c r="C19" s="86">
        <f ca="1">SUM(C20:C158)</f>
        <v>-9009.4353564423509</v>
      </c>
      <c r="D19" s="86">
        <f ca="1">SUM(D20:D331)</f>
        <v>-6704.0730110314325</v>
      </c>
      <c r="E19" s="87">
        <f ca="1">SUM(E20:E331)</f>
        <v>-538339.73792476021</v>
      </c>
      <c r="F19" s="274">
        <f t="shared" ref="F19:K19" ca="1" si="0">SUM(F20:F331)</f>
        <v>-5.3944560443655973</v>
      </c>
      <c r="G19" s="405">
        <f t="shared" ca="1" si="0"/>
        <v>0</v>
      </c>
      <c r="H19" s="405">
        <f t="shared" ca="1" si="0"/>
        <v>0</v>
      </c>
      <c r="I19" s="129">
        <f t="shared" ca="1" si="0"/>
        <v>15.309032254002886</v>
      </c>
      <c r="J19" s="129">
        <f t="shared" ca="1" si="0"/>
        <v>37.727095535837179</v>
      </c>
      <c r="K19" s="129">
        <f t="shared" ca="1" si="0"/>
        <v>-93.837336680015142</v>
      </c>
      <c r="L19" s="2"/>
      <c r="M19" s="2"/>
      <c r="N19" s="2"/>
      <c r="O19" s="2"/>
      <c r="P19" s="2"/>
      <c r="Q19" s="2"/>
      <c r="S19" s="2"/>
      <c r="T19" s="339"/>
      <c r="U19" s="339"/>
      <c r="V19" s="339"/>
      <c r="W19" s="339"/>
      <c r="X19" s="2"/>
      <c r="Y19" s="2"/>
      <c r="AA19" s="389">
        <f t="shared" ref="AA19:AF19" ca="1" si="1">SUM(AA20:AA239)</f>
        <v>-531635.66491372895</v>
      </c>
      <c r="AB19" s="398">
        <f t="shared" ca="1" si="1"/>
        <v>-10.288582629114671</v>
      </c>
      <c r="AC19" s="120">
        <f t="shared" ca="1" si="1"/>
        <v>0</v>
      </c>
      <c r="AD19" s="120">
        <f t="shared" ca="1" si="1"/>
        <v>0</v>
      </c>
      <c r="AE19" s="272">
        <f t="shared" ca="1" si="1"/>
        <v>-2.4734169324492541</v>
      </c>
      <c r="AF19" s="272">
        <f t="shared" ca="1" si="1"/>
        <v>55.134342009214379</v>
      </c>
      <c r="AG19" s="388">
        <f t="shared" ref="AG19:AM19" ca="1" si="2">SUM(AG20:AG239)</f>
        <v>-8399.5580269575585</v>
      </c>
      <c r="AH19" s="414">
        <f t="shared" ca="1" si="2"/>
        <v>0</v>
      </c>
      <c r="AI19" s="414">
        <f t="shared" ca="1" si="2"/>
        <v>0</v>
      </c>
      <c r="AJ19" s="388">
        <f t="shared" ca="1" si="2"/>
        <v>0</v>
      </c>
      <c r="AK19" s="388">
        <f t="shared" ca="1" si="2"/>
        <v>0</v>
      </c>
      <c r="AL19" s="388">
        <f t="shared" ca="1" si="2"/>
        <v>-609.87732948489429</v>
      </c>
      <c r="AM19" s="129">
        <f t="shared" ca="1" si="2"/>
        <v>-9009.4353564423509</v>
      </c>
      <c r="AU19" s="20"/>
    </row>
    <row r="20" spans="2:47" ht="13.15" thickBot="1" x14ac:dyDescent="0.4">
      <c r="B20" s="293">
        <v>1</v>
      </c>
      <c r="C20" s="295">
        <f ca="1">AM20</f>
        <v>21923.213279336189</v>
      </c>
      <c r="D20" s="295">
        <f t="shared" ref="D20:D29" ca="1" si="3">E20-AA20</f>
        <v>21920.210346266627</v>
      </c>
      <c r="E20" s="295">
        <f ca="1">N20*BSPrice(L20,1/S20,1/O20,Q20,X20,Y20,T20)*1000000</f>
        <v>100021920.21034625</v>
      </c>
      <c r="F20" s="296">
        <f t="shared" ref="F20" ca="1" si="4">N20*BSDelta(L20,1/S20,1/O20,Q20,X20,Y20,T20)</f>
        <v>0</v>
      </c>
      <c r="G20" s="406">
        <f t="shared" ref="G20:G51" ca="1" si="5">BSGamma(L20,1/S20,1/O20,Q20,X20,Y20,T20)*N20</f>
        <v>0</v>
      </c>
      <c r="H20" s="406">
        <f t="shared" ref="H20:H51" ca="1" si="6">BSVega(L20,1/S20,1/O20,Q20,X20,Y20,T20)*N20*1000000</f>
        <v>0</v>
      </c>
      <c r="I20" s="297">
        <f ca="1">N20*BSDailyRhoUSD(L20,1/S20,1/O20,Q20,X20,Y20,T20)*1000000</f>
        <v>-9892.5789577904106</v>
      </c>
      <c r="J20" s="297">
        <f ca="1">N20*BSDailyRhoExt(L20,1/S20,1/O20,Q20,X20,Y20,T20)*1000000</f>
        <v>0</v>
      </c>
      <c r="K20" s="298">
        <f ca="1">N20*BSDailyTheta(L20,1/S20,1/O20,Q20,X20,Y20,T20)*1000000</f>
        <v>5480.8033198340472</v>
      </c>
      <c r="L20" s="299" t="str">
        <f t="shared" ref="L20:P35" ca="1" si="7">INDIRECT("'"&amp; $AB$16 &amp;"'!"&amp; ADDRESS(ROW(L20),COLUMN(L20),4))</f>
        <v>D</v>
      </c>
      <c r="M20" s="300">
        <f t="shared" ca="1" si="7"/>
        <v>100</v>
      </c>
      <c r="N20" s="300">
        <f t="shared" ca="1" si="7"/>
        <v>102.02013400267558</v>
      </c>
      <c r="O20" s="430">
        <f t="shared" ca="1" si="7"/>
        <v>1000000000000000</v>
      </c>
      <c r="P20" s="307">
        <f t="shared" ca="1" si="7"/>
        <v>45339</v>
      </c>
      <c r="Q20" s="301">
        <f ca="1">(P20-$H$2)</f>
        <v>361</v>
      </c>
      <c r="R20" s="106">
        <f ca="1">IF(L20="D",1,$I$6)</f>
        <v>1</v>
      </c>
      <c r="S20" s="104">
        <f ca="1">IF(L20="D",1,R20*EXP(-($I$10-$I$11)*Q20/365))</f>
        <v>1</v>
      </c>
      <c r="T20" s="340">
        <v>0</v>
      </c>
      <c r="U20" s="340">
        <v>0.13</v>
      </c>
      <c r="V20" s="340">
        <v>0.13</v>
      </c>
      <c r="W20" s="340">
        <v>0.13</v>
      </c>
      <c r="X20" s="279">
        <f t="shared" ref="X20:X83" si="8">$I$10</f>
        <v>0.02</v>
      </c>
      <c r="Y20" s="280">
        <f>$I$11</f>
        <v>0.1</v>
      </c>
      <c r="AA20" s="390">
        <f ca="1">INDIRECT("'"&amp; $AB$16 &amp;"'!"&amp; ADDRESS(ROW(E20),COLUMN(E20),4))</f>
        <v>99999999.999999985</v>
      </c>
      <c r="AB20" s="399">
        <f t="shared" ref="AB20:AB83" ca="1" si="9">INDIRECT("'"&amp; $AB$16 &amp;"'!"&amp; ADDRESS(ROW(F20),COLUMN(F20),4))</f>
        <v>0</v>
      </c>
      <c r="AC20" s="257">
        <f t="shared" ref="AC20:AC29" ca="1" si="10">INDIRECT("'"&amp; $AB$16 &amp;"'!"&amp; ADDRESS(ROW(G20),COLUMN(G20),4))</f>
        <v>0</v>
      </c>
      <c r="AD20" s="257">
        <f t="shared" ref="AD20:AD29" ca="1" si="11">INDIRECT("'"&amp; $AB$16 &amp;"'!"&amp; ADDRESS(ROW(H20),COLUMN(H20),4))</f>
        <v>0</v>
      </c>
      <c r="AE20" s="401">
        <f t="shared" ref="AE20:AE29" ca="1" si="12">INDIRECT("'"&amp; $AB$16 &amp;"'!"&amp; ADDRESS(ROW(I20),COLUMN(I20),4))</f>
        <v>-9999.9999999999982</v>
      </c>
      <c r="AF20" s="401">
        <f t="shared" ref="AF20:AF29" ca="1" si="13">INDIRECT("'"&amp; $AB$16 &amp;"'!"&amp; ADDRESS(ROW(J20),COLUMN(J20),4))</f>
        <v>0</v>
      </c>
      <c r="AG20" s="404">
        <f ca="1">AB20*((1/R20)-(1/AN20))*1000000</f>
        <v>0</v>
      </c>
      <c r="AH20" s="415">
        <f ca="1">0.5*AC20*((1/R20)-(1/AN20))^2*1000000</f>
        <v>0</v>
      </c>
      <c r="AI20" s="415">
        <f ca="1">AD20*(T20-AP20)</f>
        <v>0</v>
      </c>
      <c r="AJ20" s="416">
        <f ca="1">(AE20*(X20-AT20))/0.01%</f>
        <v>0</v>
      </c>
      <c r="AK20" s="416">
        <f ca="1">(AF20*(Y20-AU20))/0.01%</f>
        <v>0</v>
      </c>
      <c r="AL20" s="416">
        <f t="shared" ref="AL20:AL22" ca="1" si="14">K20*(Today-$H$3)</f>
        <v>21923.213279336189</v>
      </c>
      <c r="AM20" s="268">
        <f ca="1">SUM(AG20:AL20)</f>
        <v>21923.213279336189</v>
      </c>
      <c r="AN20" s="420">
        <f ca="1">INDIRECT("'"&amp; $AB$16 &amp;"'!"&amp; ADDRESS(ROW(R20),COLUMN(R20),4))</f>
        <v>1</v>
      </c>
      <c r="AO20" s="421">
        <f t="shared" ref="AO20:AO29" ca="1" si="15">INDIRECT("'"&amp; $AB$16 &amp;"'!"&amp; ADDRESS(ROW(S20),COLUMN(S20),4))</f>
        <v>1</v>
      </c>
      <c r="AP20" s="270">
        <f t="shared" ref="AP20:AP29" ca="1" si="16">INDIRECT("'"&amp; $AB$16 &amp;"'!"&amp; ADDRESS(ROW(T20),COLUMN(T20),4))</f>
        <v>0</v>
      </c>
      <c r="AQ20" s="270">
        <f t="shared" ref="AQ20:AQ29" ca="1" si="17">INDIRECT("'"&amp; $AB$16 &amp;"'!"&amp; ADDRESS(ROW(U20),COLUMN(U20),4))</f>
        <v>0</v>
      </c>
      <c r="AR20" s="270">
        <f t="shared" ref="AR20:AR29" ca="1" si="18">INDIRECT("'"&amp; $AB$16 &amp;"'!"&amp; ADDRESS(ROW(V20),COLUMN(V20),4))</f>
        <v>0</v>
      </c>
      <c r="AS20" s="270">
        <f t="shared" ref="AS20:AS29" ca="1" si="19">INDIRECT("'"&amp; $AB$16 &amp;"'!"&amp; ADDRESS(ROW(W20),COLUMN(W20),4))</f>
        <v>0</v>
      </c>
      <c r="AT20" s="270">
        <f t="shared" ref="AT20:AT29" ca="1" si="20">INDIRECT("'"&amp; $AB$16 &amp;"'!"&amp; ADDRESS(ROW(X20),COLUMN(X20),4))</f>
        <v>0.02</v>
      </c>
      <c r="AU20" s="277">
        <f t="shared" ref="AU20:AU29" ca="1" si="21">INDIRECT("'"&amp; $AB$16 &amp;"'!"&amp; ADDRESS(ROW(Y20),COLUMN(Y20),4))</f>
        <v>0.1</v>
      </c>
    </row>
    <row r="21" spans="2:47" ht="13.15" thickBot="1" x14ac:dyDescent="0.4">
      <c r="B21" s="144">
        <f>B20+1</f>
        <v>2</v>
      </c>
      <c r="C21" s="92">
        <f t="shared" ref="C21:C29" ca="1" si="22">AM21</f>
        <v>-1643551.6991555148</v>
      </c>
      <c r="D21" s="92">
        <f ca="1">E21-AA21</f>
        <v>-1643475.0233104527</v>
      </c>
      <c r="E21" s="92">
        <f t="shared" ref="E21:E29" ca="1" si="23">N21*BSPrice(L21,1/S21,1/O21,Q21,X21,Y21,T21)*1000000</f>
        <v>-102179380.70390865</v>
      </c>
      <c r="F21" s="134">
        <f ca="1">N21*BSDelta(L21,1/S21,1/O21,Q21,X21,Y21,T21)</f>
        <v>-1878.0570173378783</v>
      </c>
      <c r="G21" s="407">
        <f t="shared" ca="1" si="5"/>
        <v>0</v>
      </c>
      <c r="H21" s="407">
        <f t="shared" ca="1" si="6"/>
        <v>0</v>
      </c>
      <c r="I21" s="276">
        <f ca="1">N21*BSDailyRhoUSD(L21,1/S21,1/O21,Q21,X21,Y21,T21)*1000000</f>
        <v>1.4386413187891214E-8</v>
      </c>
      <c r="J21" s="276">
        <f t="shared" ref="J21:J29" ca="1" si="24">N21*BSDailyRhoExt(L21,1/S21,1/O21,Q21,X21,Y21,T21)*1000000</f>
        <v>10105.460922844626</v>
      </c>
      <c r="K21" s="136">
        <f ca="1">N21*BSDailyTheta(L21,1/S21,1/O21,Q21,X21,Y21,T21)*1000000</f>
        <v>-27998.186070601059</v>
      </c>
      <c r="L21" s="72" t="str">
        <f t="shared" ca="1" si="7"/>
        <v>F</v>
      </c>
      <c r="M21" s="89">
        <f t="shared" ca="1" si="7"/>
        <v>-1876.0000000000002</v>
      </c>
      <c r="N21" s="89">
        <f t="shared" ca="1" si="7"/>
        <v>-2073.3006423099155</v>
      </c>
      <c r="O21" s="429">
        <f t="shared" ca="1" si="7"/>
        <v>1000000000000000</v>
      </c>
      <c r="P21" s="308">
        <f t="shared" ca="1" si="7"/>
        <v>45339</v>
      </c>
      <c r="Q21" s="73">
        <f t="shared" ref="Q21:Q29" ca="1" si="25">(P21-$H$2)</f>
        <v>361</v>
      </c>
      <c r="R21" s="107">
        <f t="shared" ref="R21:R27" ca="1" si="26">IF(L21="D",1,$I$6)</f>
        <v>18.380000000000003</v>
      </c>
      <c r="S21" s="105">
        <f t="shared" ref="S21:S27" ca="1" si="27">IF(L21="D",1,R21*EXP(-($I$10-$I$11)*Q21/365))</f>
        <v>19.893367895471307</v>
      </c>
      <c r="T21" s="341">
        <v>0</v>
      </c>
      <c r="U21" s="341">
        <v>9.9199999999999997E-2</v>
      </c>
      <c r="V21" s="341">
        <v>9.9199999999999997E-2</v>
      </c>
      <c r="W21" s="341">
        <v>9.9199999999999997E-2</v>
      </c>
      <c r="X21" s="281">
        <f t="shared" si="8"/>
        <v>0.02</v>
      </c>
      <c r="Y21" s="282">
        <f>Y20</f>
        <v>0.1</v>
      </c>
      <c r="AA21" s="391">
        <f t="shared" ref="AA21:AB84" ca="1" si="28">INDIRECT("'"&amp; $AB$16 &amp;"'!"&amp; ADDRESS(ROW(E21),COLUMN(E21),4))</f>
        <v>-100535905.6805982</v>
      </c>
      <c r="AB21" s="400">
        <f t="shared" ca="1" si="9"/>
        <v>-1876.0000000000005</v>
      </c>
      <c r="AC21" s="258">
        <f t="shared" ca="1" si="10"/>
        <v>0</v>
      </c>
      <c r="AD21" s="258">
        <f t="shared" ca="1" si="11"/>
        <v>0</v>
      </c>
      <c r="AE21" s="402">
        <f t="shared" ca="1" si="12"/>
        <v>0</v>
      </c>
      <c r="AF21" s="402">
        <f t="shared" ca="1" si="13"/>
        <v>10053.087905300041</v>
      </c>
      <c r="AG21" s="404">
        <f t="shared" ref="AG21:AG84" ca="1" si="29">AB21*((1/R21)-(1/AN21))*1000000</f>
        <v>-1531558.9548731106</v>
      </c>
      <c r="AH21" s="415">
        <f t="shared" ref="AH21:AH84" ca="1" si="30">0.5*AC21*((1/R21)-(1/AN21))^2*1000000</f>
        <v>0</v>
      </c>
      <c r="AI21" s="415">
        <f ca="1">AD21*(T21-AP21)</f>
        <v>0</v>
      </c>
      <c r="AJ21" s="416">
        <f t="shared" ref="AJ21:AJ84" ca="1" si="31">(AE21*(X21-AT21))/0.01%</f>
        <v>0</v>
      </c>
      <c r="AK21" s="416">
        <f t="shared" ref="AK21:AK84" ca="1" si="32">(AF21*(Y21-AU21))/0.01%</f>
        <v>0</v>
      </c>
      <c r="AL21" s="416">
        <f t="shared" ca="1" si="14"/>
        <v>-111992.74428240424</v>
      </c>
      <c r="AM21" s="269">
        <f ca="1">SUM(AG21:AL21)</f>
        <v>-1643551.6991555148</v>
      </c>
      <c r="AN21" s="422">
        <f t="shared" ref="AN21:AN29" ca="1" si="33">INDIRECT("'"&amp; $AB$16 &amp;"'!"&amp; ADDRESS(ROW(R21),COLUMN(R21),4))</f>
        <v>18.66</v>
      </c>
      <c r="AO21" s="423">
        <f t="shared" ca="1" si="15"/>
        <v>20.214136682814729</v>
      </c>
      <c r="AP21" s="271">
        <f t="shared" ca="1" si="16"/>
        <v>0</v>
      </c>
      <c r="AQ21" s="271">
        <f t="shared" ca="1" si="17"/>
        <v>0</v>
      </c>
      <c r="AR21" s="271">
        <f t="shared" ca="1" si="18"/>
        <v>0</v>
      </c>
      <c r="AS21" s="271">
        <f t="shared" ca="1" si="19"/>
        <v>0</v>
      </c>
      <c r="AT21" s="271">
        <f t="shared" ca="1" si="20"/>
        <v>0.02</v>
      </c>
      <c r="AU21" s="278">
        <f t="shared" ca="1" si="21"/>
        <v>0.1</v>
      </c>
    </row>
    <row r="22" spans="2:47" ht="13.15" thickBot="1" x14ac:dyDescent="0.4">
      <c r="B22" s="318">
        <f t="shared" ref="B22:B28" si="34">B21+1</f>
        <v>3</v>
      </c>
      <c r="C22" s="309">
        <f t="shared" ca="1" si="22"/>
        <v>1612619.0505197363</v>
      </c>
      <c r="D22" s="309">
        <f t="shared" ca="1" si="3"/>
        <v>1612545.7975298949</v>
      </c>
      <c r="E22" s="309">
        <f t="shared" ca="1" si="23"/>
        <v>1616815.8132143801</v>
      </c>
      <c r="F22" s="310">
        <f t="shared" ref="F22:F29" ca="1" si="35">N22*BSDelta(L22,1/S22,1/O22,Q22,X22,Y22,T22)</f>
        <v>1867.7571533692915</v>
      </c>
      <c r="G22" s="408">
        <f t="shared" ca="1" si="5"/>
        <v>0</v>
      </c>
      <c r="H22" s="408">
        <f t="shared" ca="1" si="6"/>
        <v>0</v>
      </c>
      <c r="I22" s="311">
        <f t="shared" ref="I22:I29" ca="1" si="36">N22*BSDailyRhoUSD(L22,1/S22,1/O22,Q22,X22,Y22,T22)*1000000</f>
        <v>9890.1375297239611</v>
      </c>
      <c r="J22" s="311">
        <f t="shared" ca="1" si="24"/>
        <v>-10050.039350499188</v>
      </c>
      <c r="K22" s="312">
        <f ca="1">N22*BSDailyTheta(L22,1/S22,1/O22,Q22,X22,Y22,T22)*1000000</f>
        <v>22364.91341839579</v>
      </c>
      <c r="L22" s="313" t="str">
        <f t="shared" ca="1" si="7"/>
        <v>F</v>
      </c>
      <c r="M22" s="314">
        <f t="shared" ca="1" si="7"/>
        <v>102</v>
      </c>
      <c r="N22" s="314">
        <f t="shared" ca="1" si="7"/>
        <v>2061.9299999999998</v>
      </c>
      <c r="O22" s="470">
        <f ca="1">INDIRECT("'"&amp; $AB$16 &amp;"'!"&amp; ADDRESS(ROW(O22),COLUMN(O22),4))</f>
        <v>20.215</v>
      </c>
      <c r="P22" s="315">
        <f t="shared" ca="1" si="7"/>
        <v>45339</v>
      </c>
      <c r="Q22" s="481">
        <f ca="1">(P22-$H$2)</f>
        <v>361</v>
      </c>
      <c r="R22" s="303">
        <f t="shared" ca="1" si="26"/>
        <v>18.380000000000003</v>
      </c>
      <c r="S22" s="304">
        <f t="shared" ca="1" si="27"/>
        <v>19.893367895471307</v>
      </c>
      <c r="T22" s="342">
        <v>0</v>
      </c>
      <c r="U22" s="342">
        <v>9.1899999999999996E-2</v>
      </c>
      <c r="V22" s="342">
        <v>9.1899999999999996E-2</v>
      </c>
      <c r="W22" s="342">
        <v>9.1899999999999996E-2</v>
      </c>
      <c r="X22" s="305">
        <f t="shared" si="8"/>
        <v>0.02</v>
      </c>
      <c r="Y22" s="306">
        <f t="shared" ref="Y22:Y85" si="37">Y21</f>
        <v>0.1</v>
      </c>
      <c r="AA22" s="391">
        <f t="shared" ca="1" si="28"/>
        <v>4270.0156844852745</v>
      </c>
      <c r="AB22" s="400">
        <f t="shared" ca="1" si="9"/>
        <v>1865.7114173708858</v>
      </c>
      <c r="AC22" s="258">
        <f t="shared" ca="1" si="10"/>
        <v>0</v>
      </c>
      <c r="AD22" s="258">
        <f t="shared" ca="1" si="11"/>
        <v>0</v>
      </c>
      <c r="AE22" s="402">
        <f t="shared" ca="1" si="12"/>
        <v>9997.5265830675489</v>
      </c>
      <c r="AF22" s="402">
        <f t="shared" ca="1" si="13"/>
        <v>-9997.9535632908264</v>
      </c>
      <c r="AG22" s="404">
        <f ca="1">AB22*((1/R22)-(1/AN22))*1000000</f>
        <v>1523159.3968461531</v>
      </c>
      <c r="AH22" s="415">
        <f ca="1">0.5*AC22*((1/R22)-(1/AN22))^2*1000000</f>
        <v>0</v>
      </c>
      <c r="AI22" s="415">
        <f t="shared" ref="AI22:AI85" ca="1" si="38">AD22*(T22-AP22)</f>
        <v>0</v>
      </c>
      <c r="AJ22" s="416">
        <f t="shared" ca="1" si="31"/>
        <v>0</v>
      </c>
      <c r="AK22" s="416">
        <f t="shared" ca="1" si="32"/>
        <v>0</v>
      </c>
      <c r="AL22" s="416">
        <f t="shared" ca="1" si="14"/>
        <v>89459.653673583161</v>
      </c>
      <c r="AM22" s="269">
        <f ca="1">SUM(AG22:AL22)</f>
        <v>1612619.0505197363</v>
      </c>
      <c r="AN22" s="422">
        <f t="shared" ca="1" si="33"/>
        <v>18.66</v>
      </c>
      <c r="AO22" s="423">
        <f t="shared" ca="1" si="15"/>
        <v>20.214136682814729</v>
      </c>
      <c r="AP22" s="271">
        <f t="shared" ca="1" si="16"/>
        <v>0</v>
      </c>
      <c r="AQ22" s="271">
        <f t="shared" ca="1" si="17"/>
        <v>0</v>
      </c>
      <c r="AR22" s="271">
        <f t="shared" ca="1" si="18"/>
        <v>0</v>
      </c>
      <c r="AS22" s="271">
        <f t="shared" ca="1" si="19"/>
        <v>0</v>
      </c>
      <c r="AT22" s="271">
        <f t="shared" ca="1" si="20"/>
        <v>0.02</v>
      </c>
      <c r="AU22" s="278">
        <f t="shared" ca="1" si="21"/>
        <v>0.1</v>
      </c>
    </row>
    <row r="23" spans="2:47" ht="13.15" thickBot="1" x14ac:dyDescent="0.4">
      <c r="B23" s="471">
        <f t="shared" si="34"/>
        <v>4</v>
      </c>
      <c r="C23" s="472">
        <f t="shared" ca="1" si="22"/>
        <v>0</v>
      </c>
      <c r="D23" s="472">
        <f t="shared" ca="1" si="3"/>
        <v>-95000000.000000015</v>
      </c>
      <c r="E23" s="472">
        <f>N23*BSPrice(L23,1/S23,1/O23,Q23,X23,Y23,T23)*1000000</f>
        <v>-95000000.000000015</v>
      </c>
      <c r="F23" s="473">
        <f t="shared" si="35"/>
        <v>0</v>
      </c>
      <c r="G23" s="474">
        <f t="shared" si="5"/>
        <v>0</v>
      </c>
      <c r="H23" s="474">
        <f t="shared" si="6"/>
        <v>0</v>
      </c>
      <c r="I23" s="475">
        <f t="shared" si="36"/>
        <v>6298.6301369863022</v>
      </c>
      <c r="J23" s="475">
        <f t="shared" si="24"/>
        <v>0</v>
      </c>
      <c r="K23" s="476">
        <f t="shared" ref="K23:K29" si="39">N23*BSDailyTheta(L23,1/S23,1/O23,Q23,X23,Y23,T23)*1000000</f>
        <v>-5205.6220705327914</v>
      </c>
      <c r="L23" s="477" t="s">
        <v>139</v>
      </c>
      <c r="M23" s="478">
        <v>-95</v>
      </c>
      <c r="N23" s="478">
        <f>M23*EXP(I10*Q23/365)</f>
        <v>-96.268115223525598</v>
      </c>
      <c r="O23" s="479">
        <v>1000000000000000</v>
      </c>
      <c r="P23" s="480">
        <v>45220</v>
      </c>
      <c r="Q23" s="482">
        <f t="shared" si="25"/>
        <v>242</v>
      </c>
      <c r="R23" s="107">
        <f t="shared" si="26"/>
        <v>1</v>
      </c>
      <c r="S23" s="105">
        <f t="shared" si="27"/>
        <v>1</v>
      </c>
      <c r="T23" s="341">
        <v>0</v>
      </c>
      <c r="U23" s="341">
        <v>9.4200000000000006E-2</v>
      </c>
      <c r="V23" s="341">
        <v>9.4200000000000006E-2</v>
      </c>
      <c r="W23" s="341">
        <v>9.4200000000000006E-2</v>
      </c>
      <c r="X23" s="281">
        <f t="shared" si="8"/>
        <v>0.02</v>
      </c>
      <c r="Y23" s="282">
        <f t="shared" si="37"/>
        <v>0.1</v>
      </c>
      <c r="AA23" s="391">
        <f t="shared" ca="1" si="28"/>
        <v>0</v>
      </c>
      <c r="AB23" s="400">
        <f t="shared" ca="1" si="9"/>
        <v>0</v>
      </c>
      <c r="AC23" s="258">
        <f t="shared" ca="1" si="10"/>
        <v>0</v>
      </c>
      <c r="AD23" s="258">
        <f t="shared" ca="1" si="11"/>
        <v>0</v>
      </c>
      <c r="AE23" s="402">
        <f t="shared" ca="1" si="12"/>
        <v>0</v>
      </c>
      <c r="AF23" s="402">
        <f t="shared" ca="1" si="13"/>
        <v>0</v>
      </c>
      <c r="AG23" s="404">
        <f t="shared" ca="1" si="29"/>
        <v>0</v>
      </c>
      <c r="AH23" s="415">
        <f t="shared" ca="1" si="30"/>
        <v>0</v>
      </c>
      <c r="AI23" s="415">
        <f t="shared" ca="1" si="38"/>
        <v>0</v>
      </c>
      <c r="AJ23" s="416">
        <f t="shared" ca="1" si="31"/>
        <v>0</v>
      </c>
      <c r="AK23" s="416">
        <f t="shared" ca="1" si="32"/>
        <v>0</v>
      </c>
      <c r="AL23" s="416">
        <v>0</v>
      </c>
      <c r="AM23" s="269">
        <f t="shared" ref="AM23:AM86" ca="1" si="40">SUM(AG23:AL23)</f>
        <v>0</v>
      </c>
      <c r="AN23" s="422">
        <f t="shared" ca="1" si="33"/>
        <v>18.559999999999999</v>
      </c>
      <c r="AO23" s="423">
        <f t="shared" ca="1" si="15"/>
        <v>26170202.570269801</v>
      </c>
      <c r="AP23" s="271">
        <f t="shared" ca="1" si="16"/>
        <v>0</v>
      </c>
      <c r="AQ23" s="271">
        <f t="shared" ca="1" si="17"/>
        <v>0</v>
      </c>
      <c r="AR23" s="271">
        <f t="shared" ca="1" si="18"/>
        <v>0</v>
      </c>
      <c r="AS23" s="271">
        <f t="shared" ca="1" si="19"/>
        <v>0</v>
      </c>
      <c r="AT23" s="271">
        <f t="shared" ca="1" si="20"/>
        <v>0.02</v>
      </c>
      <c r="AU23" s="278">
        <f t="shared" ca="1" si="21"/>
        <v>0.1</v>
      </c>
    </row>
    <row r="24" spans="2:47" ht="13.15" thickBot="1" x14ac:dyDescent="0.4">
      <c r="B24" s="317">
        <f t="shared" si="34"/>
        <v>5</v>
      </c>
      <c r="C24" s="92">
        <f t="shared" ca="1" si="22"/>
        <v>0</v>
      </c>
      <c r="D24" s="92">
        <f t="shared" ca="1" si="3"/>
        <v>94483133.84112981</v>
      </c>
      <c r="E24" s="92">
        <f t="shared" ca="1" si="23"/>
        <v>94483133.84112981</v>
      </c>
      <c r="F24" s="134">
        <f t="shared" ca="1" si="35"/>
        <v>1736.6</v>
      </c>
      <c r="G24" s="407">
        <f t="shared" ca="1" si="5"/>
        <v>0</v>
      </c>
      <c r="H24" s="407">
        <f t="shared" ca="1" si="6"/>
        <v>0</v>
      </c>
      <c r="I24" s="276">
        <f t="shared" ca="1" si="36"/>
        <v>-1.2876100652687992E-8</v>
      </c>
      <c r="J24" s="276">
        <f t="shared" ca="1" si="24"/>
        <v>-6264.1535393533422</v>
      </c>
      <c r="K24" s="136">
        <f t="shared" ca="1" si="39"/>
        <v>25889.336415955244</v>
      </c>
      <c r="L24" s="72" t="str">
        <f t="shared" ca="1" si="7"/>
        <v>F</v>
      </c>
      <c r="M24" s="89">
        <f>-(M23*G6)</f>
        <v>1736.6000000000001</v>
      </c>
      <c r="N24" s="89">
        <f>M24*EXP((I11*Q24)/365)</f>
        <v>1855.6416672457804</v>
      </c>
      <c r="O24" s="429">
        <v>1000000000000000</v>
      </c>
      <c r="P24" s="308">
        <v>45220</v>
      </c>
      <c r="Q24" s="483">
        <f t="shared" si="25"/>
        <v>242</v>
      </c>
      <c r="R24" s="107">
        <f t="shared" ca="1" si="26"/>
        <v>18.380000000000003</v>
      </c>
      <c r="S24" s="105">
        <f t="shared" ca="1" si="27"/>
        <v>19.381213349147622</v>
      </c>
      <c r="T24" s="341">
        <v>0</v>
      </c>
      <c r="U24" s="341">
        <v>9.9699999999999997E-2</v>
      </c>
      <c r="V24" s="341">
        <v>9.9699999999999997E-2</v>
      </c>
      <c r="W24" s="341">
        <v>9.9699999999999997E-2</v>
      </c>
      <c r="X24" s="281">
        <f t="shared" si="8"/>
        <v>0.02</v>
      </c>
      <c r="Y24" s="282">
        <f t="shared" si="37"/>
        <v>0.1</v>
      </c>
      <c r="AA24" s="391">
        <f t="shared" ca="1" si="28"/>
        <v>0</v>
      </c>
      <c r="AB24" s="400">
        <f t="shared" ca="1" si="9"/>
        <v>0</v>
      </c>
      <c r="AC24" s="258">
        <f t="shared" ca="1" si="10"/>
        <v>0</v>
      </c>
      <c r="AD24" s="258">
        <f t="shared" ca="1" si="11"/>
        <v>0</v>
      </c>
      <c r="AE24" s="402">
        <f t="shared" ca="1" si="12"/>
        <v>0</v>
      </c>
      <c r="AF24" s="402">
        <f t="shared" ca="1" si="13"/>
        <v>0</v>
      </c>
      <c r="AG24" s="404">
        <f t="shared" ca="1" si="29"/>
        <v>0</v>
      </c>
      <c r="AH24" s="415">
        <f t="shared" ca="1" si="30"/>
        <v>0</v>
      </c>
      <c r="AI24" s="415">
        <f t="shared" ca="1" si="38"/>
        <v>0</v>
      </c>
      <c r="AJ24" s="416">
        <f t="shared" ca="1" si="31"/>
        <v>0</v>
      </c>
      <c r="AK24" s="416">
        <f t="shared" ca="1" si="32"/>
        <v>0</v>
      </c>
      <c r="AL24" s="416">
        <v>0</v>
      </c>
      <c r="AM24" s="269">
        <f t="shared" ca="1" si="40"/>
        <v>0</v>
      </c>
      <c r="AN24" s="422">
        <f t="shared" ca="1" si="33"/>
        <v>18.760000000000002</v>
      </c>
      <c r="AO24" s="423">
        <f t="shared" ca="1" si="15"/>
        <v>26452209.06348392</v>
      </c>
      <c r="AP24" s="271">
        <f t="shared" ca="1" si="16"/>
        <v>0</v>
      </c>
      <c r="AQ24" s="271">
        <f t="shared" ca="1" si="17"/>
        <v>0</v>
      </c>
      <c r="AR24" s="271">
        <f t="shared" ca="1" si="18"/>
        <v>0</v>
      </c>
      <c r="AS24" s="271">
        <f t="shared" ca="1" si="19"/>
        <v>0</v>
      </c>
      <c r="AT24" s="271">
        <f t="shared" ca="1" si="20"/>
        <v>0.02</v>
      </c>
      <c r="AU24" s="278">
        <f t="shared" ca="1" si="21"/>
        <v>0.1</v>
      </c>
    </row>
    <row r="25" spans="2:47" ht="13.15" thickBot="1" x14ac:dyDescent="0.4">
      <c r="B25" s="317">
        <f t="shared" si="34"/>
        <v>6</v>
      </c>
      <c r="C25" s="92">
        <f t="shared" ca="1" si="22"/>
        <v>0</v>
      </c>
      <c r="D25" s="92">
        <f ca="1">E25-AA25</f>
        <v>519171.10129346879</v>
      </c>
      <c r="E25" s="92">
        <f t="shared" ca="1" si="23"/>
        <v>519171.10129346879</v>
      </c>
      <c r="F25" s="134">
        <f t="shared" ca="1" si="35"/>
        <v>-1731.6945920757787</v>
      </c>
      <c r="G25" s="407">
        <f t="shared" ca="1" si="5"/>
        <v>0</v>
      </c>
      <c r="H25" s="407">
        <f t="shared" ca="1" si="6"/>
        <v>0</v>
      </c>
      <c r="I25" s="442">
        <f t="shared" ca="1" si="36"/>
        <v>-6280.8796766673604</v>
      </c>
      <c r="J25" s="442">
        <f t="shared" ca="1" si="24"/>
        <v>6246.4590625437413</v>
      </c>
      <c r="K25" s="136">
        <f t="shared" ca="1" si="39"/>
        <v>-20625.082349731245</v>
      </c>
      <c r="L25" s="72" t="str">
        <f t="shared" ca="1" si="7"/>
        <v>F</v>
      </c>
      <c r="M25" s="445">
        <v>-96</v>
      </c>
      <c r="N25" s="89">
        <f>M25*O25</f>
        <v>-1850.3999999999999</v>
      </c>
      <c r="O25" s="447">
        <f>ROUNDDOWN(G6*(EXP(I11*(Q25/365))/EXP(I10*(Q25/365))), 3)</f>
        <v>19.274999999999999</v>
      </c>
      <c r="P25" s="448">
        <v>45220</v>
      </c>
      <c r="Q25" s="449">
        <f t="shared" si="25"/>
        <v>242</v>
      </c>
      <c r="R25" s="450">
        <f t="shared" ca="1" si="26"/>
        <v>18.380000000000003</v>
      </c>
      <c r="S25" s="451">
        <f t="shared" ca="1" si="27"/>
        <v>19.381213349147622</v>
      </c>
      <c r="T25" s="452">
        <v>0</v>
      </c>
      <c r="U25" s="341">
        <v>0.11219999999999999</v>
      </c>
      <c r="V25" s="452">
        <v>0.11219999999999999</v>
      </c>
      <c r="W25" s="452">
        <v>0.11219999999999999</v>
      </c>
      <c r="X25" s="454">
        <f t="shared" si="8"/>
        <v>0.02</v>
      </c>
      <c r="Y25" s="282">
        <f t="shared" si="37"/>
        <v>0.1</v>
      </c>
      <c r="AA25" s="391">
        <f t="shared" ca="1" si="28"/>
        <v>0</v>
      </c>
      <c r="AB25" s="400">
        <f t="shared" ca="1" si="9"/>
        <v>0</v>
      </c>
      <c r="AC25" s="258">
        <f t="shared" ca="1" si="10"/>
        <v>0</v>
      </c>
      <c r="AD25" s="258">
        <f t="shared" ca="1" si="11"/>
        <v>0</v>
      </c>
      <c r="AE25" s="402">
        <f t="shared" ca="1" si="12"/>
        <v>0</v>
      </c>
      <c r="AF25" s="402">
        <f t="shared" ca="1" si="13"/>
        <v>0</v>
      </c>
      <c r="AG25" s="404">
        <f t="shared" ca="1" si="29"/>
        <v>0</v>
      </c>
      <c r="AH25" s="415">
        <f t="shared" ca="1" si="30"/>
        <v>0</v>
      </c>
      <c r="AI25" s="415">
        <f t="shared" ca="1" si="38"/>
        <v>0</v>
      </c>
      <c r="AJ25" s="416">
        <f t="shared" ca="1" si="31"/>
        <v>0</v>
      </c>
      <c r="AK25" s="416">
        <f t="shared" ca="1" si="32"/>
        <v>0</v>
      </c>
      <c r="AL25" s="416">
        <v>0</v>
      </c>
      <c r="AM25" s="269">
        <f t="shared" ca="1" si="40"/>
        <v>0</v>
      </c>
      <c r="AN25" s="422">
        <f t="shared" ca="1" si="33"/>
        <v>18.66</v>
      </c>
      <c r="AO25" s="423">
        <f t="shared" ca="1" si="15"/>
        <v>26311205.816876858</v>
      </c>
      <c r="AP25" s="271">
        <f t="shared" ca="1" si="16"/>
        <v>0</v>
      </c>
      <c r="AQ25" s="271">
        <f t="shared" ca="1" si="17"/>
        <v>0</v>
      </c>
      <c r="AR25" s="271">
        <f t="shared" ca="1" si="18"/>
        <v>0</v>
      </c>
      <c r="AS25" s="271">
        <f t="shared" ca="1" si="19"/>
        <v>0</v>
      </c>
      <c r="AT25" s="271">
        <f t="shared" ca="1" si="20"/>
        <v>0.02</v>
      </c>
      <c r="AU25" s="278">
        <f t="shared" ca="1" si="21"/>
        <v>0.1</v>
      </c>
    </row>
    <row r="26" spans="2:47" ht="13.15" thickBot="1" x14ac:dyDescent="0.4">
      <c r="B26" s="437">
        <f t="shared" si="34"/>
        <v>7</v>
      </c>
      <c r="C26" s="438">
        <f t="shared" ca="1" si="22"/>
        <v>0</v>
      </c>
      <c r="D26" s="438">
        <f t="shared" ca="1" si="3"/>
        <v>0</v>
      </c>
      <c r="E26" s="439">
        <f t="shared" ca="1" si="23"/>
        <v>0</v>
      </c>
      <c r="F26" s="440">
        <f t="shared" ca="1" si="35"/>
        <v>0</v>
      </c>
      <c r="G26" s="441">
        <f t="shared" ca="1" si="5"/>
        <v>0</v>
      </c>
      <c r="H26" s="441">
        <f t="shared" ca="1" si="6"/>
        <v>0</v>
      </c>
      <c r="I26" s="275">
        <f t="shared" ca="1" si="36"/>
        <v>0</v>
      </c>
      <c r="J26" s="275">
        <f t="shared" ca="1" si="24"/>
        <v>0</v>
      </c>
      <c r="K26" s="443">
        <f t="shared" ca="1" si="39"/>
        <v>0</v>
      </c>
      <c r="L26" s="444" t="str">
        <f t="shared" ca="1" si="7"/>
        <v>F</v>
      </c>
      <c r="M26" s="88">
        <f t="shared" ca="1" si="7"/>
        <v>0</v>
      </c>
      <c r="N26" s="446">
        <f t="shared" ca="1" si="7"/>
        <v>0</v>
      </c>
      <c r="O26" s="431">
        <v>1000000000000000</v>
      </c>
      <c r="P26" s="69">
        <v>109575</v>
      </c>
      <c r="Q26" s="3">
        <f t="shared" si="25"/>
        <v>64597</v>
      </c>
      <c r="R26" s="107">
        <f t="shared" ca="1" si="26"/>
        <v>18.380000000000003</v>
      </c>
      <c r="S26" s="105">
        <f t="shared" ca="1" si="27"/>
        <v>25893685.458928723</v>
      </c>
      <c r="T26" s="341">
        <v>0</v>
      </c>
      <c r="U26" s="453">
        <v>0.1036</v>
      </c>
      <c r="V26" s="341">
        <v>0.1036</v>
      </c>
      <c r="W26" s="341">
        <v>0.1036</v>
      </c>
      <c r="X26" s="281">
        <f t="shared" si="8"/>
        <v>0.02</v>
      </c>
      <c r="Y26" s="455">
        <f t="shared" si="37"/>
        <v>0.1</v>
      </c>
      <c r="AA26" s="391">
        <f t="shared" ca="1" si="28"/>
        <v>0</v>
      </c>
      <c r="AB26" s="400">
        <f t="shared" ca="1" si="9"/>
        <v>0</v>
      </c>
      <c r="AC26" s="258">
        <f t="shared" ca="1" si="10"/>
        <v>0</v>
      </c>
      <c r="AD26" s="258">
        <f t="shared" ca="1" si="11"/>
        <v>0</v>
      </c>
      <c r="AE26" s="402">
        <f t="shared" ca="1" si="12"/>
        <v>0</v>
      </c>
      <c r="AF26" s="402">
        <f t="shared" ca="1" si="13"/>
        <v>0</v>
      </c>
      <c r="AG26" s="404">
        <f t="shared" ca="1" si="29"/>
        <v>0</v>
      </c>
      <c r="AH26" s="415">
        <f t="shared" ca="1" si="30"/>
        <v>0</v>
      </c>
      <c r="AI26" s="415">
        <f t="shared" ca="1" si="38"/>
        <v>0</v>
      </c>
      <c r="AJ26" s="416">
        <f t="shared" ca="1" si="31"/>
        <v>0</v>
      </c>
      <c r="AK26" s="416">
        <f t="shared" ca="1" si="32"/>
        <v>0</v>
      </c>
      <c r="AL26" s="416">
        <v>0</v>
      </c>
      <c r="AM26" s="269">
        <f t="shared" ca="1" si="40"/>
        <v>0</v>
      </c>
      <c r="AN26" s="422">
        <f t="shared" ca="1" si="33"/>
        <v>18.66</v>
      </c>
      <c r="AO26" s="423">
        <f t="shared" ca="1" si="15"/>
        <v>26311205.816876858</v>
      </c>
      <c r="AP26" s="271">
        <f t="shared" ca="1" si="16"/>
        <v>0</v>
      </c>
      <c r="AQ26" s="271">
        <f t="shared" ca="1" si="17"/>
        <v>0</v>
      </c>
      <c r="AR26" s="271">
        <f t="shared" ca="1" si="18"/>
        <v>0</v>
      </c>
      <c r="AS26" s="271">
        <f t="shared" ca="1" si="19"/>
        <v>0</v>
      </c>
      <c r="AT26" s="271">
        <f t="shared" ca="1" si="20"/>
        <v>0.02</v>
      </c>
      <c r="AU26" s="278">
        <f t="shared" ca="1" si="21"/>
        <v>0.1</v>
      </c>
    </row>
    <row r="27" spans="2:47" ht="13.15" thickBot="1" x14ac:dyDescent="0.4">
      <c r="B27" s="434">
        <f t="shared" si="34"/>
        <v>8</v>
      </c>
      <c r="C27" s="85">
        <f t="shared" ca="1" si="22"/>
        <v>0</v>
      </c>
      <c r="D27" s="85">
        <f t="shared" ca="1" si="3"/>
        <v>0</v>
      </c>
      <c r="E27" s="84">
        <f t="shared" ca="1" si="23"/>
        <v>0</v>
      </c>
      <c r="F27" s="135">
        <f t="shared" ca="1" si="35"/>
        <v>0</v>
      </c>
      <c r="G27" s="409">
        <f t="shared" ca="1" si="5"/>
        <v>0</v>
      </c>
      <c r="H27" s="409">
        <f t="shared" ca="1" si="6"/>
        <v>0</v>
      </c>
      <c r="I27" s="275">
        <f t="shared" ca="1" si="36"/>
        <v>0</v>
      </c>
      <c r="J27" s="275">
        <f t="shared" ca="1" si="24"/>
        <v>0</v>
      </c>
      <c r="K27" s="137">
        <f t="shared" ca="1" si="39"/>
        <v>0</v>
      </c>
      <c r="L27" s="15" t="str">
        <f t="shared" ca="1" si="7"/>
        <v>F</v>
      </c>
      <c r="M27" s="88">
        <f t="shared" ca="1" si="7"/>
        <v>0</v>
      </c>
      <c r="N27" s="88">
        <f t="shared" ca="1" si="7"/>
        <v>0</v>
      </c>
      <c r="O27" s="431">
        <v>1000000000000000</v>
      </c>
      <c r="P27" s="69">
        <v>109575</v>
      </c>
      <c r="Q27" s="3">
        <f t="shared" si="25"/>
        <v>64597</v>
      </c>
      <c r="R27" s="107">
        <f t="shared" ca="1" si="26"/>
        <v>18.380000000000003</v>
      </c>
      <c r="S27" s="105">
        <f t="shared" ca="1" si="27"/>
        <v>25893685.458928723</v>
      </c>
      <c r="T27" s="341">
        <v>0</v>
      </c>
      <c r="U27" s="341">
        <v>8.5699999999999998E-2</v>
      </c>
      <c r="V27" s="341">
        <v>8.5699999999999998E-2</v>
      </c>
      <c r="W27" s="341">
        <v>8.5699999999999998E-2</v>
      </c>
      <c r="X27" s="281">
        <f t="shared" si="8"/>
        <v>0.02</v>
      </c>
      <c r="Y27" s="282">
        <f t="shared" si="37"/>
        <v>0.1</v>
      </c>
      <c r="AA27" s="391">
        <f t="shared" ca="1" si="28"/>
        <v>0</v>
      </c>
      <c r="AB27" s="400">
        <f t="shared" ca="1" si="9"/>
        <v>0</v>
      </c>
      <c r="AC27" s="258">
        <f t="shared" ca="1" si="10"/>
        <v>0</v>
      </c>
      <c r="AD27" s="258">
        <f t="shared" ca="1" si="11"/>
        <v>0</v>
      </c>
      <c r="AE27" s="402">
        <f t="shared" ca="1" si="12"/>
        <v>0</v>
      </c>
      <c r="AF27" s="402">
        <f t="shared" ca="1" si="13"/>
        <v>0</v>
      </c>
      <c r="AG27" s="404">
        <f t="shared" ca="1" si="29"/>
        <v>0</v>
      </c>
      <c r="AH27" s="415">
        <f t="shared" ca="1" si="30"/>
        <v>0</v>
      </c>
      <c r="AI27" s="415">
        <f t="shared" ca="1" si="38"/>
        <v>0</v>
      </c>
      <c r="AJ27" s="416">
        <f t="shared" ca="1" si="31"/>
        <v>0</v>
      </c>
      <c r="AK27" s="416">
        <f t="shared" ca="1" si="32"/>
        <v>0</v>
      </c>
      <c r="AL27" s="416">
        <v>0</v>
      </c>
      <c r="AM27" s="269">
        <f t="shared" ca="1" si="40"/>
        <v>0</v>
      </c>
      <c r="AN27" s="422">
        <f t="shared" ca="1" si="33"/>
        <v>18.66</v>
      </c>
      <c r="AO27" s="423">
        <f t="shared" ca="1" si="15"/>
        <v>26311205.816876858</v>
      </c>
      <c r="AP27" s="271">
        <f t="shared" ca="1" si="16"/>
        <v>0</v>
      </c>
      <c r="AQ27" s="271">
        <f t="shared" ca="1" si="17"/>
        <v>0</v>
      </c>
      <c r="AR27" s="271">
        <f t="shared" ca="1" si="18"/>
        <v>0</v>
      </c>
      <c r="AS27" s="271">
        <f t="shared" ca="1" si="19"/>
        <v>0</v>
      </c>
      <c r="AT27" s="271">
        <f t="shared" ca="1" si="20"/>
        <v>0.02</v>
      </c>
      <c r="AU27" s="278">
        <f t="shared" ca="1" si="21"/>
        <v>0.1</v>
      </c>
    </row>
    <row r="28" spans="2:47" ht="13.15" thickBot="1" x14ac:dyDescent="0.4">
      <c r="B28" s="18">
        <f t="shared" si="34"/>
        <v>9</v>
      </c>
      <c r="C28" s="85">
        <f t="shared" ca="1" si="22"/>
        <v>0</v>
      </c>
      <c r="D28" s="85">
        <f t="shared" ca="1" si="3"/>
        <v>0</v>
      </c>
      <c r="E28" s="84">
        <f t="shared" ca="1" si="23"/>
        <v>0</v>
      </c>
      <c r="F28" s="135">
        <f t="shared" ca="1" si="35"/>
        <v>0</v>
      </c>
      <c r="G28" s="409">
        <f t="shared" ca="1" si="5"/>
        <v>0</v>
      </c>
      <c r="H28" s="409">
        <f t="shared" ca="1" si="6"/>
        <v>0</v>
      </c>
      <c r="I28" s="275">
        <f t="shared" ca="1" si="36"/>
        <v>0</v>
      </c>
      <c r="J28" s="275">
        <f t="shared" ca="1" si="24"/>
        <v>0</v>
      </c>
      <c r="K28" s="137">
        <f t="shared" ca="1" si="39"/>
        <v>0</v>
      </c>
      <c r="L28" s="15" t="str">
        <f t="shared" ca="1" si="7"/>
        <v>F</v>
      </c>
      <c r="M28" s="88">
        <f t="shared" ca="1" si="7"/>
        <v>0</v>
      </c>
      <c r="N28" s="88">
        <f t="shared" ca="1" si="7"/>
        <v>0</v>
      </c>
      <c r="O28" s="431">
        <v>1000000000000000</v>
      </c>
      <c r="P28" s="69">
        <v>109575</v>
      </c>
      <c r="Q28" s="436">
        <f t="shared" si="25"/>
        <v>64597</v>
      </c>
      <c r="R28" s="107">
        <f t="shared" ref="R28:R91" ca="1" si="41">IF(L28="D",1,$I$6)</f>
        <v>18.380000000000003</v>
      </c>
      <c r="S28" s="105">
        <f t="shared" ref="S28:S91" ca="1" si="42">IF(L28="D",1,R28*EXP(-($I$10-$I$11)*Q28/365))</f>
        <v>25893685.458928723</v>
      </c>
      <c r="T28" s="341">
        <v>0</v>
      </c>
      <c r="U28" s="341">
        <v>0.1099</v>
      </c>
      <c r="V28" s="341">
        <v>0.1099</v>
      </c>
      <c r="W28" s="341">
        <v>0.1099</v>
      </c>
      <c r="X28" s="281">
        <f t="shared" si="8"/>
        <v>0.02</v>
      </c>
      <c r="Y28" s="282">
        <f t="shared" si="37"/>
        <v>0.1</v>
      </c>
      <c r="AA28" s="391">
        <f t="shared" ca="1" si="28"/>
        <v>0</v>
      </c>
      <c r="AB28" s="400">
        <f t="shared" ca="1" si="9"/>
        <v>0</v>
      </c>
      <c r="AC28" s="258">
        <f t="shared" ca="1" si="10"/>
        <v>0</v>
      </c>
      <c r="AD28" s="258">
        <f t="shared" ca="1" si="11"/>
        <v>0</v>
      </c>
      <c r="AE28" s="402">
        <f t="shared" ca="1" si="12"/>
        <v>0</v>
      </c>
      <c r="AF28" s="402">
        <f t="shared" ca="1" si="13"/>
        <v>0</v>
      </c>
      <c r="AG28" s="404">
        <f t="shared" ca="1" si="29"/>
        <v>0</v>
      </c>
      <c r="AH28" s="415">
        <f t="shared" ca="1" si="30"/>
        <v>0</v>
      </c>
      <c r="AI28" s="415">
        <f t="shared" ca="1" si="38"/>
        <v>0</v>
      </c>
      <c r="AJ28" s="416">
        <f t="shared" ca="1" si="31"/>
        <v>0</v>
      </c>
      <c r="AK28" s="416">
        <f t="shared" ca="1" si="32"/>
        <v>0</v>
      </c>
      <c r="AL28" s="416">
        <v>0</v>
      </c>
      <c r="AM28" s="269">
        <f t="shared" ca="1" si="40"/>
        <v>0</v>
      </c>
      <c r="AN28" s="422">
        <f t="shared" ca="1" si="33"/>
        <v>18.66</v>
      </c>
      <c r="AO28" s="423">
        <f t="shared" ca="1" si="15"/>
        <v>26311205.816876858</v>
      </c>
      <c r="AP28" s="271">
        <f t="shared" ca="1" si="16"/>
        <v>0</v>
      </c>
      <c r="AQ28" s="271">
        <f t="shared" ca="1" si="17"/>
        <v>0</v>
      </c>
      <c r="AR28" s="271">
        <f t="shared" ca="1" si="18"/>
        <v>0</v>
      </c>
      <c r="AS28" s="271">
        <f t="shared" ca="1" si="19"/>
        <v>0</v>
      </c>
      <c r="AT28" s="271">
        <f t="shared" ca="1" si="20"/>
        <v>0.02</v>
      </c>
      <c r="AU28" s="278">
        <f t="shared" ca="1" si="21"/>
        <v>0.1</v>
      </c>
    </row>
    <row r="29" spans="2:47" ht="13.15" thickBot="1" x14ac:dyDescent="0.4">
      <c r="B29" s="18">
        <f>B28+1</f>
        <v>10</v>
      </c>
      <c r="C29" s="85">
        <f t="shared" ca="1" si="22"/>
        <v>0</v>
      </c>
      <c r="D29" s="85">
        <f t="shared" ca="1" si="3"/>
        <v>0</v>
      </c>
      <c r="E29" s="84">
        <f t="shared" ca="1" si="23"/>
        <v>0</v>
      </c>
      <c r="F29" s="135">
        <f t="shared" ca="1" si="35"/>
        <v>0</v>
      </c>
      <c r="G29" s="409">
        <f t="shared" ca="1" si="5"/>
        <v>0</v>
      </c>
      <c r="H29" s="409">
        <f t="shared" ca="1" si="6"/>
        <v>0</v>
      </c>
      <c r="I29" s="275">
        <f t="shared" ca="1" si="36"/>
        <v>0</v>
      </c>
      <c r="J29" s="275">
        <f t="shared" ca="1" si="24"/>
        <v>0</v>
      </c>
      <c r="K29" s="137">
        <f t="shared" ca="1" si="39"/>
        <v>0</v>
      </c>
      <c r="L29" s="15" t="str">
        <f t="shared" ca="1" si="7"/>
        <v>F</v>
      </c>
      <c r="M29" s="88">
        <f t="shared" ca="1" si="7"/>
        <v>0</v>
      </c>
      <c r="N29" s="88">
        <f t="shared" ca="1" si="7"/>
        <v>0</v>
      </c>
      <c r="O29" s="431">
        <v>1000000000000000</v>
      </c>
      <c r="P29" s="69">
        <v>109575</v>
      </c>
      <c r="Q29" s="3">
        <f t="shared" si="25"/>
        <v>64597</v>
      </c>
      <c r="R29" s="107">
        <f t="shared" ca="1" si="41"/>
        <v>18.380000000000003</v>
      </c>
      <c r="S29" s="105">
        <f t="shared" ca="1" si="42"/>
        <v>25893685.458928723</v>
      </c>
      <c r="T29" s="341">
        <v>0</v>
      </c>
      <c r="U29" s="341">
        <v>0.11849999999999999</v>
      </c>
      <c r="V29" s="341">
        <v>0.11849999999999999</v>
      </c>
      <c r="W29" s="341">
        <v>0.11849999999999999</v>
      </c>
      <c r="X29" s="281">
        <f t="shared" si="8"/>
        <v>0.02</v>
      </c>
      <c r="Y29" s="282">
        <f t="shared" si="37"/>
        <v>0.1</v>
      </c>
      <c r="AA29" s="391">
        <f t="shared" ca="1" si="28"/>
        <v>0</v>
      </c>
      <c r="AB29" s="400">
        <f t="shared" ca="1" si="9"/>
        <v>0</v>
      </c>
      <c r="AC29" s="258">
        <f t="shared" ca="1" si="10"/>
        <v>0</v>
      </c>
      <c r="AD29" s="258">
        <f t="shared" ca="1" si="11"/>
        <v>0</v>
      </c>
      <c r="AE29" s="402">
        <f t="shared" ca="1" si="12"/>
        <v>0</v>
      </c>
      <c r="AF29" s="402">
        <f t="shared" ca="1" si="13"/>
        <v>0</v>
      </c>
      <c r="AG29" s="404">
        <f t="shared" ca="1" si="29"/>
        <v>0</v>
      </c>
      <c r="AH29" s="415">
        <f t="shared" ca="1" si="30"/>
        <v>0</v>
      </c>
      <c r="AI29" s="415">
        <f t="shared" ca="1" si="38"/>
        <v>0</v>
      </c>
      <c r="AJ29" s="416">
        <f t="shared" ca="1" si="31"/>
        <v>0</v>
      </c>
      <c r="AK29" s="416">
        <f t="shared" ca="1" si="32"/>
        <v>0</v>
      </c>
      <c r="AL29" s="416">
        <v>0</v>
      </c>
      <c r="AM29" s="269">
        <f t="shared" ca="1" si="40"/>
        <v>0</v>
      </c>
      <c r="AN29" s="422">
        <f t="shared" ca="1" si="33"/>
        <v>18.66</v>
      </c>
      <c r="AO29" s="423">
        <f t="shared" ca="1" si="15"/>
        <v>26311205.816876858</v>
      </c>
      <c r="AP29" s="271">
        <f t="shared" ca="1" si="16"/>
        <v>0</v>
      </c>
      <c r="AQ29" s="271">
        <f t="shared" ca="1" si="17"/>
        <v>0</v>
      </c>
      <c r="AR29" s="271">
        <f t="shared" ca="1" si="18"/>
        <v>0</v>
      </c>
      <c r="AS29" s="271">
        <f t="shared" ca="1" si="19"/>
        <v>0</v>
      </c>
      <c r="AT29" s="271">
        <f t="shared" ca="1" si="20"/>
        <v>0.02</v>
      </c>
      <c r="AU29" s="278">
        <f t="shared" ca="1" si="21"/>
        <v>0.1</v>
      </c>
    </row>
    <row r="30" spans="2:47" ht="13.15" thickBot="1" x14ac:dyDescent="0.4">
      <c r="B30" s="18">
        <f t="shared" ref="B30:B93" si="43">B29+1</f>
        <v>11</v>
      </c>
      <c r="C30" s="85">
        <f t="shared" ref="C30:C66" ca="1" si="44">AM30</f>
        <v>0</v>
      </c>
      <c r="D30" s="85">
        <f t="shared" ref="D30:D66" ca="1" si="45">E30-AA30</f>
        <v>0</v>
      </c>
      <c r="E30" s="84">
        <f t="shared" ref="E30:E66" ca="1" si="46">N30*BSPrice(L30,1/S30,1/O30,Q30,X30,Y30,T30)*1000000</f>
        <v>0</v>
      </c>
      <c r="F30" s="135">
        <f t="shared" ref="F30:F66" ca="1" si="47">N30*BSDelta(L30,1/S30,1/O30,Q30,X30,Y30,T30)</f>
        <v>0</v>
      </c>
      <c r="G30" s="409">
        <f t="shared" ca="1" si="5"/>
        <v>0</v>
      </c>
      <c r="H30" s="409">
        <f t="shared" ca="1" si="6"/>
        <v>0</v>
      </c>
      <c r="I30" s="275">
        <f t="shared" ref="I30:I66" ca="1" si="48">N30*BSDailyRhoUSD(L30,1/S30,1/O30,Q30,X30,Y30,T30)*1000000</f>
        <v>0</v>
      </c>
      <c r="J30" s="275">
        <f t="shared" ref="J30:J66" ca="1" si="49">N30*BSDailyRhoExt(L30,1/S30,1/O30,Q30,X30,Y30,T30)*1000000</f>
        <v>0</v>
      </c>
      <c r="K30" s="137">
        <f t="shared" ref="K30:K66" ca="1" si="50">N30*BSDailyTheta(L30,1/S30,1/O30,Q30,X30,Y30,T30)*1000000</f>
        <v>0</v>
      </c>
      <c r="L30" s="15" t="str">
        <f t="shared" ca="1" si="7"/>
        <v>F</v>
      </c>
      <c r="M30" s="88">
        <f t="shared" ca="1" si="7"/>
        <v>0</v>
      </c>
      <c r="N30" s="88">
        <f t="shared" ca="1" si="7"/>
        <v>0</v>
      </c>
      <c r="O30" s="431">
        <v>1000000000000000</v>
      </c>
      <c r="P30" s="69">
        <v>109575</v>
      </c>
      <c r="Q30" s="3">
        <f t="shared" ref="Q30:Q66" si="51">(P30-$H$2)</f>
        <v>64597</v>
      </c>
      <c r="R30" s="107">
        <f t="shared" ca="1" si="41"/>
        <v>18.380000000000003</v>
      </c>
      <c r="S30" s="105">
        <f t="shared" ca="1" si="42"/>
        <v>25893685.458928723</v>
      </c>
      <c r="T30" s="341">
        <v>0</v>
      </c>
      <c r="U30" s="341">
        <v>0.11849999999999999</v>
      </c>
      <c r="V30" s="341">
        <v>0.11849999999999999</v>
      </c>
      <c r="W30" s="341">
        <v>0.11849999999999999</v>
      </c>
      <c r="X30" s="281">
        <f t="shared" si="8"/>
        <v>0.02</v>
      </c>
      <c r="Y30" s="282">
        <f t="shared" si="37"/>
        <v>0.1</v>
      </c>
      <c r="AA30" s="391">
        <f t="shared" ca="1" si="28"/>
        <v>0</v>
      </c>
      <c r="AB30" s="400">
        <f t="shared" ca="1" si="9"/>
        <v>0</v>
      </c>
      <c r="AC30" s="258">
        <f t="shared" ref="AC30:AC66" ca="1" si="52">INDIRECT("'"&amp; $AB$16 &amp;"'!"&amp; ADDRESS(ROW(G30),COLUMN(G30),4))</f>
        <v>0</v>
      </c>
      <c r="AD30" s="258">
        <f t="shared" ref="AD30:AD66" ca="1" si="53">INDIRECT("'"&amp; $AB$16 &amp;"'!"&amp; ADDRESS(ROW(H30),COLUMN(H30),4))</f>
        <v>0</v>
      </c>
      <c r="AE30" s="402">
        <f t="shared" ref="AE30:AE66" ca="1" si="54">INDIRECT("'"&amp; $AB$16 &amp;"'!"&amp; ADDRESS(ROW(I30),COLUMN(I30),4))</f>
        <v>0</v>
      </c>
      <c r="AF30" s="402">
        <f t="shared" ref="AF30:AF66" ca="1" si="55">INDIRECT("'"&amp; $AB$16 &amp;"'!"&amp; ADDRESS(ROW(J30),COLUMN(J30),4))</f>
        <v>0</v>
      </c>
      <c r="AG30" s="404">
        <f t="shared" ca="1" si="29"/>
        <v>0</v>
      </c>
      <c r="AH30" s="415">
        <f t="shared" ca="1" si="30"/>
        <v>0</v>
      </c>
      <c r="AI30" s="415">
        <f t="shared" ca="1" si="38"/>
        <v>0</v>
      </c>
      <c r="AJ30" s="416">
        <f t="shared" ca="1" si="31"/>
        <v>0</v>
      </c>
      <c r="AK30" s="416">
        <f t="shared" ca="1" si="32"/>
        <v>0</v>
      </c>
      <c r="AL30" s="416">
        <v>0</v>
      </c>
      <c r="AM30" s="269">
        <f t="shared" ca="1" si="40"/>
        <v>0</v>
      </c>
      <c r="AN30" s="422">
        <f t="shared" ref="AN30:AN66" ca="1" si="56">INDIRECT("'"&amp; $AB$16 &amp;"'!"&amp; ADDRESS(ROW(R30),COLUMN(R30),4))</f>
        <v>18.66</v>
      </c>
      <c r="AO30" s="423">
        <f t="shared" ref="AO30:AO66" ca="1" si="57">INDIRECT("'"&amp; $AB$16 &amp;"'!"&amp; ADDRESS(ROW(S30),COLUMN(S30),4))</f>
        <v>26311205.816876858</v>
      </c>
      <c r="AP30" s="271">
        <f t="shared" ref="AP30:AP66" ca="1" si="58">INDIRECT("'"&amp; $AB$16 &amp;"'!"&amp; ADDRESS(ROW(T30),COLUMN(T30),4))</f>
        <v>0</v>
      </c>
      <c r="AQ30" s="271">
        <f t="shared" ref="AQ30:AQ66" ca="1" si="59">INDIRECT("'"&amp; $AB$16 &amp;"'!"&amp; ADDRESS(ROW(U30),COLUMN(U30),4))</f>
        <v>0</v>
      </c>
      <c r="AR30" s="271">
        <f t="shared" ref="AR30:AR66" ca="1" si="60">INDIRECT("'"&amp; $AB$16 &amp;"'!"&amp; ADDRESS(ROW(V30),COLUMN(V30),4))</f>
        <v>0</v>
      </c>
      <c r="AS30" s="271">
        <f t="shared" ref="AS30:AS66" ca="1" si="61">INDIRECT("'"&amp; $AB$16 &amp;"'!"&amp; ADDRESS(ROW(W30),COLUMN(W30),4))</f>
        <v>0</v>
      </c>
      <c r="AT30" s="271">
        <f t="shared" ref="AT30:AT66" ca="1" si="62">INDIRECT("'"&amp; $AB$16 &amp;"'!"&amp; ADDRESS(ROW(X30),COLUMN(X30),4))</f>
        <v>0.02</v>
      </c>
      <c r="AU30" s="278">
        <f t="shared" ref="AU30:AU66" ca="1" si="63">INDIRECT("'"&amp; $AB$16 &amp;"'!"&amp; ADDRESS(ROW(Y30),COLUMN(Y30),4))</f>
        <v>0.1</v>
      </c>
    </row>
    <row r="31" spans="2:47" ht="13.15" thickBot="1" x14ac:dyDescent="0.4">
      <c r="B31" s="18">
        <f t="shared" si="43"/>
        <v>12</v>
      </c>
      <c r="C31" s="85">
        <f ca="1">AM31</f>
        <v>0</v>
      </c>
      <c r="D31" s="85">
        <f t="shared" ca="1" si="45"/>
        <v>0</v>
      </c>
      <c r="E31" s="84">
        <f t="shared" ca="1" si="46"/>
        <v>0</v>
      </c>
      <c r="F31" s="135">
        <f t="shared" ca="1" si="47"/>
        <v>0</v>
      </c>
      <c r="G31" s="409">
        <f t="shared" ca="1" si="5"/>
        <v>0</v>
      </c>
      <c r="H31" s="409">
        <f t="shared" ca="1" si="6"/>
        <v>0</v>
      </c>
      <c r="I31" s="275">
        <f t="shared" ca="1" si="48"/>
        <v>0</v>
      </c>
      <c r="J31" s="275">
        <f t="shared" ca="1" si="49"/>
        <v>0</v>
      </c>
      <c r="K31" s="137">
        <f t="shared" ca="1" si="50"/>
        <v>0</v>
      </c>
      <c r="L31" s="15" t="str">
        <f t="shared" ca="1" si="7"/>
        <v>F</v>
      </c>
      <c r="M31" s="88">
        <f t="shared" ca="1" si="7"/>
        <v>0</v>
      </c>
      <c r="N31" s="88">
        <f t="shared" ca="1" si="7"/>
        <v>0</v>
      </c>
      <c r="O31" s="431">
        <v>1000000000000000</v>
      </c>
      <c r="P31" s="69">
        <v>109575</v>
      </c>
      <c r="Q31" s="3">
        <f t="shared" si="51"/>
        <v>64597</v>
      </c>
      <c r="R31" s="107">
        <f t="shared" ca="1" si="41"/>
        <v>18.380000000000003</v>
      </c>
      <c r="S31" s="105">
        <f t="shared" ca="1" si="42"/>
        <v>25893685.458928723</v>
      </c>
      <c r="T31" s="341">
        <v>0</v>
      </c>
      <c r="U31" s="341">
        <v>0.11849999999999999</v>
      </c>
      <c r="V31" s="341">
        <v>0.11849999999999999</v>
      </c>
      <c r="W31" s="341">
        <v>0.11849999999999999</v>
      </c>
      <c r="X31" s="281">
        <f t="shared" si="8"/>
        <v>0.02</v>
      </c>
      <c r="Y31" s="282">
        <f t="shared" si="37"/>
        <v>0.1</v>
      </c>
      <c r="AA31" s="391">
        <f t="shared" ca="1" si="28"/>
        <v>0</v>
      </c>
      <c r="AB31" s="400">
        <f t="shared" ca="1" si="9"/>
        <v>0</v>
      </c>
      <c r="AC31" s="258">
        <f t="shared" ca="1" si="52"/>
        <v>0</v>
      </c>
      <c r="AD31" s="258">
        <f t="shared" ca="1" si="53"/>
        <v>0</v>
      </c>
      <c r="AE31" s="402">
        <f t="shared" ca="1" si="54"/>
        <v>0</v>
      </c>
      <c r="AF31" s="402">
        <f t="shared" ca="1" si="55"/>
        <v>0</v>
      </c>
      <c r="AG31" s="404">
        <f t="shared" ca="1" si="29"/>
        <v>0</v>
      </c>
      <c r="AH31" s="415">
        <f t="shared" ca="1" si="30"/>
        <v>0</v>
      </c>
      <c r="AI31" s="415">
        <f t="shared" ca="1" si="38"/>
        <v>0</v>
      </c>
      <c r="AJ31" s="416">
        <f t="shared" ca="1" si="31"/>
        <v>0</v>
      </c>
      <c r="AK31" s="416">
        <f t="shared" ca="1" si="32"/>
        <v>0</v>
      </c>
      <c r="AL31" s="416">
        <v>0</v>
      </c>
      <c r="AM31" s="269">
        <f t="shared" ca="1" si="40"/>
        <v>0</v>
      </c>
      <c r="AN31" s="422">
        <f t="shared" ca="1" si="56"/>
        <v>18.66</v>
      </c>
      <c r="AO31" s="423">
        <f t="shared" ca="1" si="57"/>
        <v>26311205.816876858</v>
      </c>
      <c r="AP31" s="271">
        <f t="shared" ca="1" si="58"/>
        <v>0</v>
      </c>
      <c r="AQ31" s="271">
        <f t="shared" ca="1" si="59"/>
        <v>0</v>
      </c>
      <c r="AR31" s="271">
        <f t="shared" ca="1" si="60"/>
        <v>0</v>
      </c>
      <c r="AS31" s="271">
        <f t="shared" ca="1" si="61"/>
        <v>0</v>
      </c>
      <c r="AT31" s="271">
        <f t="shared" ca="1" si="62"/>
        <v>0.02</v>
      </c>
      <c r="AU31" s="278">
        <f t="shared" ca="1" si="63"/>
        <v>0.1</v>
      </c>
    </row>
    <row r="32" spans="2:47" ht="13.15" thickBot="1" x14ac:dyDescent="0.4">
      <c r="B32" s="18">
        <f t="shared" si="43"/>
        <v>13</v>
      </c>
      <c r="C32" s="85">
        <f t="shared" ca="1" si="44"/>
        <v>0</v>
      </c>
      <c r="D32" s="85">
        <f t="shared" ca="1" si="45"/>
        <v>0</v>
      </c>
      <c r="E32" s="84">
        <f t="shared" ca="1" si="46"/>
        <v>0</v>
      </c>
      <c r="F32" s="135">
        <f t="shared" ca="1" si="47"/>
        <v>0</v>
      </c>
      <c r="G32" s="409">
        <f t="shared" ca="1" si="5"/>
        <v>0</v>
      </c>
      <c r="H32" s="409">
        <f t="shared" ca="1" si="6"/>
        <v>0</v>
      </c>
      <c r="I32" s="275">
        <f t="shared" ca="1" si="48"/>
        <v>0</v>
      </c>
      <c r="J32" s="275">
        <f t="shared" ca="1" si="49"/>
        <v>0</v>
      </c>
      <c r="K32" s="137">
        <f t="shared" ca="1" si="50"/>
        <v>0</v>
      </c>
      <c r="L32" s="15" t="str">
        <f t="shared" ca="1" si="7"/>
        <v>F</v>
      </c>
      <c r="M32" s="88">
        <f t="shared" ca="1" si="7"/>
        <v>0</v>
      </c>
      <c r="N32" s="88">
        <f t="shared" ca="1" si="7"/>
        <v>0</v>
      </c>
      <c r="O32" s="432">
        <v>1000000000000000</v>
      </c>
      <c r="P32" s="69">
        <v>109575</v>
      </c>
      <c r="Q32" s="3">
        <f t="shared" si="51"/>
        <v>64597</v>
      </c>
      <c r="R32" s="107">
        <f t="shared" ca="1" si="41"/>
        <v>18.380000000000003</v>
      </c>
      <c r="S32" s="105">
        <f t="shared" ca="1" si="42"/>
        <v>25893685.458928723</v>
      </c>
      <c r="T32" s="341">
        <v>0</v>
      </c>
      <c r="U32" s="341">
        <v>0.11849999999999999</v>
      </c>
      <c r="V32" s="341">
        <v>0.11849999999999999</v>
      </c>
      <c r="W32" s="341">
        <v>0.11849999999999999</v>
      </c>
      <c r="X32" s="281">
        <f t="shared" si="8"/>
        <v>0.02</v>
      </c>
      <c r="Y32" s="282">
        <f t="shared" si="37"/>
        <v>0.1</v>
      </c>
      <c r="AA32" s="391">
        <f t="shared" ca="1" si="28"/>
        <v>0</v>
      </c>
      <c r="AB32" s="400">
        <f t="shared" ca="1" si="9"/>
        <v>0</v>
      </c>
      <c r="AC32" s="258">
        <f t="shared" ca="1" si="52"/>
        <v>0</v>
      </c>
      <c r="AD32" s="258">
        <f t="shared" ca="1" si="53"/>
        <v>0</v>
      </c>
      <c r="AE32" s="402">
        <f t="shared" ca="1" si="54"/>
        <v>0</v>
      </c>
      <c r="AF32" s="402">
        <f t="shared" ca="1" si="55"/>
        <v>0</v>
      </c>
      <c r="AG32" s="404">
        <f t="shared" ca="1" si="29"/>
        <v>0</v>
      </c>
      <c r="AH32" s="415">
        <f t="shared" ca="1" si="30"/>
        <v>0</v>
      </c>
      <c r="AI32" s="415">
        <f t="shared" ca="1" si="38"/>
        <v>0</v>
      </c>
      <c r="AJ32" s="416">
        <f t="shared" ca="1" si="31"/>
        <v>0</v>
      </c>
      <c r="AK32" s="416">
        <f t="shared" ca="1" si="32"/>
        <v>0</v>
      </c>
      <c r="AL32" s="416">
        <v>0</v>
      </c>
      <c r="AM32" s="269">
        <f t="shared" ca="1" si="40"/>
        <v>0</v>
      </c>
      <c r="AN32" s="422">
        <f t="shared" ca="1" si="56"/>
        <v>18.66</v>
      </c>
      <c r="AO32" s="423">
        <f t="shared" ca="1" si="57"/>
        <v>26311205.816876858</v>
      </c>
      <c r="AP32" s="271">
        <f t="shared" ca="1" si="58"/>
        <v>0</v>
      </c>
      <c r="AQ32" s="271">
        <f t="shared" ca="1" si="59"/>
        <v>0</v>
      </c>
      <c r="AR32" s="271">
        <f t="shared" ca="1" si="60"/>
        <v>0</v>
      </c>
      <c r="AS32" s="271">
        <f t="shared" ca="1" si="61"/>
        <v>0</v>
      </c>
      <c r="AT32" s="271">
        <f t="shared" ca="1" si="62"/>
        <v>0.02</v>
      </c>
      <c r="AU32" s="278">
        <f t="shared" ca="1" si="63"/>
        <v>0.1</v>
      </c>
    </row>
    <row r="33" spans="2:47" ht="13.15" thickBot="1" x14ac:dyDescent="0.4">
      <c r="B33" s="18">
        <f t="shared" si="43"/>
        <v>14</v>
      </c>
      <c r="C33" s="85">
        <f t="shared" ca="1" si="44"/>
        <v>0</v>
      </c>
      <c r="D33" s="85">
        <f t="shared" ca="1" si="45"/>
        <v>0</v>
      </c>
      <c r="E33" s="84">
        <f t="shared" ca="1" si="46"/>
        <v>0</v>
      </c>
      <c r="F33" s="135">
        <f t="shared" ca="1" si="47"/>
        <v>0</v>
      </c>
      <c r="G33" s="409">
        <f t="shared" ca="1" si="5"/>
        <v>0</v>
      </c>
      <c r="H33" s="409">
        <f t="shared" ca="1" si="6"/>
        <v>0</v>
      </c>
      <c r="I33" s="275">
        <f t="shared" ca="1" si="48"/>
        <v>0</v>
      </c>
      <c r="J33" s="275">
        <f t="shared" ca="1" si="49"/>
        <v>0</v>
      </c>
      <c r="K33" s="137">
        <f t="shared" ca="1" si="50"/>
        <v>0</v>
      </c>
      <c r="L33" s="15" t="str">
        <f t="shared" ca="1" si="7"/>
        <v>F</v>
      </c>
      <c r="M33" s="88">
        <f t="shared" ca="1" si="7"/>
        <v>0</v>
      </c>
      <c r="N33" s="88">
        <f t="shared" ca="1" si="7"/>
        <v>0</v>
      </c>
      <c r="O33" s="432">
        <v>1000000000000000</v>
      </c>
      <c r="P33" s="69">
        <v>109575</v>
      </c>
      <c r="Q33" s="3">
        <f t="shared" si="51"/>
        <v>64597</v>
      </c>
      <c r="R33" s="107">
        <f t="shared" ca="1" si="41"/>
        <v>18.380000000000003</v>
      </c>
      <c r="S33" s="105">
        <f t="shared" ca="1" si="42"/>
        <v>25893685.458928723</v>
      </c>
      <c r="T33" s="341">
        <v>0</v>
      </c>
      <c r="U33" s="341">
        <v>0.11849999999999999</v>
      </c>
      <c r="V33" s="341">
        <v>0.11849999999999999</v>
      </c>
      <c r="W33" s="341">
        <v>0.11849999999999999</v>
      </c>
      <c r="X33" s="281">
        <f t="shared" si="8"/>
        <v>0.02</v>
      </c>
      <c r="Y33" s="282">
        <f t="shared" si="37"/>
        <v>0.1</v>
      </c>
      <c r="AA33" s="391">
        <f t="shared" ca="1" si="28"/>
        <v>0</v>
      </c>
      <c r="AB33" s="400">
        <f t="shared" ca="1" si="9"/>
        <v>0</v>
      </c>
      <c r="AC33" s="258">
        <f t="shared" ca="1" si="52"/>
        <v>0</v>
      </c>
      <c r="AD33" s="258">
        <f t="shared" ca="1" si="53"/>
        <v>0</v>
      </c>
      <c r="AE33" s="402">
        <f t="shared" ca="1" si="54"/>
        <v>0</v>
      </c>
      <c r="AF33" s="402">
        <f t="shared" ca="1" si="55"/>
        <v>0</v>
      </c>
      <c r="AG33" s="404">
        <f t="shared" ca="1" si="29"/>
        <v>0</v>
      </c>
      <c r="AH33" s="415">
        <f t="shared" ca="1" si="30"/>
        <v>0</v>
      </c>
      <c r="AI33" s="415">
        <f t="shared" ca="1" si="38"/>
        <v>0</v>
      </c>
      <c r="AJ33" s="416">
        <f t="shared" ca="1" si="31"/>
        <v>0</v>
      </c>
      <c r="AK33" s="416">
        <f t="shared" ca="1" si="32"/>
        <v>0</v>
      </c>
      <c r="AL33" s="416">
        <v>0</v>
      </c>
      <c r="AM33" s="269">
        <f t="shared" ca="1" si="40"/>
        <v>0</v>
      </c>
      <c r="AN33" s="422">
        <f t="shared" ca="1" si="56"/>
        <v>18.66</v>
      </c>
      <c r="AO33" s="423">
        <f t="shared" ca="1" si="57"/>
        <v>26311205.816876858</v>
      </c>
      <c r="AP33" s="271">
        <f t="shared" ca="1" si="58"/>
        <v>0</v>
      </c>
      <c r="AQ33" s="271">
        <f t="shared" ca="1" si="59"/>
        <v>0</v>
      </c>
      <c r="AR33" s="271">
        <f t="shared" ca="1" si="60"/>
        <v>0</v>
      </c>
      <c r="AS33" s="271">
        <f t="shared" ca="1" si="61"/>
        <v>0</v>
      </c>
      <c r="AT33" s="271">
        <f t="shared" ca="1" si="62"/>
        <v>0.02</v>
      </c>
      <c r="AU33" s="278">
        <f t="shared" ca="1" si="63"/>
        <v>0.1</v>
      </c>
    </row>
    <row r="34" spans="2:47" ht="13.15" thickBot="1" x14ac:dyDescent="0.4">
      <c r="B34" s="18">
        <f t="shared" si="43"/>
        <v>15</v>
      </c>
      <c r="C34" s="85">
        <f t="shared" ca="1" si="44"/>
        <v>0</v>
      </c>
      <c r="D34" s="85">
        <f t="shared" ca="1" si="45"/>
        <v>0</v>
      </c>
      <c r="E34" s="84">
        <f t="shared" ca="1" si="46"/>
        <v>0</v>
      </c>
      <c r="F34" s="135">
        <f t="shared" ca="1" si="47"/>
        <v>0</v>
      </c>
      <c r="G34" s="409">
        <f t="shared" ca="1" si="5"/>
        <v>0</v>
      </c>
      <c r="H34" s="409">
        <f t="shared" ca="1" si="6"/>
        <v>0</v>
      </c>
      <c r="I34" s="275">
        <f t="shared" ca="1" si="48"/>
        <v>0</v>
      </c>
      <c r="J34" s="275">
        <f t="shared" ca="1" si="49"/>
        <v>0</v>
      </c>
      <c r="K34" s="137">
        <f t="shared" ca="1" si="50"/>
        <v>0</v>
      </c>
      <c r="L34" s="15" t="str">
        <f t="shared" ca="1" si="7"/>
        <v>F</v>
      </c>
      <c r="M34" s="88">
        <f t="shared" ca="1" si="7"/>
        <v>0</v>
      </c>
      <c r="N34" s="88">
        <f t="shared" ca="1" si="7"/>
        <v>0</v>
      </c>
      <c r="O34" s="432">
        <v>1000000000000000</v>
      </c>
      <c r="P34" s="69">
        <v>109575</v>
      </c>
      <c r="Q34" s="3">
        <f t="shared" si="51"/>
        <v>64597</v>
      </c>
      <c r="R34" s="107">
        <f t="shared" ca="1" si="41"/>
        <v>18.380000000000003</v>
      </c>
      <c r="S34" s="105">
        <f t="shared" ca="1" si="42"/>
        <v>25893685.458928723</v>
      </c>
      <c r="T34" s="341">
        <v>0</v>
      </c>
      <c r="U34" s="341">
        <v>0.11849999999999999</v>
      </c>
      <c r="V34" s="341">
        <v>0.11849999999999999</v>
      </c>
      <c r="W34" s="341">
        <v>0.11849999999999999</v>
      </c>
      <c r="X34" s="281">
        <f t="shared" si="8"/>
        <v>0.02</v>
      </c>
      <c r="Y34" s="282">
        <f t="shared" si="37"/>
        <v>0.1</v>
      </c>
      <c r="AA34" s="391">
        <f t="shared" ca="1" si="28"/>
        <v>0</v>
      </c>
      <c r="AB34" s="400">
        <f t="shared" ca="1" si="9"/>
        <v>0</v>
      </c>
      <c r="AC34" s="258">
        <f t="shared" ca="1" si="52"/>
        <v>0</v>
      </c>
      <c r="AD34" s="258">
        <f t="shared" ca="1" si="53"/>
        <v>0</v>
      </c>
      <c r="AE34" s="402">
        <f t="shared" ca="1" si="54"/>
        <v>0</v>
      </c>
      <c r="AF34" s="402">
        <f t="shared" ca="1" si="55"/>
        <v>0</v>
      </c>
      <c r="AG34" s="404">
        <f t="shared" ca="1" si="29"/>
        <v>0</v>
      </c>
      <c r="AH34" s="415">
        <f t="shared" ca="1" si="30"/>
        <v>0</v>
      </c>
      <c r="AI34" s="415">
        <f t="shared" ca="1" si="38"/>
        <v>0</v>
      </c>
      <c r="AJ34" s="416">
        <f t="shared" ca="1" si="31"/>
        <v>0</v>
      </c>
      <c r="AK34" s="416">
        <f t="shared" ca="1" si="32"/>
        <v>0</v>
      </c>
      <c r="AL34" s="416">
        <v>0</v>
      </c>
      <c r="AM34" s="269">
        <f t="shared" ca="1" si="40"/>
        <v>0</v>
      </c>
      <c r="AN34" s="422">
        <f t="shared" ca="1" si="56"/>
        <v>18.66</v>
      </c>
      <c r="AO34" s="423">
        <f t="shared" ca="1" si="57"/>
        <v>26311205.816876858</v>
      </c>
      <c r="AP34" s="271">
        <f t="shared" ca="1" si="58"/>
        <v>0</v>
      </c>
      <c r="AQ34" s="271">
        <f t="shared" ca="1" si="59"/>
        <v>0</v>
      </c>
      <c r="AR34" s="271">
        <f t="shared" ca="1" si="60"/>
        <v>0</v>
      </c>
      <c r="AS34" s="271">
        <f t="shared" ca="1" si="61"/>
        <v>0</v>
      </c>
      <c r="AT34" s="271">
        <f t="shared" ca="1" si="62"/>
        <v>0.02</v>
      </c>
      <c r="AU34" s="278">
        <f t="shared" ca="1" si="63"/>
        <v>0.1</v>
      </c>
    </row>
    <row r="35" spans="2:47" ht="13.15" thickBot="1" x14ac:dyDescent="0.4">
      <c r="B35" s="18">
        <f t="shared" si="43"/>
        <v>16</v>
      </c>
      <c r="C35" s="85">
        <f t="shared" ca="1" si="44"/>
        <v>0</v>
      </c>
      <c r="D35" s="85">
        <f t="shared" ca="1" si="45"/>
        <v>0</v>
      </c>
      <c r="E35" s="84">
        <f t="shared" ca="1" si="46"/>
        <v>0</v>
      </c>
      <c r="F35" s="135">
        <f t="shared" ca="1" si="47"/>
        <v>0</v>
      </c>
      <c r="G35" s="409">
        <f t="shared" ca="1" si="5"/>
        <v>0</v>
      </c>
      <c r="H35" s="409">
        <f t="shared" ca="1" si="6"/>
        <v>0</v>
      </c>
      <c r="I35" s="275">
        <f t="shared" ca="1" si="48"/>
        <v>0</v>
      </c>
      <c r="J35" s="275">
        <f t="shared" ca="1" si="49"/>
        <v>0</v>
      </c>
      <c r="K35" s="137">
        <f t="shared" ca="1" si="50"/>
        <v>0</v>
      </c>
      <c r="L35" s="15" t="str">
        <f t="shared" ca="1" si="7"/>
        <v>F</v>
      </c>
      <c r="M35" s="88">
        <f t="shared" ca="1" si="7"/>
        <v>0</v>
      </c>
      <c r="N35" s="88">
        <f t="shared" ca="1" si="7"/>
        <v>0</v>
      </c>
      <c r="O35" s="432">
        <v>1000000000000000</v>
      </c>
      <c r="P35" s="69">
        <v>109575</v>
      </c>
      <c r="Q35" s="3">
        <f t="shared" si="51"/>
        <v>64597</v>
      </c>
      <c r="R35" s="107">
        <f t="shared" ca="1" si="41"/>
        <v>18.380000000000003</v>
      </c>
      <c r="S35" s="105">
        <f t="shared" ca="1" si="42"/>
        <v>25893685.458928723</v>
      </c>
      <c r="T35" s="341">
        <v>0</v>
      </c>
      <c r="U35" s="341">
        <v>0.11849999999999999</v>
      </c>
      <c r="V35" s="341">
        <v>0.11849999999999999</v>
      </c>
      <c r="W35" s="341">
        <v>0.11849999999999999</v>
      </c>
      <c r="X35" s="281">
        <f t="shared" si="8"/>
        <v>0.02</v>
      </c>
      <c r="Y35" s="282">
        <f t="shared" si="37"/>
        <v>0.1</v>
      </c>
      <c r="AA35" s="391">
        <f t="shared" ca="1" si="28"/>
        <v>0</v>
      </c>
      <c r="AB35" s="400">
        <f t="shared" ca="1" si="9"/>
        <v>0</v>
      </c>
      <c r="AC35" s="258">
        <f t="shared" ca="1" si="52"/>
        <v>0</v>
      </c>
      <c r="AD35" s="258">
        <f t="shared" ca="1" si="53"/>
        <v>0</v>
      </c>
      <c r="AE35" s="402">
        <f t="shared" ca="1" si="54"/>
        <v>0</v>
      </c>
      <c r="AF35" s="402">
        <f t="shared" ca="1" si="55"/>
        <v>0</v>
      </c>
      <c r="AG35" s="404">
        <f t="shared" ca="1" si="29"/>
        <v>0</v>
      </c>
      <c r="AH35" s="415">
        <f t="shared" ca="1" si="30"/>
        <v>0</v>
      </c>
      <c r="AI35" s="415">
        <f t="shared" ca="1" si="38"/>
        <v>0</v>
      </c>
      <c r="AJ35" s="416">
        <f t="shared" ca="1" si="31"/>
        <v>0</v>
      </c>
      <c r="AK35" s="416">
        <f t="shared" ca="1" si="32"/>
        <v>0</v>
      </c>
      <c r="AL35" s="416">
        <v>0</v>
      </c>
      <c r="AM35" s="269">
        <f t="shared" ca="1" si="40"/>
        <v>0</v>
      </c>
      <c r="AN35" s="422">
        <f t="shared" ca="1" si="56"/>
        <v>18.66</v>
      </c>
      <c r="AO35" s="423">
        <f t="shared" ca="1" si="57"/>
        <v>26311205.816876858</v>
      </c>
      <c r="AP35" s="271">
        <f t="shared" ca="1" si="58"/>
        <v>0</v>
      </c>
      <c r="AQ35" s="271">
        <f t="shared" ca="1" si="59"/>
        <v>0</v>
      </c>
      <c r="AR35" s="271">
        <f t="shared" ca="1" si="60"/>
        <v>0</v>
      </c>
      <c r="AS35" s="271">
        <f t="shared" ca="1" si="61"/>
        <v>0</v>
      </c>
      <c r="AT35" s="271">
        <f t="shared" ca="1" si="62"/>
        <v>0.02</v>
      </c>
      <c r="AU35" s="278">
        <f t="shared" ca="1" si="63"/>
        <v>0.1</v>
      </c>
    </row>
    <row r="36" spans="2:47" ht="13.15" thickBot="1" x14ac:dyDescent="0.4">
      <c r="B36" s="18">
        <f t="shared" si="43"/>
        <v>17</v>
      </c>
      <c r="C36" s="85">
        <f t="shared" ca="1" si="44"/>
        <v>0</v>
      </c>
      <c r="D36" s="85">
        <f t="shared" ca="1" si="45"/>
        <v>0</v>
      </c>
      <c r="E36" s="84">
        <f t="shared" ca="1" si="46"/>
        <v>0</v>
      </c>
      <c r="F36" s="135">
        <f t="shared" ca="1" si="47"/>
        <v>0</v>
      </c>
      <c r="G36" s="409">
        <f t="shared" ca="1" si="5"/>
        <v>0</v>
      </c>
      <c r="H36" s="409">
        <f t="shared" ca="1" si="6"/>
        <v>0</v>
      </c>
      <c r="I36" s="275">
        <f t="shared" ca="1" si="48"/>
        <v>0</v>
      </c>
      <c r="J36" s="275">
        <f t="shared" ca="1" si="49"/>
        <v>0</v>
      </c>
      <c r="K36" s="137">
        <f t="shared" ca="1" si="50"/>
        <v>0</v>
      </c>
      <c r="L36" s="15" t="str">
        <f t="shared" ref="L36:N51" ca="1" si="64">INDIRECT("'"&amp; $AB$16 &amp;"'!"&amp; ADDRESS(ROW(L36),COLUMN(L36),4))</f>
        <v>F</v>
      </c>
      <c r="M36" s="88">
        <f t="shared" ca="1" si="64"/>
        <v>0</v>
      </c>
      <c r="N36" s="88">
        <f t="shared" ca="1" si="64"/>
        <v>0</v>
      </c>
      <c r="O36" s="432">
        <v>1000000000000000</v>
      </c>
      <c r="P36" s="69">
        <v>109575</v>
      </c>
      <c r="Q36" s="3">
        <f t="shared" si="51"/>
        <v>64597</v>
      </c>
      <c r="R36" s="107">
        <f t="shared" ca="1" si="41"/>
        <v>18.380000000000003</v>
      </c>
      <c r="S36" s="105">
        <f t="shared" ca="1" si="42"/>
        <v>25893685.458928723</v>
      </c>
      <c r="T36" s="341">
        <v>0</v>
      </c>
      <c r="U36" s="341">
        <v>0.11849999999999999</v>
      </c>
      <c r="V36" s="341">
        <v>0.11849999999999999</v>
      </c>
      <c r="W36" s="341">
        <v>0.11849999999999999</v>
      </c>
      <c r="X36" s="281">
        <f t="shared" si="8"/>
        <v>0.02</v>
      </c>
      <c r="Y36" s="282">
        <f t="shared" si="37"/>
        <v>0.1</v>
      </c>
      <c r="AA36" s="391">
        <f t="shared" ca="1" si="28"/>
        <v>0</v>
      </c>
      <c r="AB36" s="400">
        <f t="shared" ca="1" si="9"/>
        <v>0</v>
      </c>
      <c r="AC36" s="258">
        <f t="shared" ca="1" si="52"/>
        <v>0</v>
      </c>
      <c r="AD36" s="258">
        <f t="shared" ca="1" si="53"/>
        <v>0</v>
      </c>
      <c r="AE36" s="402">
        <f t="shared" ca="1" si="54"/>
        <v>0</v>
      </c>
      <c r="AF36" s="402">
        <f t="shared" ca="1" si="55"/>
        <v>0</v>
      </c>
      <c r="AG36" s="404">
        <f t="shared" ca="1" si="29"/>
        <v>0</v>
      </c>
      <c r="AH36" s="415">
        <f t="shared" ca="1" si="30"/>
        <v>0</v>
      </c>
      <c r="AI36" s="415">
        <f t="shared" ca="1" si="38"/>
        <v>0</v>
      </c>
      <c r="AJ36" s="416">
        <f t="shared" ca="1" si="31"/>
        <v>0</v>
      </c>
      <c r="AK36" s="416">
        <f t="shared" ca="1" si="32"/>
        <v>0</v>
      </c>
      <c r="AL36" s="416">
        <v>0</v>
      </c>
      <c r="AM36" s="269">
        <f t="shared" ca="1" si="40"/>
        <v>0</v>
      </c>
      <c r="AN36" s="422">
        <f t="shared" ca="1" si="56"/>
        <v>18.66</v>
      </c>
      <c r="AO36" s="423">
        <f t="shared" ca="1" si="57"/>
        <v>26311205.816876858</v>
      </c>
      <c r="AP36" s="271">
        <f t="shared" ca="1" si="58"/>
        <v>0</v>
      </c>
      <c r="AQ36" s="271">
        <f t="shared" ca="1" si="59"/>
        <v>0</v>
      </c>
      <c r="AR36" s="271">
        <f t="shared" ca="1" si="60"/>
        <v>0</v>
      </c>
      <c r="AS36" s="271">
        <f t="shared" ca="1" si="61"/>
        <v>0</v>
      </c>
      <c r="AT36" s="271">
        <f t="shared" ca="1" si="62"/>
        <v>0.02</v>
      </c>
      <c r="AU36" s="278">
        <f t="shared" ca="1" si="63"/>
        <v>0.1</v>
      </c>
    </row>
    <row r="37" spans="2:47" ht="13.15" thickBot="1" x14ac:dyDescent="0.4">
      <c r="B37" s="18">
        <f t="shared" si="43"/>
        <v>18</v>
      </c>
      <c r="C37" s="85">
        <f t="shared" ca="1" si="44"/>
        <v>0</v>
      </c>
      <c r="D37" s="85">
        <f t="shared" ca="1" si="45"/>
        <v>0</v>
      </c>
      <c r="E37" s="84">
        <f t="shared" ca="1" si="46"/>
        <v>0</v>
      </c>
      <c r="F37" s="135">
        <f t="shared" ca="1" si="47"/>
        <v>0</v>
      </c>
      <c r="G37" s="409">
        <f t="shared" ca="1" si="5"/>
        <v>0</v>
      </c>
      <c r="H37" s="409">
        <f t="shared" ca="1" si="6"/>
        <v>0</v>
      </c>
      <c r="I37" s="275">
        <f t="shared" ca="1" si="48"/>
        <v>0</v>
      </c>
      <c r="J37" s="275">
        <f t="shared" ca="1" si="49"/>
        <v>0</v>
      </c>
      <c r="K37" s="137">
        <f t="shared" ca="1" si="50"/>
        <v>0</v>
      </c>
      <c r="L37" s="15" t="str">
        <f t="shared" ca="1" si="64"/>
        <v>F</v>
      </c>
      <c r="M37" s="88">
        <f t="shared" ca="1" si="64"/>
        <v>0</v>
      </c>
      <c r="N37" s="88">
        <f t="shared" ca="1" si="64"/>
        <v>0</v>
      </c>
      <c r="O37" s="432">
        <v>1000000000000000</v>
      </c>
      <c r="P37" s="69">
        <v>109575</v>
      </c>
      <c r="Q37" s="3">
        <f t="shared" si="51"/>
        <v>64597</v>
      </c>
      <c r="R37" s="107">
        <f t="shared" ca="1" si="41"/>
        <v>18.380000000000003</v>
      </c>
      <c r="S37" s="105">
        <f t="shared" ca="1" si="42"/>
        <v>25893685.458928723</v>
      </c>
      <c r="T37" s="341">
        <v>0</v>
      </c>
      <c r="U37" s="341">
        <v>0.11849999999999999</v>
      </c>
      <c r="V37" s="341">
        <v>0.11849999999999999</v>
      </c>
      <c r="W37" s="341">
        <v>0.11849999999999999</v>
      </c>
      <c r="X37" s="281">
        <f t="shared" si="8"/>
        <v>0.02</v>
      </c>
      <c r="Y37" s="282">
        <f t="shared" si="37"/>
        <v>0.1</v>
      </c>
      <c r="AA37" s="391">
        <f t="shared" ca="1" si="28"/>
        <v>0</v>
      </c>
      <c r="AB37" s="400">
        <f t="shared" ca="1" si="9"/>
        <v>0</v>
      </c>
      <c r="AC37" s="258">
        <f t="shared" ca="1" si="52"/>
        <v>0</v>
      </c>
      <c r="AD37" s="258">
        <f t="shared" ca="1" si="53"/>
        <v>0</v>
      </c>
      <c r="AE37" s="402">
        <f t="shared" ca="1" si="54"/>
        <v>0</v>
      </c>
      <c r="AF37" s="402">
        <f t="shared" ca="1" si="55"/>
        <v>0</v>
      </c>
      <c r="AG37" s="404">
        <f t="shared" ca="1" si="29"/>
        <v>0</v>
      </c>
      <c r="AH37" s="415">
        <f t="shared" ca="1" si="30"/>
        <v>0</v>
      </c>
      <c r="AI37" s="415">
        <f t="shared" ca="1" si="38"/>
        <v>0</v>
      </c>
      <c r="AJ37" s="416">
        <f t="shared" ca="1" si="31"/>
        <v>0</v>
      </c>
      <c r="AK37" s="416">
        <f t="shared" ca="1" si="32"/>
        <v>0</v>
      </c>
      <c r="AL37" s="416">
        <v>0</v>
      </c>
      <c r="AM37" s="269">
        <f t="shared" ca="1" si="40"/>
        <v>0</v>
      </c>
      <c r="AN37" s="422">
        <f t="shared" ca="1" si="56"/>
        <v>18.66</v>
      </c>
      <c r="AO37" s="423">
        <f t="shared" ca="1" si="57"/>
        <v>26311205.816876858</v>
      </c>
      <c r="AP37" s="271">
        <f t="shared" ca="1" si="58"/>
        <v>0</v>
      </c>
      <c r="AQ37" s="271">
        <f t="shared" ca="1" si="59"/>
        <v>0</v>
      </c>
      <c r="AR37" s="271">
        <f t="shared" ca="1" si="60"/>
        <v>0</v>
      </c>
      <c r="AS37" s="271">
        <f t="shared" ca="1" si="61"/>
        <v>0</v>
      </c>
      <c r="AT37" s="271">
        <f t="shared" ca="1" si="62"/>
        <v>0.02</v>
      </c>
      <c r="AU37" s="278">
        <f t="shared" ca="1" si="63"/>
        <v>0.1</v>
      </c>
    </row>
    <row r="38" spans="2:47" ht="13.15" thickBot="1" x14ac:dyDescent="0.4">
      <c r="B38" s="18">
        <f t="shared" si="43"/>
        <v>19</v>
      </c>
      <c r="C38" s="85">
        <f t="shared" ca="1" si="44"/>
        <v>0</v>
      </c>
      <c r="D38" s="85">
        <f t="shared" ca="1" si="45"/>
        <v>0</v>
      </c>
      <c r="E38" s="84">
        <f t="shared" ca="1" si="46"/>
        <v>0</v>
      </c>
      <c r="F38" s="135">
        <f t="shared" ca="1" si="47"/>
        <v>0</v>
      </c>
      <c r="G38" s="409">
        <f t="shared" ca="1" si="5"/>
        <v>0</v>
      </c>
      <c r="H38" s="409">
        <f t="shared" ca="1" si="6"/>
        <v>0</v>
      </c>
      <c r="I38" s="275">
        <f t="shared" ca="1" si="48"/>
        <v>0</v>
      </c>
      <c r="J38" s="275">
        <f t="shared" ca="1" si="49"/>
        <v>0</v>
      </c>
      <c r="K38" s="137">
        <f t="shared" ca="1" si="50"/>
        <v>0</v>
      </c>
      <c r="L38" s="15" t="str">
        <f t="shared" ca="1" si="64"/>
        <v>F</v>
      </c>
      <c r="M38" s="88">
        <f t="shared" ca="1" si="64"/>
        <v>0</v>
      </c>
      <c r="N38" s="88">
        <f t="shared" ca="1" si="64"/>
        <v>0</v>
      </c>
      <c r="O38" s="432">
        <v>1000000000000000</v>
      </c>
      <c r="P38" s="69">
        <v>109575</v>
      </c>
      <c r="Q38" s="3">
        <f t="shared" si="51"/>
        <v>64597</v>
      </c>
      <c r="R38" s="107">
        <f t="shared" ca="1" si="41"/>
        <v>18.380000000000003</v>
      </c>
      <c r="S38" s="105">
        <f t="shared" ca="1" si="42"/>
        <v>25893685.458928723</v>
      </c>
      <c r="T38" s="341">
        <v>0</v>
      </c>
      <c r="U38" s="341">
        <v>0.11849999999999999</v>
      </c>
      <c r="V38" s="341">
        <v>0.11849999999999999</v>
      </c>
      <c r="W38" s="341">
        <v>0.11849999999999999</v>
      </c>
      <c r="X38" s="281">
        <f t="shared" si="8"/>
        <v>0.02</v>
      </c>
      <c r="Y38" s="282">
        <f t="shared" si="37"/>
        <v>0.1</v>
      </c>
      <c r="AA38" s="391">
        <f t="shared" ca="1" si="28"/>
        <v>0</v>
      </c>
      <c r="AB38" s="400">
        <f t="shared" ca="1" si="9"/>
        <v>0</v>
      </c>
      <c r="AC38" s="258">
        <f t="shared" ca="1" si="52"/>
        <v>0</v>
      </c>
      <c r="AD38" s="258">
        <f t="shared" ca="1" si="53"/>
        <v>0</v>
      </c>
      <c r="AE38" s="402">
        <f t="shared" ca="1" si="54"/>
        <v>0</v>
      </c>
      <c r="AF38" s="402">
        <f t="shared" ca="1" si="55"/>
        <v>0</v>
      </c>
      <c r="AG38" s="404">
        <f t="shared" ca="1" si="29"/>
        <v>0</v>
      </c>
      <c r="AH38" s="415">
        <f t="shared" ca="1" si="30"/>
        <v>0</v>
      </c>
      <c r="AI38" s="415">
        <f t="shared" ca="1" si="38"/>
        <v>0</v>
      </c>
      <c r="AJ38" s="416">
        <f t="shared" ca="1" si="31"/>
        <v>0</v>
      </c>
      <c r="AK38" s="416">
        <f t="shared" ca="1" si="32"/>
        <v>0</v>
      </c>
      <c r="AL38" s="416">
        <v>0</v>
      </c>
      <c r="AM38" s="269">
        <f t="shared" ca="1" si="40"/>
        <v>0</v>
      </c>
      <c r="AN38" s="422">
        <f t="shared" ca="1" si="56"/>
        <v>18.66</v>
      </c>
      <c r="AO38" s="423">
        <f t="shared" ca="1" si="57"/>
        <v>26311205.816876858</v>
      </c>
      <c r="AP38" s="271">
        <f t="shared" ca="1" si="58"/>
        <v>0</v>
      </c>
      <c r="AQ38" s="271">
        <f t="shared" ca="1" si="59"/>
        <v>0</v>
      </c>
      <c r="AR38" s="271">
        <f t="shared" ca="1" si="60"/>
        <v>0</v>
      </c>
      <c r="AS38" s="271">
        <f t="shared" ca="1" si="61"/>
        <v>0</v>
      </c>
      <c r="AT38" s="271">
        <f t="shared" ca="1" si="62"/>
        <v>0.02</v>
      </c>
      <c r="AU38" s="278">
        <f t="shared" ca="1" si="63"/>
        <v>0.1</v>
      </c>
    </row>
    <row r="39" spans="2:47" ht="13.15" thickBot="1" x14ac:dyDescent="0.4">
      <c r="B39" s="18">
        <f t="shared" si="43"/>
        <v>20</v>
      </c>
      <c r="C39" s="85">
        <f t="shared" ca="1" si="44"/>
        <v>0</v>
      </c>
      <c r="D39" s="85">
        <f t="shared" ca="1" si="45"/>
        <v>0</v>
      </c>
      <c r="E39" s="84">
        <f t="shared" ca="1" si="46"/>
        <v>0</v>
      </c>
      <c r="F39" s="135">
        <f t="shared" ca="1" si="47"/>
        <v>0</v>
      </c>
      <c r="G39" s="409">
        <f t="shared" ca="1" si="5"/>
        <v>0</v>
      </c>
      <c r="H39" s="409">
        <f t="shared" ca="1" si="6"/>
        <v>0</v>
      </c>
      <c r="I39" s="275">
        <f t="shared" ca="1" si="48"/>
        <v>0</v>
      </c>
      <c r="J39" s="275">
        <f t="shared" ca="1" si="49"/>
        <v>0</v>
      </c>
      <c r="K39" s="137">
        <f t="shared" ca="1" si="50"/>
        <v>0</v>
      </c>
      <c r="L39" s="15" t="str">
        <f t="shared" ca="1" si="64"/>
        <v>F</v>
      </c>
      <c r="M39" s="88">
        <f t="shared" ca="1" si="64"/>
        <v>0</v>
      </c>
      <c r="N39" s="88">
        <f t="shared" ca="1" si="64"/>
        <v>0</v>
      </c>
      <c r="O39" s="432">
        <v>1000000000000000</v>
      </c>
      <c r="P39" s="69">
        <v>109575</v>
      </c>
      <c r="Q39" s="3">
        <f t="shared" si="51"/>
        <v>64597</v>
      </c>
      <c r="R39" s="107">
        <f t="shared" ca="1" si="41"/>
        <v>18.380000000000003</v>
      </c>
      <c r="S39" s="105">
        <f t="shared" ca="1" si="42"/>
        <v>25893685.458928723</v>
      </c>
      <c r="T39" s="341">
        <v>0</v>
      </c>
      <c r="U39" s="341">
        <v>0.11849999999999999</v>
      </c>
      <c r="V39" s="341">
        <v>0.11849999999999999</v>
      </c>
      <c r="W39" s="341">
        <v>0.11849999999999999</v>
      </c>
      <c r="X39" s="281">
        <f t="shared" si="8"/>
        <v>0.02</v>
      </c>
      <c r="Y39" s="282">
        <f t="shared" si="37"/>
        <v>0.1</v>
      </c>
      <c r="AA39" s="391">
        <f t="shared" ca="1" si="28"/>
        <v>0</v>
      </c>
      <c r="AB39" s="400">
        <f t="shared" ca="1" si="9"/>
        <v>0</v>
      </c>
      <c r="AC39" s="258">
        <f t="shared" ca="1" si="52"/>
        <v>0</v>
      </c>
      <c r="AD39" s="258">
        <f t="shared" ca="1" si="53"/>
        <v>0</v>
      </c>
      <c r="AE39" s="402">
        <f t="shared" ca="1" si="54"/>
        <v>0</v>
      </c>
      <c r="AF39" s="402">
        <f t="shared" ca="1" si="55"/>
        <v>0</v>
      </c>
      <c r="AG39" s="404">
        <f t="shared" ca="1" si="29"/>
        <v>0</v>
      </c>
      <c r="AH39" s="415">
        <f t="shared" ca="1" si="30"/>
        <v>0</v>
      </c>
      <c r="AI39" s="415">
        <f t="shared" ca="1" si="38"/>
        <v>0</v>
      </c>
      <c r="AJ39" s="416">
        <f t="shared" ca="1" si="31"/>
        <v>0</v>
      </c>
      <c r="AK39" s="416">
        <f t="shared" ca="1" si="32"/>
        <v>0</v>
      </c>
      <c r="AL39" s="416">
        <v>0</v>
      </c>
      <c r="AM39" s="269">
        <f t="shared" ca="1" si="40"/>
        <v>0</v>
      </c>
      <c r="AN39" s="422">
        <f t="shared" ca="1" si="56"/>
        <v>18.66</v>
      </c>
      <c r="AO39" s="423">
        <f t="shared" ca="1" si="57"/>
        <v>26311205.816876858</v>
      </c>
      <c r="AP39" s="271">
        <f t="shared" ca="1" si="58"/>
        <v>0</v>
      </c>
      <c r="AQ39" s="271">
        <f t="shared" ca="1" si="59"/>
        <v>0</v>
      </c>
      <c r="AR39" s="271">
        <f t="shared" ca="1" si="60"/>
        <v>0</v>
      </c>
      <c r="AS39" s="271">
        <f t="shared" ca="1" si="61"/>
        <v>0</v>
      </c>
      <c r="AT39" s="271">
        <f t="shared" ca="1" si="62"/>
        <v>0.02</v>
      </c>
      <c r="AU39" s="278">
        <f t="shared" ca="1" si="63"/>
        <v>0.1</v>
      </c>
    </row>
    <row r="40" spans="2:47" ht="13.15" thickBot="1" x14ac:dyDescent="0.4">
      <c r="B40" s="18">
        <f t="shared" si="43"/>
        <v>21</v>
      </c>
      <c r="C40" s="85">
        <f t="shared" ca="1" si="44"/>
        <v>0</v>
      </c>
      <c r="D40" s="85">
        <f t="shared" ca="1" si="45"/>
        <v>0</v>
      </c>
      <c r="E40" s="84">
        <f t="shared" ca="1" si="46"/>
        <v>0</v>
      </c>
      <c r="F40" s="135">
        <f t="shared" ca="1" si="47"/>
        <v>0</v>
      </c>
      <c r="G40" s="409">
        <f t="shared" ca="1" si="5"/>
        <v>0</v>
      </c>
      <c r="H40" s="409">
        <f t="shared" ca="1" si="6"/>
        <v>0</v>
      </c>
      <c r="I40" s="275">
        <f t="shared" ca="1" si="48"/>
        <v>0</v>
      </c>
      <c r="J40" s="275">
        <f t="shared" ca="1" si="49"/>
        <v>0</v>
      </c>
      <c r="K40" s="137">
        <f t="shared" ca="1" si="50"/>
        <v>0</v>
      </c>
      <c r="L40" s="15" t="str">
        <f t="shared" ca="1" si="64"/>
        <v>F</v>
      </c>
      <c r="M40" s="88">
        <f t="shared" ca="1" si="64"/>
        <v>0</v>
      </c>
      <c r="N40" s="88">
        <f t="shared" ca="1" si="64"/>
        <v>0</v>
      </c>
      <c r="O40" s="432">
        <v>1000000000000000</v>
      </c>
      <c r="P40" s="69">
        <v>109575</v>
      </c>
      <c r="Q40" s="3">
        <f t="shared" si="51"/>
        <v>64597</v>
      </c>
      <c r="R40" s="107">
        <f t="shared" ca="1" si="41"/>
        <v>18.380000000000003</v>
      </c>
      <c r="S40" s="105">
        <f t="shared" ca="1" si="42"/>
        <v>25893685.458928723</v>
      </c>
      <c r="T40" s="341">
        <v>0</v>
      </c>
      <c r="U40" s="341">
        <v>0.11849999999999999</v>
      </c>
      <c r="V40" s="341">
        <v>0.11849999999999999</v>
      </c>
      <c r="W40" s="341">
        <v>0.11849999999999999</v>
      </c>
      <c r="X40" s="281">
        <f t="shared" si="8"/>
        <v>0.02</v>
      </c>
      <c r="Y40" s="282">
        <f t="shared" si="37"/>
        <v>0.1</v>
      </c>
      <c r="AA40" s="391">
        <f t="shared" ca="1" si="28"/>
        <v>0</v>
      </c>
      <c r="AB40" s="400">
        <f t="shared" ca="1" si="9"/>
        <v>0</v>
      </c>
      <c r="AC40" s="258">
        <f t="shared" ca="1" si="52"/>
        <v>0</v>
      </c>
      <c r="AD40" s="258">
        <f t="shared" ca="1" si="53"/>
        <v>0</v>
      </c>
      <c r="AE40" s="402">
        <f t="shared" ca="1" si="54"/>
        <v>0</v>
      </c>
      <c r="AF40" s="402">
        <f t="shared" ca="1" si="55"/>
        <v>0</v>
      </c>
      <c r="AG40" s="404">
        <f t="shared" ca="1" si="29"/>
        <v>0</v>
      </c>
      <c r="AH40" s="415">
        <f t="shared" ca="1" si="30"/>
        <v>0</v>
      </c>
      <c r="AI40" s="415">
        <f t="shared" ca="1" si="38"/>
        <v>0</v>
      </c>
      <c r="AJ40" s="416">
        <f t="shared" ca="1" si="31"/>
        <v>0</v>
      </c>
      <c r="AK40" s="416">
        <f t="shared" ca="1" si="32"/>
        <v>0</v>
      </c>
      <c r="AL40" s="416">
        <v>0</v>
      </c>
      <c r="AM40" s="269">
        <f t="shared" ca="1" si="40"/>
        <v>0</v>
      </c>
      <c r="AN40" s="422">
        <f t="shared" ca="1" si="56"/>
        <v>18.66</v>
      </c>
      <c r="AO40" s="423">
        <f t="shared" ca="1" si="57"/>
        <v>26311205.816876858</v>
      </c>
      <c r="AP40" s="271">
        <f t="shared" ca="1" si="58"/>
        <v>0</v>
      </c>
      <c r="AQ40" s="271">
        <f t="shared" ca="1" si="59"/>
        <v>0</v>
      </c>
      <c r="AR40" s="271">
        <f t="shared" ca="1" si="60"/>
        <v>0</v>
      </c>
      <c r="AS40" s="271">
        <f t="shared" ca="1" si="61"/>
        <v>0</v>
      </c>
      <c r="AT40" s="271">
        <f t="shared" ca="1" si="62"/>
        <v>0.02</v>
      </c>
      <c r="AU40" s="278">
        <f t="shared" ca="1" si="63"/>
        <v>0.1</v>
      </c>
    </row>
    <row r="41" spans="2:47" ht="13.15" thickBot="1" x14ac:dyDescent="0.4">
      <c r="B41" s="18">
        <f t="shared" si="43"/>
        <v>22</v>
      </c>
      <c r="C41" s="85">
        <f t="shared" ca="1" si="44"/>
        <v>0</v>
      </c>
      <c r="D41" s="85">
        <f t="shared" ca="1" si="45"/>
        <v>0</v>
      </c>
      <c r="E41" s="84">
        <f t="shared" ca="1" si="46"/>
        <v>0</v>
      </c>
      <c r="F41" s="135">
        <f t="shared" ca="1" si="47"/>
        <v>0</v>
      </c>
      <c r="G41" s="409">
        <f t="shared" ca="1" si="5"/>
        <v>0</v>
      </c>
      <c r="H41" s="409">
        <f t="shared" ca="1" si="6"/>
        <v>0</v>
      </c>
      <c r="I41" s="275">
        <f t="shared" ca="1" si="48"/>
        <v>0</v>
      </c>
      <c r="J41" s="275">
        <f t="shared" ca="1" si="49"/>
        <v>0</v>
      </c>
      <c r="K41" s="137">
        <f t="shared" ca="1" si="50"/>
        <v>0</v>
      </c>
      <c r="L41" s="15" t="str">
        <f t="shared" ca="1" si="64"/>
        <v>F</v>
      </c>
      <c r="M41" s="88">
        <f t="shared" ca="1" si="64"/>
        <v>0</v>
      </c>
      <c r="N41" s="88">
        <f t="shared" ca="1" si="64"/>
        <v>0</v>
      </c>
      <c r="O41" s="432">
        <v>1000000000000000</v>
      </c>
      <c r="P41" s="69">
        <v>109575</v>
      </c>
      <c r="Q41" s="3">
        <f t="shared" si="51"/>
        <v>64597</v>
      </c>
      <c r="R41" s="107">
        <f t="shared" ca="1" si="41"/>
        <v>18.380000000000003</v>
      </c>
      <c r="S41" s="105">
        <f t="shared" ca="1" si="42"/>
        <v>25893685.458928723</v>
      </c>
      <c r="T41" s="341">
        <v>0</v>
      </c>
      <c r="U41" s="341">
        <v>0.11849999999999999</v>
      </c>
      <c r="V41" s="341">
        <v>0.11849999999999999</v>
      </c>
      <c r="W41" s="341">
        <v>0.11849999999999999</v>
      </c>
      <c r="X41" s="281">
        <f t="shared" si="8"/>
        <v>0.02</v>
      </c>
      <c r="Y41" s="282">
        <f t="shared" si="37"/>
        <v>0.1</v>
      </c>
      <c r="AA41" s="391">
        <f t="shared" ca="1" si="28"/>
        <v>0</v>
      </c>
      <c r="AB41" s="400">
        <f t="shared" ca="1" si="9"/>
        <v>0</v>
      </c>
      <c r="AC41" s="258">
        <f t="shared" ca="1" si="52"/>
        <v>0</v>
      </c>
      <c r="AD41" s="258">
        <f t="shared" ca="1" si="53"/>
        <v>0</v>
      </c>
      <c r="AE41" s="402">
        <f t="shared" ca="1" si="54"/>
        <v>0</v>
      </c>
      <c r="AF41" s="402">
        <f t="shared" ca="1" si="55"/>
        <v>0</v>
      </c>
      <c r="AG41" s="404">
        <f t="shared" ca="1" si="29"/>
        <v>0</v>
      </c>
      <c r="AH41" s="415">
        <f t="shared" ca="1" si="30"/>
        <v>0</v>
      </c>
      <c r="AI41" s="415">
        <f t="shared" ca="1" si="38"/>
        <v>0</v>
      </c>
      <c r="AJ41" s="416">
        <f t="shared" ca="1" si="31"/>
        <v>0</v>
      </c>
      <c r="AK41" s="416">
        <f t="shared" ca="1" si="32"/>
        <v>0</v>
      </c>
      <c r="AL41" s="416">
        <v>0</v>
      </c>
      <c r="AM41" s="269">
        <f t="shared" ca="1" si="40"/>
        <v>0</v>
      </c>
      <c r="AN41" s="422">
        <f t="shared" ca="1" si="56"/>
        <v>18.66</v>
      </c>
      <c r="AO41" s="423">
        <f t="shared" ca="1" si="57"/>
        <v>26311205.816876858</v>
      </c>
      <c r="AP41" s="271">
        <f t="shared" ca="1" si="58"/>
        <v>0</v>
      </c>
      <c r="AQ41" s="271">
        <f t="shared" ca="1" si="59"/>
        <v>0</v>
      </c>
      <c r="AR41" s="271">
        <f t="shared" ca="1" si="60"/>
        <v>0</v>
      </c>
      <c r="AS41" s="271">
        <f t="shared" ca="1" si="61"/>
        <v>0</v>
      </c>
      <c r="AT41" s="271">
        <f t="shared" ca="1" si="62"/>
        <v>0.02</v>
      </c>
      <c r="AU41" s="278">
        <f t="shared" ca="1" si="63"/>
        <v>0.1</v>
      </c>
    </row>
    <row r="42" spans="2:47" ht="13.15" thickBot="1" x14ac:dyDescent="0.4">
      <c r="B42" s="18">
        <f t="shared" si="43"/>
        <v>23</v>
      </c>
      <c r="C42" s="85">
        <f t="shared" ca="1" si="44"/>
        <v>0</v>
      </c>
      <c r="D42" s="85">
        <f t="shared" ca="1" si="45"/>
        <v>0</v>
      </c>
      <c r="E42" s="84">
        <f t="shared" ca="1" si="46"/>
        <v>0</v>
      </c>
      <c r="F42" s="135">
        <f t="shared" ca="1" si="47"/>
        <v>0</v>
      </c>
      <c r="G42" s="409">
        <f t="shared" ca="1" si="5"/>
        <v>0</v>
      </c>
      <c r="H42" s="409">
        <f t="shared" ca="1" si="6"/>
        <v>0</v>
      </c>
      <c r="I42" s="275">
        <f t="shared" ca="1" si="48"/>
        <v>0</v>
      </c>
      <c r="J42" s="275">
        <f t="shared" ca="1" si="49"/>
        <v>0</v>
      </c>
      <c r="K42" s="137">
        <f t="shared" ca="1" si="50"/>
        <v>0</v>
      </c>
      <c r="L42" s="15" t="str">
        <f t="shared" ca="1" si="64"/>
        <v>F</v>
      </c>
      <c r="M42" s="88">
        <f t="shared" ca="1" si="64"/>
        <v>0</v>
      </c>
      <c r="N42" s="88">
        <f t="shared" ca="1" si="64"/>
        <v>0</v>
      </c>
      <c r="O42" s="432">
        <v>1000000000000000</v>
      </c>
      <c r="P42" s="69">
        <v>109575</v>
      </c>
      <c r="Q42" s="3">
        <f t="shared" si="51"/>
        <v>64597</v>
      </c>
      <c r="R42" s="107">
        <f t="shared" ca="1" si="41"/>
        <v>18.380000000000003</v>
      </c>
      <c r="S42" s="105">
        <f t="shared" ca="1" si="42"/>
        <v>25893685.458928723</v>
      </c>
      <c r="T42" s="341">
        <v>0</v>
      </c>
      <c r="U42" s="341">
        <v>0.11849999999999999</v>
      </c>
      <c r="V42" s="341">
        <v>0.11849999999999999</v>
      </c>
      <c r="W42" s="341">
        <v>0.11849999999999999</v>
      </c>
      <c r="X42" s="281">
        <f t="shared" si="8"/>
        <v>0.02</v>
      </c>
      <c r="Y42" s="282">
        <f t="shared" si="37"/>
        <v>0.1</v>
      </c>
      <c r="AA42" s="391">
        <f t="shared" ca="1" si="28"/>
        <v>0</v>
      </c>
      <c r="AB42" s="400">
        <f t="shared" ca="1" si="9"/>
        <v>0</v>
      </c>
      <c r="AC42" s="258">
        <f t="shared" ca="1" si="52"/>
        <v>0</v>
      </c>
      <c r="AD42" s="258">
        <f t="shared" ca="1" si="53"/>
        <v>0</v>
      </c>
      <c r="AE42" s="402">
        <f t="shared" ca="1" si="54"/>
        <v>0</v>
      </c>
      <c r="AF42" s="402">
        <f t="shared" ca="1" si="55"/>
        <v>0</v>
      </c>
      <c r="AG42" s="404">
        <f t="shared" ca="1" si="29"/>
        <v>0</v>
      </c>
      <c r="AH42" s="415">
        <f t="shared" ca="1" si="30"/>
        <v>0</v>
      </c>
      <c r="AI42" s="415">
        <f t="shared" ca="1" si="38"/>
        <v>0</v>
      </c>
      <c r="AJ42" s="416">
        <f t="shared" ca="1" si="31"/>
        <v>0</v>
      </c>
      <c r="AK42" s="416">
        <f t="shared" ca="1" si="32"/>
        <v>0</v>
      </c>
      <c r="AL42" s="416">
        <v>0</v>
      </c>
      <c r="AM42" s="269">
        <f t="shared" ca="1" si="40"/>
        <v>0</v>
      </c>
      <c r="AN42" s="422">
        <f t="shared" ca="1" si="56"/>
        <v>18.66</v>
      </c>
      <c r="AO42" s="423">
        <f t="shared" ca="1" si="57"/>
        <v>26311205.816876858</v>
      </c>
      <c r="AP42" s="271">
        <f t="shared" ca="1" si="58"/>
        <v>0</v>
      </c>
      <c r="AQ42" s="271">
        <f t="shared" ca="1" si="59"/>
        <v>0</v>
      </c>
      <c r="AR42" s="271">
        <f t="shared" ca="1" si="60"/>
        <v>0</v>
      </c>
      <c r="AS42" s="271">
        <f t="shared" ca="1" si="61"/>
        <v>0</v>
      </c>
      <c r="AT42" s="271">
        <f t="shared" ca="1" si="62"/>
        <v>0.02</v>
      </c>
      <c r="AU42" s="278">
        <f t="shared" ca="1" si="63"/>
        <v>0.1</v>
      </c>
    </row>
    <row r="43" spans="2:47" ht="13.15" thickBot="1" x14ac:dyDescent="0.4">
      <c r="B43" s="18">
        <f t="shared" si="43"/>
        <v>24</v>
      </c>
      <c r="C43" s="85">
        <f t="shared" ca="1" si="44"/>
        <v>0</v>
      </c>
      <c r="D43" s="85">
        <f t="shared" ca="1" si="45"/>
        <v>0</v>
      </c>
      <c r="E43" s="84">
        <f t="shared" ca="1" si="46"/>
        <v>0</v>
      </c>
      <c r="F43" s="135">
        <f t="shared" ca="1" si="47"/>
        <v>0</v>
      </c>
      <c r="G43" s="409">
        <f t="shared" ca="1" si="5"/>
        <v>0</v>
      </c>
      <c r="H43" s="409">
        <f t="shared" ca="1" si="6"/>
        <v>0</v>
      </c>
      <c r="I43" s="275">
        <f t="shared" ca="1" si="48"/>
        <v>0</v>
      </c>
      <c r="J43" s="275">
        <f t="shared" ca="1" si="49"/>
        <v>0</v>
      </c>
      <c r="K43" s="137">
        <f t="shared" ca="1" si="50"/>
        <v>0</v>
      </c>
      <c r="L43" s="15" t="str">
        <f t="shared" ca="1" si="64"/>
        <v>F</v>
      </c>
      <c r="M43" s="88">
        <f t="shared" ca="1" si="64"/>
        <v>0</v>
      </c>
      <c r="N43" s="88">
        <f t="shared" ca="1" si="64"/>
        <v>0</v>
      </c>
      <c r="O43" s="432">
        <v>1000000000000000</v>
      </c>
      <c r="P43" s="69">
        <v>109575</v>
      </c>
      <c r="Q43" s="3">
        <f t="shared" si="51"/>
        <v>64597</v>
      </c>
      <c r="R43" s="107">
        <f t="shared" ca="1" si="41"/>
        <v>18.380000000000003</v>
      </c>
      <c r="S43" s="105">
        <f t="shared" ca="1" si="42"/>
        <v>25893685.458928723</v>
      </c>
      <c r="T43" s="341">
        <v>0</v>
      </c>
      <c r="U43" s="341">
        <v>0.11849999999999999</v>
      </c>
      <c r="V43" s="341">
        <v>0.11849999999999999</v>
      </c>
      <c r="W43" s="341">
        <v>0.11849999999999999</v>
      </c>
      <c r="X43" s="281">
        <f t="shared" si="8"/>
        <v>0.02</v>
      </c>
      <c r="Y43" s="282">
        <f t="shared" si="37"/>
        <v>0.1</v>
      </c>
      <c r="AA43" s="391">
        <f t="shared" ca="1" si="28"/>
        <v>0</v>
      </c>
      <c r="AB43" s="400">
        <f t="shared" ca="1" si="9"/>
        <v>0</v>
      </c>
      <c r="AC43" s="258">
        <f t="shared" ca="1" si="52"/>
        <v>0</v>
      </c>
      <c r="AD43" s="258">
        <f t="shared" ca="1" si="53"/>
        <v>0</v>
      </c>
      <c r="AE43" s="402">
        <f t="shared" ca="1" si="54"/>
        <v>0</v>
      </c>
      <c r="AF43" s="402">
        <f t="shared" ca="1" si="55"/>
        <v>0</v>
      </c>
      <c r="AG43" s="404">
        <f t="shared" ca="1" si="29"/>
        <v>0</v>
      </c>
      <c r="AH43" s="415">
        <f t="shared" ca="1" si="30"/>
        <v>0</v>
      </c>
      <c r="AI43" s="415">
        <f t="shared" ca="1" si="38"/>
        <v>0</v>
      </c>
      <c r="AJ43" s="416">
        <f t="shared" ca="1" si="31"/>
        <v>0</v>
      </c>
      <c r="AK43" s="416">
        <f t="shared" ca="1" si="32"/>
        <v>0</v>
      </c>
      <c r="AL43" s="416">
        <v>0</v>
      </c>
      <c r="AM43" s="269">
        <f t="shared" ca="1" si="40"/>
        <v>0</v>
      </c>
      <c r="AN43" s="422">
        <f t="shared" ca="1" si="56"/>
        <v>18.66</v>
      </c>
      <c r="AO43" s="423">
        <f t="shared" ca="1" si="57"/>
        <v>26311205.816876858</v>
      </c>
      <c r="AP43" s="271">
        <f t="shared" ca="1" si="58"/>
        <v>0</v>
      </c>
      <c r="AQ43" s="271">
        <f t="shared" ca="1" si="59"/>
        <v>0</v>
      </c>
      <c r="AR43" s="271">
        <f t="shared" ca="1" si="60"/>
        <v>0</v>
      </c>
      <c r="AS43" s="271">
        <f t="shared" ca="1" si="61"/>
        <v>0</v>
      </c>
      <c r="AT43" s="271">
        <f t="shared" ca="1" si="62"/>
        <v>0.02</v>
      </c>
      <c r="AU43" s="278">
        <f t="shared" ca="1" si="63"/>
        <v>0.1</v>
      </c>
    </row>
    <row r="44" spans="2:47" ht="13.15" thickBot="1" x14ac:dyDescent="0.4">
      <c r="B44" s="18">
        <f t="shared" si="43"/>
        <v>25</v>
      </c>
      <c r="C44" s="85">
        <f t="shared" ca="1" si="44"/>
        <v>0</v>
      </c>
      <c r="D44" s="85">
        <f t="shared" ca="1" si="45"/>
        <v>0</v>
      </c>
      <c r="E44" s="84">
        <f t="shared" ca="1" si="46"/>
        <v>0</v>
      </c>
      <c r="F44" s="135">
        <f t="shared" ca="1" si="47"/>
        <v>0</v>
      </c>
      <c r="G44" s="409">
        <f t="shared" ca="1" si="5"/>
        <v>0</v>
      </c>
      <c r="H44" s="409">
        <f t="shared" ca="1" si="6"/>
        <v>0</v>
      </c>
      <c r="I44" s="275">
        <f t="shared" ca="1" si="48"/>
        <v>0</v>
      </c>
      <c r="J44" s="275">
        <f t="shared" ca="1" si="49"/>
        <v>0</v>
      </c>
      <c r="K44" s="137">
        <f t="shared" ca="1" si="50"/>
        <v>0</v>
      </c>
      <c r="L44" s="15" t="str">
        <f t="shared" ca="1" si="64"/>
        <v>F</v>
      </c>
      <c r="M44" s="88">
        <f t="shared" ca="1" si="64"/>
        <v>0</v>
      </c>
      <c r="N44" s="88">
        <f t="shared" ca="1" si="64"/>
        <v>0</v>
      </c>
      <c r="O44" s="432">
        <v>1000000000000000</v>
      </c>
      <c r="P44" s="69">
        <v>109575</v>
      </c>
      <c r="Q44" s="3">
        <f t="shared" si="51"/>
        <v>64597</v>
      </c>
      <c r="R44" s="107">
        <f t="shared" ca="1" si="41"/>
        <v>18.380000000000003</v>
      </c>
      <c r="S44" s="105">
        <f t="shared" ca="1" si="42"/>
        <v>25893685.458928723</v>
      </c>
      <c r="T44" s="341">
        <v>0</v>
      </c>
      <c r="U44" s="341">
        <v>0.11849999999999999</v>
      </c>
      <c r="V44" s="341">
        <v>0.11849999999999999</v>
      </c>
      <c r="W44" s="341">
        <v>0.11849999999999999</v>
      </c>
      <c r="X44" s="281">
        <f t="shared" si="8"/>
        <v>0.02</v>
      </c>
      <c r="Y44" s="282">
        <f t="shared" si="37"/>
        <v>0.1</v>
      </c>
      <c r="AA44" s="391">
        <f t="shared" ca="1" si="28"/>
        <v>0</v>
      </c>
      <c r="AB44" s="400">
        <f t="shared" ca="1" si="9"/>
        <v>0</v>
      </c>
      <c r="AC44" s="258">
        <f t="shared" ca="1" si="52"/>
        <v>0</v>
      </c>
      <c r="AD44" s="258">
        <f t="shared" ca="1" si="53"/>
        <v>0</v>
      </c>
      <c r="AE44" s="402">
        <f t="shared" ca="1" si="54"/>
        <v>0</v>
      </c>
      <c r="AF44" s="402">
        <f t="shared" ca="1" si="55"/>
        <v>0</v>
      </c>
      <c r="AG44" s="404">
        <f t="shared" ca="1" si="29"/>
        <v>0</v>
      </c>
      <c r="AH44" s="415">
        <f t="shared" ca="1" si="30"/>
        <v>0</v>
      </c>
      <c r="AI44" s="415">
        <f t="shared" ca="1" si="38"/>
        <v>0</v>
      </c>
      <c r="AJ44" s="416">
        <f t="shared" ca="1" si="31"/>
        <v>0</v>
      </c>
      <c r="AK44" s="416">
        <f t="shared" ca="1" si="32"/>
        <v>0</v>
      </c>
      <c r="AL44" s="416">
        <v>0</v>
      </c>
      <c r="AM44" s="269">
        <f t="shared" ca="1" si="40"/>
        <v>0</v>
      </c>
      <c r="AN44" s="422">
        <f t="shared" ca="1" si="56"/>
        <v>18.66</v>
      </c>
      <c r="AO44" s="423">
        <f t="shared" ca="1" si="57"/>
        <v>26311205.816876858</v>
      </c>
      <c r="AP44" s="271">
        <f t="shared" ca="1" si="58"/>
        <v>0</v>
      </c>
      <c r="AQ44" s="271">
        <f t="shared" ca="1" si="59"/>
        <v>0</v>
      </c>
      <c r="AR44" s="271">
        <f t="shared" ca="1" si="60"/>
        <v>0</v>
      </c>
      <c r="AS44" s="271">
        <f t="shared" ca="1" si="61"/>
        <v>0</v>
      </c>
      <c r="AT44" s="271">
        <f t="shared" ca="1" si="62"/>
        <v>0.02</v>
      </c>
      <c r="AU44" s="278">
        <f t="shared" ca="1" si="63"/>
        <v>0.1</v>
      </c>
    </row>
    <row r="45" spans="2:47" ht="13.15" thickBot="1" x14ac:dyDescent="0.4">
      <c r="B45" s="18">
        <f t="shared" si="43"/>
        <v>26</v>
      </c>
      <c r="C45" s="85">
        <f t="shared" ca="1" si="44"/>
        <v>0</v>
      </c>
      <c r="D45" s="85">
        <f t="shared" ca="1" si="45"/>
        <v>0</v>
      </c>
      <c r="E45" s="84">
        <f t="shared" ca="1" si="46"/>
        <v>0</v>
      </c>
      <c r="F45" s="135">
        <f t="shared" ca="1" si="47"/>
        <v>0</v>
      </c>
      <c r="G45" s="409">
        <f t="shared" ca="1" si="5"/>
        <v>0</v>
      </c>
      <c r="H45" s="409">
        <f t="shared" ca="1" si="6"/>
        <v>0</v>
      </c>
      <c r="I45" s="275">
        <f t="shared" ca="1" si="48"/>
        <v>0</v>
      </c>
      <c r="J45" s="275">
        <f t="shared" ca="1" si="49"/>
        <v>0</v>
      </c>
      <c r="K45" s="137">
        <f t="shared" ca="1" si="50"/>
        <v>0</v>
      </c>
      <c r="L45" s="15" t="str">
        <f t="shared" ca="1" si="64"/>
        <v>F</v>
      </c>
      <c r="M45" s="88">
        <f t="shared" ca="1" si="64"/>
        <v>0</v>
      </c>
      <c r="N45" s="88">
        <f t="shared" ca="1" si="64"/>
        <v>0</v>
      </c>
      <c r="O45" s="432">
        <v>1000000000000000</v>
      </c>
      <c r="P45" s="69">
        <v>109575</v>
      </c>
      <c r="Q45" s="3">
        <f t="shared" si="51"/>
        <v>64597</v>
      </c>
      <c r="R45" s="107">
        <f t="shared" ca="1" si="41"/>
        <v>18.380000000000003</v>
      </c>
      <c r="S45" s="105">
        <f t="shared" ca="1" si="42"/>
        <v>25893685.458928723</v>
      </c>
      <c r="T45" s="341">
        <v>0</v>
      </c>
      <c r="U45" s="341">
        <v>0.11849999999999999</v>
      </c>
      <c r="V45" s="341">
        <v>0.11849999999999999</v>
      </c>
      <c r="W45" s="341">
        <v>0.11849999999999999</v>
      </c>
      <c r="X45" s="281">
        <f t="shared" si="8"/>
        <v>0.02</v>
      </c>
      <c r="Y45" s="282">
        <f t="shared" si="37"/>
        <v>0.1</v>
      </c>
      <c r="AA45" s="391">
        <f t="shared" ca="1" si="28"/>
        <v>0</v>
      </c>
      <c r="AB45" s="400">
        <f t="shared" ca="1" si="9"/>
        <v>0</v>
      </c>
      <c r="AC45" s="258">
        <f t="shared" ca="1" si="52"/>
        <v>0</v>
      </c>
      <c r="AD45" s="258">
        <f t="shared" ca="1" si="53"/>
        <v>0</v>
      </c>
      <c r="AE45" s="402">
        <f t="shared" ca="1" si="54"/>
        <v>0</v>
      </c>
      <c r="AF45" s="402">
        <f t="shared" ca="1" si="55"/>
        <v>0</v>
      </c>
      <c r="AG45" s="404">
        <f t="shared" ca="1" si="29"/>
        <v>0</v>
      </c>
      <c r="AH45" s="415">
        <f t="shared" ca="1" si="30"/>
        <v>0</v>
      </c>
      <c r="AI45" s="415">
        <f t="shared" ca="1" si="38"/>
        <v>0</v>
      </c>
      <c r="AJ45" s="416">
        <f t="shared" ca="1" si="31"/>
        <v>0</v>
      </c>
      <c r="AK45" s="416">
        <f t="shared" ca="1" si="32"/>
        <v>0</v>
      </c>
      <c r="AL45" s="416">
        <v>0</v>
      </c>
      <c r="AM45" s="269">
        <f t="shared" ca="1" si="40"/>
        <v>0</v>
      </c>
      <c r="AN45" s="422">
        <f t="shared" ca="1" si="56"/>
        <v>18.66</v>
      </c>
      <c r="AO45" s="423">
        <f t="shared" ca="1" si="57"/>
        <v>26311205.816876858</v>
      </c>
      <c r="AP45" s="271">
        <f t="shared" ca="1" si="58"/>
        <v>0</v>
      </c>
      <c r="AQ45" s="271">
        <f t="shared" ca="1" si="59"/>
        <v>0</v>
      </c>
      <c r="AR45" s="271">
        <f t="shared" ca="1" si="60"/>
        <v>0</v>
      </c>
      <c r="AS45" s="271">
        <f t="shared" ca="1" si="61"/>
        <v>0</v>
      </c>
      <c r="AT45" s="271">
        <f t="shared" ca="1" si="62"/>
        <v>0.02</v>
      </c>
      <c r="AU45" s="278">
        <f t="shared" ca="1" si="63"/>
        <v>0.1</v>
      </c>
    </row>
    <row r="46" spans="2:47" ht="13.15" thickBot="1" x14ac:dyDescent="0.4">
      <c r="B46" s="18">
        <f t="shared" si="43"/>
        <v>27</v>
      </c>
      <c r="C46" s="85">
        <f t="shared" ca="1" si="44"/>
        <v>0</v>
      </c>
      <c r="D46" s="85">
        <f t="shared" ca="1" si="45"/>
        <v>0</v>
      </c>
      <c r="E46" s="84">
        <f t="shared" ca="1" si="46"/>
        <v>0</v>
      </c>
      <c r="F46" s="135">
        <f t="shared" ca="1" si="47"/>
        <v>0</v>
      </c>
      <c r="G46" s="409">
        <f t="shared" ca="1" si="5"/>
        <v>0</v>
      </c>
      <c r="H46" s="409">
        <f t="shared" ca="1" si="6"/>
        <v>0</v>
      </c>
      <c r="I46" s="275">
        <f t="shared" ca="1" si="48"/>
        <v>0</v>
      </c>
      <c r="J46" s="275">
        <f t="shared" ca="1" si="49"/>
        <v>0</v>
      </c>
      <c r="K46" s="137">
        <f t="shared" ca="1" si="50"/>
        <v>0</v>
      </c>
      <c r="L46" s="15" t="str">
        <f t="shared" ca="1" si="64"/>
        <v>F</v>
      </c>
      <c r="M46" s="88">
        <f t="shared" ca="1" si="64"/>
        <v>0</v>
      </c>
      <c r="N46" s="88">
        <f t="shared" ca="1" si="64"/>
        <v>0</v>
      </c>
      <c r="O46" s="432">
        <v>1000000000000000</v>
      </c>
      <c r="P46" s="69">
        <v>109575</v>
      </c>
      <c r="Q46" s="3">
        <f t="shared" si="51"/>
        <v>64597</v>
      </c>
      <c r="R46" s="107">
        <f t="shared" ca="1" si="41"/>
        <v>18.380000000000003</v>
      </c>
      <c r="S46" s="105">
        <f t="shared" ca="1" si="42"/>
        <v>25893685.458928723</v>
      </c>
      <c r="T46" s="341">
        <v>0</v>
      </c>
      <c r="U46" s="341">
        <v>0.11849999999999999</v>
      </c>
      <c r="V46" s="341">
        <v>0.11849999999999999</v>
      </c>
      <c r="W46" s="341">
        <v>0.11849999999999999</v>
      </c>
      <c r="X46" s="281">
        <f t="shared" si="8"/>
        <v>0.02</v>
      </c>
      <c r="Y46" s="282">
        <f t="shared" si="37"/>
        <v>0.1</v>
      </c>
      <c r="AA46" s="391">
        <f t="shared" ca="1" si="28"/>
        <v>0</v>
      </c>
      <c r="AB46" s="400">
        <f t="shared" ca="1" si="9"/>
        <v>0</v>
      </c>
      <c r="AC46" s="258">
        <f t="shared" ca="1" si="52"/>
        <v>0</v>
      </c>
      <c r="AD46" s="258">
        <f t="shared" ca="1" si="53"/>
        <v>0</v>
      </c>
      <c r="AE46" s="402">
        <f t="shared" ca="1" si="54"/>
        <v>0</v>
      </c>
      <c r="AF46" s="402">
        <f t="shared" ca="1" si="55"/>
        <v>0</v>
      </c>
      <c r="AG46" s="404">
        <f t="shared" ca="1" si="29"/>
        <v>0</v>
      </c>
      <c r="AH46" s="415">
        <f t="shared" ca="1" si="30"/>
        <v>0</v>
      </c>
      <c r="AI46" s="415">
        <f t="shared" ca="1" si="38"/>
        <v>0</v>
      </c>
      <c r="AJ46" s="416">
        <f t="shared" ca="1" si="31"/>
        <v>0</v>
      </c>
      <c r="AK46" s="416">
        <f t="shared" ca="1" si="32"/>
        <v>0</v>
      </c>
      <c r="AL46" s="416">
        <v>0</v>
      </c>
      <c r="AM46" s="269">
        <f t="shared" ca="1" si="40"/>
        <v>0</v>
      </c>
      <c r="AN46" s="422">
        <f t="shared" ca="1" si="56"/>
        <v>18.66</v>
      </c>
      <c r="AO46" s="423">
        <f t="shared" ca="1" si="57"/>
        <v>26311205.816876858</v>
      </c>
      <c r="AP46" s="271">
        <f t="shared" ca="1" si="58"/>
        <v>0</v>
      </c>
      <c r="AQ46" s="271">
        <f t="shared" ca="1" si="59"/>
        <v>0</v>
      </c>
      <c r="AR46" s="271">
        <f t="shared" ca="1" si="60"/>
        <v>0</v>
      </c>
      <c r="AS46" s="271">
        <f t="shared" ca="1" si="61"/>
        <v>0</v>
      </c>
      <c r="AT46" s="271">
        <f t="shared" ca="1" si="62"/>
        <v>0.02</v>
      </c>
      <c r="AU46" s="278">
        <f t="shared" ca="1" si="63"/>
        <v>0.1</v>
      </c>
    </row>
    <row r="47" spans="2:47" ht="13.15" thickBot="1" x14ac:dyDescent="0.4">
      <c r="B47" s="18">
        <f t="shared" si="43"/>
        <v>28</v>
      </c>
      <c r="C47" s="85">
        <f t="shared" ca="1" si="44"/>
        <v>0</v>
      </c>
      <c r="D47" s="85">
        <f t="shared" ca="1" si="45"/>
        <v>0</v>
      </c>
      <c r="E47" s="84">
        <f t="shared" ca="1" si="46"/>
        <v>0</v>
      </c>
      <c r="F47" s="135">
        <f t="shared" ca="1" si="47"/>
        <v>0</v>
      </c>
      <c r="G47" s="409">
        <f t="shared" ca="1" si="5"/>
        <v>0</v>
      </c>
      <c r="H47" s="409">
        <f t="shared" ca="1" si="6"/>
        <v>0</v>
      </c>
      <c r="I47" s="275">
        <f t="shared" ca="1" si="48"/>
        <v>0</v>
      </c>
      <c r="J47" s="275">
        <f t="shared" ca="1" si="49"/>
        <v>0</v>
      </c>
      <c r="K47" s="137">
        <f t="shared" ca="1" si="50"/>
        <v>0</v>
      </c>
      <c r="L47" s="15" t="str">
        <f t="shared" ca="1" si="64"/>
        <v>F</v>
      </c>
      <c r="M47" s="88">
        <f t="shared" ca="1" si="64"/>
        <v>0</v>
      </c>
      <c r="N47" s="88">
        <f t="shared" ca="1" si="64"/>
        <v>0</v>
      </c>
      <c r="O47" s="432">
        <v>1000000000000000</v>
      </c>
      <c r="P47" s="69">
        <v>109575</v>
      </c>
      <c r="Q47" s="3">
        <f t="shared" si="51"/>
        <v>64597</v>
      </c>
      <c r="R47" s="107">
        <f t="shared" ca="1" si="41"/>
        <v>18.380000000000003</v>
      </c>
      <c r="S47" s="105">
        <f t="shared" ca="1" si="42"/>
        <v>25893685.458928723</v>
      </c>
      <c r="T47" s="341">
        <v>0</v>
      </c>
      <c r="U47" s="341">
        <v>0.11849999999999999</v>
      </c>
      <c r="V47" s="341">
        <v>0.11849999999999999</v>
      </c>
      <c r="W47" s="341">
        <v>0.11849999999999999</v>
      </c>
      <c r="X47" s="281">
        <f t="shared" si="8"/>
        <v>0.02</v>
      </c>
      <c r="Y47" s="282">
        <f t="shared" si="37"/>
        <v>0.1</v>
      </c>
      <c r="AA47" s="391">
        <f t="shared" ca="1" si="28"/>
        <v>0</v>
      </c>
      <c r="AB47" s="400">
        <f t="shared" ca="1" si="9"/>
        <v>0</v>
      </c>
      <c r="AC47" s="258">
        <f t="shared" ca="1" si="52"/>
        <v>0</v>
      </c>
      <c r="AD47" s="258">
        <f t="shared" ca="1" si="53"/>
        <v>0</v>
      </c>
      <c r="AE47" s="402">
        <f t="shared" ca="1" si="54"/>
        <v>0</v>
      </c>
      <c r="AF47" s="402">
        <f t="shared" ca="1" si="55"/>
        <v>0</v>
      </c>
      <c r="AG47" s="404">
        <f t="shared" ca="1" si="29"/>
        <v>0</v>
      </c>
      <c r="AH47" s="415">
        <f t="shared" ca="1" si="30"/>
        <v>0</v>
      </c>
      <c r="AI47" s="415">
        <f t="shared" ca="1" si="38"/>
        <v>0</v>
      </c>
      <c r="AJ47" s="416">
        <f t="shared" ca="1" si="31"/>
        <v>0</v>
      </c>
      <c r="AK47" s="416">
        <f t="shared" ca="1" si="32"/>
        <v>0</v>
      </c>
      <c r="AL47" s="416">
        <v>0</v>
      </c>
      <c r="AM47" s="269">
        <f t="shared" ca="1" si="40"/>
        <v>0</v>
      </c>
      <c r="AN47" s="422">
        <f t="shared" ca="1" si="56"/>
        <v>18.66</v>
      </c>
      <c r="AO47" s="423">
        <f t="shared" ca="1" si="57"/>
        <v>26311205.816876858</v>
      </c>
      <c r="AP47" s="271">
        <f t="shared" ca="1" si="58"/>
        <v>0</v>
      </c>
      <c r="AQ47" s="271">
        <f t="shared" ca="1" si="59"/>
        <v>0</v>
      </c>
      <c r="AR47" s="271">
        <f t="shared" ca="1" si="60"/>
        <v>0</v>
      </c>
      <c r="AS47" s="271">
        <f t="shared" ca="1" si="61"/>
        <v>0</v>
      </c>
      <c r="AT47" s="271">
        <f t="shared" ca="1" si="62"/>
        <v>0.02</v>
      </c>
      <c r="AU47" s="278">
        <f t="shared" ca="1" si="63"/>
        <v>0.1</v>
      </c>
    </row>
    <row r="48" spans="2:47" ht="13.15" thickBot="1" x14ac:dyDescent="0.4">
      <c r="B48" s="18">
        <f t="shared" si="43"/>
        <v>29</v>
      </c>
      <c r="C48" s="85">
        <f t="shared" ca="1" si="44"/>
        <v>0</v>
      </c>
      <c r="D48" s="85">
        <f t="shared" ca="1" si="45"/>
        <v>0</v>
      </c>
      <c r="E48" s="84">
        <f t="shared" ca="1" si="46"/>
        <v>0</v>
      </c>
      <c r="F48" s="135">
        <f t="shared" ca="1" si="47"/>
        <v>0</v>
      </c>
      <c r="G48" s="409">
        <f t="shared" ca="1" si="5"/>
        <v>0</v>
      </c>
      <c r="H48" s="409">
        <f t="shared" ca="1" si="6"/>
        <v>0</v>
      </c>
      <c r="I48" s="275">
        <f t="shared" ca="1" si="48"/>
        <v>0</v>
      </c>
      <c r="J48" s="275">
        <f t="shared" ca="1" si="49"/>
        <v>0</v>
      </c>
      <c r="K48" s="137">
        <f t="shared" ca="1" si="50"/>
        <v>0</v>
      </c>
      <c r="L48" s="15" t="str">
        <f t="shared" ca="1" si="64"/>
        <v>F</v>
      </c>
      <c r="M48" s="88">
        <f t="shared" ca="1" si="64"/>
        <v>0</v>
      </c>
      <c r="N48" s="88">
        <f t="shared" ca="1" si="64"/>
        <v>0</v>
      </c>
      <c r="O48" s="432">
        <v>1000000000000000</v>
      </c>
      <c r="P48" s="69">
        <v>109575</v>
      </c>
      <c r="Q48" s="3">
        <f t="shared" si="51"/>
        <v>64597</v>
      </c>
      <c r="R48" s="107">
        <f t="shared" ca="1" si="41"/>
        <v>18.380000000000003</v>
      </c>
      <c r="S48" s="105">
        <f t="shared" ca="1" si="42"/>
        <v>25893685.458928723</v>
      </c>
      <c r="T48" s="341">
        <v>0</v>
      </c>
      <c r="U48" s="341">
        <v>0.11849999999999999</v>
      </c>
      <c r="V48" s="341">
        <v>0.11849999999999999</v>
      </c>
      <c r="W48" s="341">
        <v>0.11849999999999999</v>
      </c>
      <c r="X48" s="281">
        <f t="shared" si="8"/>
        <v>0.02</v>
      </c>
      <c r="Y48" s="282">
        <f t="shared" si="37"/>
        <v>0.1</v>
      </c>
      <c r="AA48" s="391">
        <f t="shared" ca="1" si="28"/>
        <v>0</v>
      </c>
      <c r="AB48" s="400">
        <f t="shared" ca="1" si="9"/>
        <v>0</v>
      </c>
      <c r="AC48" s="258">
        <f t="shared" ca="1" si="52"/>
        <v>0</v>
      </c>
      <c r="AD48" s="258">
        <f t="shared" ca="1" si="53"/>
        <v>0</v>
      </c>
      <c r="AE48" s="402">
        <f t="shared" ca="1" si="54"/>
        <v>0</v>
      </c>
      <c r="AF48" s="402">
        <f t="shared" ca="1" si="55"/>
        <v>0</v>
      </c>
      <c r="AG48" s="404">
        <f t="shared" ca="1" si="29"/>
        <v>0</v>
      </c>
      <c r="AH48" s="415">
        <f t="shared" ca="1" si="30"/>
        <v>0</v>
      </c>
      <c r="AI48" s="415">
        <f t="shared" ca="1" si="38"/>
        <v>0</v>
      </c>
      <c r="AJ48" s="416">
        <f t="shared" ca="1" si="31"/>
        <v>0</v>
      </c>
      <c r="AK48" s="416">
        <f t="shared" ca="1" si="32"/>
        <v>0</v>
      </c>
      <c r="AL48" s="416">
        <v>0</v>
      </c>
      <c r="AM48" s="269">
        <f t="shared" ca="1" si="40"/>
        <v>0</v>
      </c>
      <c r="AN48" s="422">
        <f t="shared" ca="1" si="56"/>
        <v>18.66</v>
      </c>
      <c r="AO48" s="423">
        <f t="shared" ca="1" si="57"/>
        <v>26311205.816876858</v>
      </c>
      <c r="AP48" s="271">
        <f t="shared" ca="1" si="58"/>
        <v>0</v>
      </c>
      <c r="AQ48" s="271">
        <f t="shared" ca="1" si="59"/>
        <v>0</v>
      </c>
      <c r="AR48" s="271">
        <f t="shared" ca="1" si="60"/>
        <v>0</v>
      </c>
      <c r="AS48" s="271">
        <f t="shared" ca="1" si="61"/>
        <v>0</v>
      </c>
      <c r="AT48" s="271">
        <f t="shared" ca="1" si="62"/>
        <v>0.02</v>
      </c>
      <c r="AU48" s="278">
        <f t="shared" ca="1" si="63"/>
        <v>0.1</v>
      </c>
    </row>
    <row r="49" spans="2:47" ht="13.15" thickBot="1" x14ac:dyDescent="0.4">
      <c r="B49" s="18">
        <f t="shared" si="43"/>
        <v>30</v>
      </c>
      <c r="C49" s="85">
        <f t="shared" ca="1" si="44"/>
        <v>0</v>
      </c>
      <c r="D49" s="85">
        <f t="shared" ca="1" si="45"/>
        <v>0</v>
      </c>
      <c r="E49" s="84">
        <f t="shared" ca="1" si="46"/>
        <v>0</v>
      </c>
      <c r="F49" s="135">
        <f t="shared" ca="1" si="47"/>
        <v>0</v>
      </c>
      <c r="G49" s="409">
        <f t="shared" ca="1" si="5"/>
        <v>0</v>
      </c>
      <c r="H49" s="409">
        <f t="shared" ca="1" si="6"/>
        <v>0</v>
      </c>
      <c r="I49" s="275">
        <f t="shared" ca="1" si="48"/>
        <v>0</v>
      </c>
      <c r="J49" s="275">
        <f t="shared" ca="1" si="49"/>
        <v>0</v>
      </c>
      <c r="K49" s="137">
        <f t="shared" ca="1" si="50"/>
        <v>0</v>
      </c>
      <c r="L49" s="15" t="str">
        <f t="shared" ca="1" si="64"/>
        <v>F</v>
      </c>
      <c r="M49" s="88">
        <f t="shared" ca="1" si="64"/>
        <v>0</v>
      </c>
      <c r="N49" s="88">
        <f t="shared" ca="1" si="64"/>
        <v>0</v>
      </c>
      <c r="O49" s="432">
        <v>1000000000000000</v>
      </c>
      <c r="P49" s="69">
        <v>109575</v>
      </c>
      <c r="Q49" s="3">
        <f t="shared" si="51"/>
        <v>64597</v>
      </c>
      <c r="R49" s="107">
        <f t="shared" ca="1" si="41"/>
        <v>18.380000000000003</v>
      </c>
      <c r="S49" s="105">
        <f t="shared" ca="1" si="42"/>
        <v>25893685.458928723</v>
      </c>
      <c r="T49" s="341">
        <v>0</v>
      </c>
      <c r="U49" s="341">
        <v>0.11849999999999999</v>
      </c>
      <c r="V49" s="341">
        <v>0.11849999999999999</v>
      </c>
      <c r="W49" s="341">
        <v>0.11849999999999999</v>
      </c>
      <c r="X49" s="281">
        <f t="shared" si="8"/>
        <v>0.02</v>
      </c>
      <c r="Y49" s="282">
        <f t="shared" si="37"/>
        <v>0.1</v>
      </c>
      <c r="AA49" s="391">
        <f t="shared" ca="1" si="28"/>
        <v>0</v>
      </c>
      <c r="AB49" s="400">
        <f t="shared" ca="1" si="9"/>
        <v>0</v>
      </c>
      <c r="AC49" s="258">
        <f t="shared" ca="1" si="52"/>
        <v>0</v>
      </c>
      <c r="AD49" s="258">
        <f t="shared" ca="1" si="53"/>
        <v>0</v>
      </c>
      <c r="AE49" s="402">
        <f t="shared" ca="1" si="54"/>
        <v>0</v>
      </c>
      <c r="AF49" s="402">
        <f t="shared" ca="1" si="55"/>
        <v>0</v>
      </c>
      <c r="AG49" s="404">
        <f t="shared" ca="1" si="29"/>
        <v>0</v>
      </c>
      <c r="AH49" s="415">
        <f t="shared" ca="1" si="30"/>
        <v>0</v>
      </c>
      <c r="AI49" s="415">
        <f t="shared" ca="1" si="38"/>
        <v>0</v>
      </c>
      <c r="AJ49" s="416">
        <f t="shared" ca="1" si="31"/>
        <v>0</v>
      </c>
      <c r="AK49" s="416">
        <f t="shared" ca="1" si="32"/>
        <v>0</v>
      </c>
      <c r="AL49" s="416">
        <v>0</v>
      </c>
      <c r="AM49" s="269">
        <f t="shared" ca="1" si="40"/>
        <v>0</v>
      </c>
      <c r="AN49" s="422">
        <f t="shared" ca="1" si="56"/>
        <v>18.66</v>
      </c>
      <c r="AO49" s="423">
        <f t="shared" ca="1" si="57"/>
        <v>26311205.816876858</v>
      </c>
      <c r="AP49" s="271">
        <f t="shared" ca="1" si="58"/>
        <v>0</v>
      </c>
      <c r="AQ49" s="271">
        <f t="shared" ca="1" si="59"/>
        <v>0</v>
      </c>
      <c r="AR49" s="271">
        <f t="shared" ca="1" si="60"/>
        <v>0</v>
      </c>
      <c r="AS49" s="271">
        <f t="shared" ca="1" si="61"/>
        <v>0</v>
      </c>
      <c r="AT49" s="271">
        <f t="shared" ca="1" si="62"/>
        <v>0.02</v>
      </c>
      <c r="AU49" s="278">
        <f t="shared" ca="1" si="63"/>
        <v>0.1</v>
      </c>
    </row>
    <row r="50" spans="2:47" ht="13.15" thickBot="1" x14ac:dyDescent="0.4">
      <c r="B50" s="18">
        <f t="shared" si="43"/>
        <v>31</v>
      </c>
      <c r="C50" s="85">
        <f t="shared" ca="1" si="44"/>
        <v>0</v>
      </c>
      <c r="D50" s="85">
        <f t="shared" ca="1" si="45"/>
        <v>0</v>
      </c>
      <c r="E50" s="84">
        <f t="shared" ca="1" si="46"/>
        <v>0</v>
      </c>
      <c r="F50" s="135">
        <f t="shared" ca="1" si="47"/>
        <v>0</v>
      </c>
      <c r="G50" s="409">
        <f t="shared" ca="1" si="5"/>
        <v>0</v>
      </c>
      <c r="H50" s="409">
        <f t="shared" ca="1" si="6"/>
        <v>0</v>
      </c>
      <c r="I50" s="275">
        <f t="shared" ca="1" si="48"/>
        <v>0</v>
      </c>
      <c r="J50" s="275">
        <f t="shared" ca="1" si="49"/>
        <v>0</v>
      </c>
      <c r="K50" s="137">
        <f t="shared" ca="1" si="50"/>
        <v>0</v>
      </c>
      <c r="L50" s="15" t="str">
        <f t="shared" ca="1" si="64"/>
        <v>F</v>
      </c>
      <c r="M50" s="88">
        <f t="shared" ca="1" si="64"/>
        <v>0</v>
      </c>
      <c r="N50" s="88">
        <f t="shared" ca="1" si="64"/>
        <v>0</v>
      </c>
      <c r="O50" s="432">
        <v>1000000000000000</v>
      </c>
      <c r="P50" s="69">
        <v>109575</v>
      </c>
      <c r="Q50" s="3">
        <f t="shared" si="51"/>
        <v>64597</v>
      </c>
      <c r="R50" s="107">
        <f t="shared" ca="1" si="41"/>
        <v>18.380000000000003</v>
      </c>
      <c r="S50" s="105">
        <f t="shared" ca="1" si="42"/>
        <v>25893685.458928723</v>
      </c>
      <c r="T50" s="341">
        <v>0</v>
      </c>
      <c r="U50" s="341">
        <v>0.11849999999999999</v>
      </c>
      <c r="V50" s="341">
        <v>0.11849999999999999</v>
      </c>
      <c r="W50" s="341">
        <v>0.11849999999999999</v>
      </c>
      <c r="X50" s="281">
        <f t="shared" si="8"/>
        <v>0.02</v>
      </c>
      <c r="Y50" s="282">
        <f t="shared" si="37"/>
        <v>0.1</v>
      </c>
      <c r="AA50" s="391">
        <f t="shared" ca="1" si="28"/>
        <v>0</v>
      </c>
      <c r="AB50" s="400">
        <f t="shared" ca="1" si="9"/>
        <v>0</v>
      </c>
      <c r="AC50" s="258">
        <f t="shared" ca="1" si="52"/>
        <v>0</v>
      </c>
      <c r="AD50" s="258">
        <f t="shared" ca="1" si="53"/>
        <v>0</v>
      </c>
      <c r="AE50" s="402">
        <f t="shared" ca="1" si="54"/>
        <v>0</v>
      </c>
      <c r="AF50" s="402">
        <f t="shared" ca="1" si="55"/>
        <v>0</v>
      </c>
      <c r="AG50" s="404">
        <f t="shared" ca="1" si="29"/>
        <v>0</v>
      </c>
      <c r="AH50" s="415">
        <f t="shared" ca="1" si="30"/>
        <v>0</v>
      </c>
      <c r="AI50" s="415">
        <f t="shared" ca="1" si="38"/>
        <v>0</v>
      </c>
      <c r="AJ50" s="416">
        <f t="shared" ca="1" si="31"/>
        <v>0</v>
      </c>
      <c r="AK50" s="416">
        <f t="shared" ca="1" si="32"/>
        <v>0</v>
      </c>
      <c r="AL50" s="416">
        <v>0</v>
      </c>
      <c r="AM50" s="269">
        <f t="shared" ca="1" si="40"/>
        <v>0</v>
      </c>
      <c r="AN50" s="422">
        <f t="shared" ca="1" si="56"/>
        <v>18.66</v>
      </c>
      <c r="AO50" s="423">
        <f t="shared" ca="1" si="57"/>
        <v>26311205.816876858</v>
      </c>
      <c r="AP50" s="271">
        <f t="shared" ca="1" si="58"/>
        <v>0</v>
      </c>
      <c r="AQ50" s="271">
        <f t="shared" ca="1" si="59"/>
        <v>0</v>
      </c>
      <c r="AR50" s="271">
        <f t="shared" ca="1" si="60"/>
        <v>0</v>
      </c>
      <c r="AS50" s="271">
        <f t="shared" ca="1" si="61"/>
        <v>0</v>
      </c>
      <c r="AT50" s="271">
        <f t="shared" ca="1" si="62"/>
        <v>0.02</v>
      </c>
      <c r="AU50" s="278">
        <f t="shared" ca="1" si="63"/>
        <v>0.1</v>
      </c>
    </row>
    <row r="51" spans="2:47" ht="13.15" thickBot="1" x14ac:dyDescent="0.4">
      <c r="B51" s="18">
        <f t="shared" si="43"/>
        <v>32</v>
      </c>
      <c r="C51" s="85">
        <f t="shared" ca="1" si="44"/>
        <v>0</v>
      </c>
      <c r="D51" s="85">
        <f t="shared" ca="1" si="45"/>
        <v>0</v>
      </c>
      <c r="E51" s="84">
        <f t="shared" ca="1" si="46"/>
        <v>0</v>
      </c>
      <c r="F51" s="135">
        <f t="shared" ca="1" si="47"/>
        <v>0</v>
      </c>
      <c r="G51" s="409">
        <f t="shared" ca="1" si="5"/>
        <v>0</v>
      </c>
      <c r="H51" s="409">
        <f t="shared" ca="1" si="6"/>
        <v>0</v>
      </c>
      <c r="I51" s="275">
        <f t="shared" ca="1" si="48"/>
        <v>0</v>
      </c>
      <c r="J51" s="275">
        <f t="shared" ca="1" si="49"/>
        <v>0</v>
      </c>
      <c r="K51" s="137">
        <f t="shared" ca="1" si="50"/>
        <v>0</v>
      </c>
      <c r="L51" s="15" t="str">
        <f t="shared" ca="1" si="64"/>
        <v>F</v>
      </c>
      <c r="M51" s="88">
        <f t="shared" ca="1" si="64"/>
        <v>0</v>
      </c>
      <c r="N51" s="88">
        <f t="shared" ca="1" si="64"/>
        <v>0</v>
      </c>
      <c r="O51" s="432">
        <v>1000000000000000</v>
      </c>
      <c r="P51" s="69">
        <v>109575</v>
      </c>
      <c r="Q51" s="3">
        <f t="shared" si="51"/>
        <v>64597</v>
      </c>
      <c r="R51" s="107">
        <f t="shared" ca="1" si="41"/>
        <v>18.380000000000003</v>
      </c>
      <c r="S51" s="105">
        <f t="shared" ca="1" si="42"/>
        <v>25893685.458928723</v>
      </c>
      <c r="T51" s="341">
        <v>0</v>
      </c>
      <c r="U51" s="341">
        <v>0.11849999999999999</v>
      </c>
      <c r="V51" s="341">
        <v>0.11849999999999999</v>
      </c>
      <c r="W51" s="341">
        <v>0.11849999999999999</v>
      </c>
      <c r="X51" s="281">
        <f t="shared" si="8"/>
        <v>0.02</v>
      </c>
      <c r="Y51" s="282">
        <f t="shared" si="37"/>
        <v>0.1</v>
      </c>
      <c r="AA51" s="391">
        <f t="shared" ca="1" si="28"/>
        <v>0</v>
      </c>
      <c r="AB51" s="400">
        <f t="shared" ca="1" si="9"/>
        <v>0</v>
      </c>
      <c r="AC51" s="258">
        <f t="shared" ca="1" si="52"/>
        <v>0</v>
      </c>
      <c r="AD51" s="258">
        <f t="shared" ca="1" si="53"/>
        <v>0</v>
      </c>
      <c r="AE51" s="402">
        <f t="shared" ca="1" si="54"/>
        <v>0</v>
      </c>
      <c r="AF51" s="402">
        <f t="shared" ca="1" si="55"/>
        <v>0</v>
      </c>
      <c r="AG51" s="404">
        <f t="shared" ca="1" si="29"/>
        <v>0</v>
      </c>
      <c r="AH51" s="415">
        <f t="shared" ca="1" si="30"/>
        <v>0</v>
      </c>
      <c r="AI51" s="415">
        <f t="shared" ca="1" si="38"/>
        <v>0</v>
      </c>
      <c r="AJ51" s="416">
        <f t="shared" ca="1" si="31"/>
        <v>0</v>
      </c>
      <c r="AK51" s="416">
        <f t="shared" ca="1" si="32"/>
        <v>0</v>
      </c>
      <c r="AL51" s="416">
        <v>0</v>
      </c>
      <c r="AM51" s="269">
        <f t="shared" ca="1" si="40"/>
        <v>0</v>
      </c>
      <c r="AN51" s="422">
        <f t="shared" ca="1" si="56"/>
        <v>18.66</v>
      </c>
      <c r="AO51" s="423">
        <f t="shared" ca="1" si="57"/>
        <v>26311205.816876858</v>
      </c>
      <c r="AP51" s="271">
        <f t="shared" ca="1" si="58"/>
        <v>0</v>
      </c>
      <c r="AQ51" s="271">
        <f t="shared" ca="1" si="59"/>
        <v>0</v>
      </c>
      <c r="AR51" s="271">
        <f t="shared" ca="1" si="60"/>
        <v>0</v>
      </c>
      <c r="AS51" s="271">
        <f t="shared" ca="1" si="61"/>
        <v>0</v>
      </c>
      <c r="AT51" s="271">
        <f t="shared" ca="1" si="62"/>
        <v>0.02</v>
      </c>
      <c r="AU51" s="278">
        <f t="shared" ca="1" si="63"/>
        <v>0.1</v>
      </c>
    </row>
    <row r="52" spans="2:47" ht="13.15" thickBot="1" x14ac:dyDescent="0.4">
      <c r="B52" s="18">
        <f t="shared" si="43"/>
        <v>33</v>
      </c>
      <c r="C52" s="85">
        <f t="shared" ca="1" si="44"/>
        <v>0</v>
      </c>
      <c r="D52" s="85">
        <f t="shared" ca="1" si="45"/>
        <v>0</v>
      </c>
      <c r="E52" s="84">
        <f t="shared" ca="1" si="46"/>
        <v>0</v>
      </c>
      <c r="F52" s="135">
        <f t="shared" ca="1" si="47"/>
        <v>0</v>
      </c>
      <c r="G52" s="409">
        <f t="shared" ref="G52:G83" ca="1" si="65">BSGamma(L52,1/S52,1/O52,Q52,X52,Y52,T52)*N52</f>
        <v>0</v>
      </c>
      <c r="H52" s="409">
        <f t="shared" ref="H52:H83" ca="1" si="66">BSVega(L52,1/S52,1/O52,Q52,X52,Y52,T52)*N52*1000000</f>
        <v>0</v>
      </c>
      <c r="I52" s="275">
        <f t="shared" ca="1" si="48"/>
        <v>0</v>
      </c>
      <c r="J52" s="275">
        <f t="shared" ca="1" si="49"/>
        <v>0</v>
      </c>
      <c r="K52" s="137">
        <f t="shared" ca="1" si="50"/>
        <v>0</v>
      </c>
      <c r="L52" s="15" t="str">
        <f t="shared" ref="L52:N68" ca="1" si="67">INDIRECT("'"&amp; $AB$16 &amp;"'!"&amp; ADDRESS(ROW(L52),COLUMN(L52),4))</f>
        <v>F</v>
      </c>
      <c r="M52" s="88">
        <f t="shared" ca="1" si="67"/>
        <v>0</v>
      </c>
      <c r="N52" s="88">
        <f t="shared" ca="1" si="67"/>
        <v>0</v>
      </c>
      <c r="O52" s="432">
        <v>1000000000000000</v>
      </c>
      <c r="P52" s="69">
        <v>109575</v>
      </c>
      <c r="Q52" s="3">
        <f t="shared" si="51"/>
        <v>64597</v>
      </c>
      <c r="R52" s="107">
        <f t="shared" ca="1" si="41"/>
        <v>18.380000000000003</v>
      </c>
      <c r="S52" s="105">
        <f t="shared" ca="1" si="42"/>
        <v>25893685.458928723</v>
      </c>
      <c r="T52" s="341">
        <v>0</v>
      </c>
      <c r="U52" s="341">
        <v>0.11849999999999999</v>
      </c>
      <c r="V52" s="341">
        <v>0.11849999999999999</v>
      </c>
      <c r="W52" s="341">
        <v>0.11849999999999999</v>
      </c>
      <c r="X52" s="281">
        <f t="shared" si="8"/>
        <v>0.02</v>
      </c>
      <c r="Y52" s="282">
        <f t="shared" si="37"/>
        <v>0.1</v>
      </c>
      <c r="AA52" s="391">
        <f t="shared" ca="1" si="28"/>
        <v>0</v>
      </c>
      <c r="AB52" s="400">
        <f t="shared" ca="1" si="9"/>
        <v>0</v>
      </c>
      <c r="AC52" s="258">
        <f t="shared" ca="1" si="52"/>
        <v>0</v>
      </c>
      <c r="AD52" s="258">
        <f t="shared" ca="1" si="53"/>
        <v>0</v>
      </c>
      <c r="AE52" s="402">
        <f t="shared" ca="1" si="54"/>
        <v>0</v>
      </c>
      <c r="AF52" s="402">
        <f t="shared" ca="1" si="55"/>
        <v>0</v>
      </c>
      <c r="AG52" s="404">
        <f t="shared" ca="1" si="29"/>
        <v>0</v>
      </c>
      <c r="AH52" s="415">
        <f t="shared" ca="1" si="30"/>
        <v>0</v>
      </c>
      <c r="AI52" s="415">
        <f t="shared" ca="1" si="38"/>
        <v>0</v>
      </c>
      <c r="AJ52" s="416">
        <f t="shared" ca="1" si="31"/>
        <v>0</v>
      </c>
      <c r="AK52" s="416">
        <f t="shared" ca="1" si="32"/>
        <v>0</v>
      </c>
      <c r="AL52" s="416">
        <v>0</v>
      </c>
      <c r="AM52" s="269">
        <f t="shared" ca="1" si="40"/>
        <v>0</v>
      </c>
      <c r="AN52" s="422">
        <f t="shared" ca="1" si="56"/>
        <v>18.66</v>
      </c>
      <c r="AO52" s="423">
        <f t="shared" ca="1" si="57"/>
        <v>26311205.816876858</v>
      </c>
      <c r="AP52" s="271">
        <f t="shared" ca="1" si="58"/>
        <v>0</v>
      </c>
      <c r="AQ52" s="271">
        <f t="shared" ca="1" si="59"/>
        <v>0</v>
      </c>
      <c r="AR52" s="271">
        <f t="shared" ca="1" si="60"/>
        <v>0</v>
      </c>
      <c r="AS52" s="271">
        <f t="shared" ca="1" si="61"/>
        <v>0</v>
      </c>
      <c r="AT52" s="271">
        <f t="shared" ca="1" si="62"/>
        <v>0.02</v>
      </c>
      <c r="AU52" s="278">
        <f t="shared" ca="1" si="63"/>
        <v>0.1</v>
      </c>
    </row>
    <row r="53" spans="2:47" ht="13.15" thickBot="1" x14ac:dyDescent="0.4">
      <c r="B53" s="18">
        <f t="shared" si="43"/>
        <v>34</v>
      </c>
      <c r="C53" s="85">
        <f t="shared" ca="1" si="44"/>
        <v>0</v>
      </c>
      <c r="D53" s="85">
        <f t="shared" ca="1" si="45"/>
        <v>0</v>
      </c>
      <c r="E53" s="84">
        <f t="shared" ca="1" si="46"/>
        <v>0</v>
      </c>
      <c r="F53" s="135">
        <f t="shared" ca="1" si="47"/>
        <v>0</v>
      </c>
      <c r="G53" s="409">
        <f t="shared" ca="1" si="65"/>
        <v>0</v>
      </c>
      <c r="H53" s="409">
        <f t="shared" ca="1" si="66"/>
        <v>0</v>
      </c>
      <c r="I53" s="275">
        <f t="shared" ca="1" si="48"/>
        <v>0</v>
      </c>
      <c r="J53" s="275">
        <f t="shared" ca="1" si="49"/>
        <v>0</v>
      </c>
      <c r="K53" s="137">
        <f t="shared" ca="1" si="50"/>
        <v>0</v>
      </c>
      <c r="L53" s="15" t="str">
        <f t="shared" ca="1" si="67"/>
        <v>F</v>
      </c>
      <c r="M53" s="88">
        <f t="shared" ca="1" si="67"/>
        <v>0</v>
      </c>
      <c r="N53" s="88">
        <f t="shared" ca="1" si="67"/>
        <v>0</v>
      </c>
      <c r="O53" s="432">
        <v>1000000000000000</v>
      </c>
      <c r="P53" s="69">
        <v>109575</v>
      </c>
      <c r="Q53" s="3">
        <f t="shared" si="51"/>
        <v>64597</v>
      </c>
      <c r="R53" s="107">
        <f t="shared" ca="1" si="41"/>
        <v>18.380000000000003</v>
      </c>
      <c r="S53" s="105">
        <f t="shared" ca="1" si="42"/>
        <v>25893685.458928723</v>
      </c>
      <c r="T53" s="341">
        <v>0</v>
      </c>
      <c r="U53" s="341">
        <v>0.11849999999999999</v>
      </c>
      <c r="V53" s="341">
        <v>0.11849999999999999</v>
      </c>
      <c r="W53" s="341">
        <v>0.11849999999999999</v>
      </c>
      <c r="X53" s="281">
        <f t="shared" si="8"/>
        <v>0.02</v>
      </c>
      <c r="Y53" s="282">
        <f t="shared" si="37"/>
        <v>0.1</v>
      </c>
      <c r="AA53" s="391">
        <f t="shared" ca="1" si="28"/>
        <v>0</v>
      </c>
      <c r="AB53" s="400">
        <f t="shared" ca="1" si="9"/>
        <v>0</v>
      </c>
      <c r="AC53" s="258">
        <f t="shared" ca="1" si="52"/>
        <v>0</v>
      </c>
      <c r="AD53" s="258">
        <f t="shared" ca="1" si="53"/>
        <v>0</v>
      </c>
      <c r="AE53" s="402">
        <f t="shared" ca="1" si="54"/>
        <v>0</v>
      </c>
      <c r="AF53" s="402">
        <f t="shared" ca="1" si="55"/>
        <v>0</v>
      </c>
      <c r="AG53" s="404">
        <f t="shared" ca="1" si="29"/>
        <v>0</v>
      </c>
      <c r="AH53" s="415">
        <f t="shared" ca="1" si="30"/>
        <v>0</v>
      </c>
      <c r="AI53" s="415">
        <f t="shared" ca="1" si="38"/>
        <v>0</v>
      </c>
      <c r="AJ53" s="416">
        <f t="shared" ca="1" si="31"/>
        <v>0</v>
      </c>
      <c r="AK53" s="416">
        <f t="shared" ca="1" si="32"/>
        <v>0</v>
      </c>
      <c r="AL53" s="416">
        <v>0</v>
      </c>
      <c r="AM53" s="269">
        <f t="shared" ca="1" si="40"/>
        <v>0</v>
      </c>
      <c r="AN53" s="422">
        <f t="shared" ca="1" si="56"/>
        <v>18.66</v>
      </c>
      <c r="AO53" s="423">
        <f t="shared" ca="1" si="57"/>
        <v>26311205.816876858</v>
      </c>
      <c r="AP53" s="271">
        <f t="shared" ca="1" si="58"/>
        <v>0</v>
      </c>
      <c r="AQ53" s="271">
        <f t="shared" ca="1" si="59"/>
        <v>0</v>
      </c>
      <c r="AR53" s="271">
        <f t="shared" ca="1" si="60"/>
        <v>0</v>
      </c>
      <c r="AS53" s="271">
        <f t="shared" ca="1" si="61"/>
        <v>0</v>
      </c>
      <c r="AT53" s="271">
        <f t="shared" ca="1" si="62"/>
        <v>0.02</v>
      </c>
      <c r="AU53" s="278">
        <f t="shared" ca="1" si="63"/>
        <v>0.1</v>
      </c>
    </row>
    <row r="54" spans="2:47" ht="13.15" thickBot="1" x14ac:dyDescent="0.4">
      <c r="B54" s="18">
        <f t="shared" si="43"/>
        <v>35</v>
      </c>
      <c r="C54" s="85">
        <f t="shared" ca="1" si="44"/>
        <v>0</v>
      </c>
      <c r="D54" s="85">
        <f t="shared" ca="1" si="45"/>
        <v>0</v>
      </c>
      <c r="E54" s="84">
        <f t="shared" ca="1" si="46"/>
        <v>0</v>
      </c>
      <c r="F54" s="135">
        <f t="shared" ca="1" si="47"/>
        <v>0</v>
      </c>
      <c r="G54" s="409">
        <f t="shared" ca="1" si="65"/>
        <v>0</v>
      </c>
      <c r="H54" s="409">
        <f t="shared" ca="1" si="66"/>
        <v>0</v>
      </c>
      <c r="I54" s="275">
        <f t="shared" ca="1" si="48"/>
        <v>0</v>
      </c>
      <c r="J54" s="275">
        <f t="shared" ca="1" si="49"/>
        <v>0</v>
      </c>
      <c r="K54" s="137">
        <f t="shared" ca="1" si="50"/>
        <v>0</v>
      </c>
      <c r="L54" s="15" t="str">
        <f t="shared" ca="1" si="67"/>
        <v>F</v>
      </c>
      <c r="M54" s="88">
        <f t="shared" ca="1" si="67"/>
        <v>0</v>
      </c>
      <c r="N54" s="88">
        <f t="shared" ca="1" si="67"/>
        <v>0</v>
      </c>
      <c r="O54" s="432">
        <v>1000000000000000</v>
      </c>
      <c r="P54" s="69">
        <v>109575</v>
      </c>
      <c r="Q54" s="3">
        <f t="shared" si="51"/>
        <v>64597</v>
      </c>
      <c r="R54" s="107">
        <f t="shared" ca="1" si="41"/>
        <v>18.380000000000003</v>
      </c>
      <c r="S54" s="105">
        <f t="shared" ca="1" si="42"/>
        <v>25893685.458928723</v>
      </c>
      <c r="T54" s="341">
        <v>0</v>
      </c>
      <c r="U54" s="341">
        <v>0.11849999999999999</v>
      </c>
      <c r="V54" s="341">
        <v>0.11849999999999999</v>
      </c>
      <c r="W54" s="341">
        <v>0.11849999999999999</v>
      </c>
      <c r="X54" s="281">
        <f t="shared" si="8"/>
        <v>0.02</v>
      </c>
      <c r="Y54" s="282">
        <f t="shared" si="37"/>
        <v>0.1</v>
      </c>
      <c r="AA54" s="391">
        <f t="shared" ca="1" si="28"/>
        <v>0</v>
      </c>
      <c r="AB54" s="400">
        <f t="shared" ca="1" si="9"/>
        <v>0</v>
      </c>
      <c r="AC54" s="258">
        <f t="shared" ca="1" si="52"/>
        <v>0</v>
      </c>
      <c r="AD54" s="258">
        <f t="shared" ca="1" si="53"/>
        <v>0</v>
      </c>
      <c r="AE54" s="402">
        <f t="shared" ca="1" si="54"/>
        <v>0</v>
      </c>
      <c r="AF54" s="402">
        <f t="shared" ca="1" si="55"/>
        <v>0</v>
      </c>
      <c r="AG54" s="404">
        <f t="shared" ca="1" si="29"/>
        <v>0</v>
      </c>
      <c r="AH54" s="415">
        <f t="shared" ca="1" si="30"/>
        <v>0</v>
      </c>
      <c r="AI54" s="415">
        <f t="shared" ca="1" si="38"/>
        <v>0</v>
      </c>
      <c r="AJ54" s="416">
        <f t="shared" ca="1" si="31"/>
        <v>0</v>
      </c>
      <c r="AK54" s="416">
        <f t="shared" ca="1" si="32"/>
        <v>0</v>
      </c>
      <c r="AL54" s="416">
        <v>0</v>
      </c>
      <c r="AM54" s="269">
        <f t="shared" ca="1" si="40"/>
        <v>0</v>
      </c>
      <c r="AN54" s="422">
        <f t="shared" ca="1" si="56"/>
        <v>18.66</v>
      </c>
      <c r="AO54" s="423">
        <f t="shared" ca="1" si="57"/>
        <v>26311205.816876858</v>
      </c>
      <c r="AP54" s="271">
        <f t="shared" ca="1" si="58"/>
        <v>0</v>
      </c>
      <c r="AQ54" s="271">
        <f t="shared" ca="1" si="59"/>
        <v>0</v>
      </c>
      <c r="AR54" s="271">
        <f t="shared" ca="1" si="60"/>
        <v>0</v>
      </c>
      <c r="AS54" s="271">
        <f t="shared" ca="1" si="61"/>
        <v>0</v>
      </c>
      <c r="AT54" s="271">
        <f t="shared" ca="1" si="62"/>
        <v>0.02</v>
      </c>
      <c r="AU54" s="278">
        <f t="shared" ca="1" si="63"/>
        <v>0.1</v>
      </c>
    </row>
    <row r="55" spans="2:47" ht="13.15" thickBot="1" x14ac:dyDescent="0.4">
      <c r="B55" s="18">
        <f t="shared" si="43"/>
        <v>36</v>
      </c>
      <c r="C55" s="85">
        <f t="shared" ca="1" si="44"/>
        <v>0</v>
      </c>
      <c r="D55" s="85">
        <f t="shared" ca="1" si="45"/>
        <v>0</v>
      </c>
      <c r="E55" s="84">
        <f t="shared" ca="1" si="46"/>
        <v>0</v>
      </c>
      <c r="F55" s="135">
        <f t="shared" ca="1" si="47"/>
        <v>0</v>
      </c>
      <c r="G55" s="409">
        <f t="shared" ca="1" si="65"/>
        <v>0</v>
      </c>
      <c r="H55" s="409">
        <f t="shared" ca="1" si="66"/>
        <v>0</v>
      </c>
      <c r="I55" s="275">
        <f t="shared" ca="1" si="48"/>
        <v>0</v>
      </c>
      <c r="J55" s="275">
        <f t="shared" ca="1" si="49"/>
        <v>0</v>
      </c>
      <c r="K55" s="137">
        <f t="shared" ca="1" si="50"/>
        <v>0</v>
      </c>
      <c r="L55" s="15" t="str">
        <f t="shared" ca="1" si="67"/>
        <v>F</v>
      </c>
      <c r="M55" s="88">
        <f t="shared" ca="1" si="67"/>
        <v>0</v>
      </c>
      <c r="N55" s="88">
        <f t="shared" ca="1" si="67"/>
        <v>0</v>
      </c>
      <c r="O55" s="432">
        <v>1000000000000000</v>
      </c>
      <c r="P55" s="69">
        <v>109575</v>
      </c>
      <c r="Q55" s="3">
        <f t="shared" si="51"/>
        <v>64597</v>
      </c>
      <c r="R55" s="107">
        <f t="shared" ca="1" si="41"/>
        <v>18.380000000000003</v>
      </c>
      <c r="S55" s="105">
        <f t="shared" ca="1" si="42"/>
        <v>25893685.458928723</v>
      </c>
      <c r="T55" s="341">
        <v>0</v>
      </c>
      <c r="U55" s="341">
        <v>0.11849999999999999</v>
      </c>
      <c r="V55" s="341">
        <v>0.11849999999999999</v>
      </c>
      <c r="W55" s="341">
        <v>0.11849999999999999</v>
      </c>
      <c r="X55" s="281">
        <f t="shared" si="8"/>
        <v>0.02</v>
      </c>
      <c r="Y55" s="282">
        <f t="shared" si="37"/>
        <v>0.1</v>
      </c>
      <c r="AA55" s="391">
        <f t="shared" ca="1" si="28"/>
        <v>0</v>
      </c>
      <c r="AB55" s="400">
        <f t="shared" ca="1" si="9"/>
        <v>0</v>
      </c>
      <c r="AC55" s="258">
        <f t="shared" ca="1" si="52"/>
        <v>0</v>
      </c>
      <c r="AD55" s="258">
        <f t="shared" ca="1" si="53"/>
        <v>0</v>
      </c>
      <c r="AE55" s="402">
        <f t="shared" ca="1" si="54"/>
        <v>0</v>
      </c>
      <c r="AF55" s="402">
        <f t="shared" ca="1" si="55"/>
        <v>0</v>
      </c>
      <c r="AG55" s="404">
        <f t="shared" ca="1" si="29"/>
        <v>0</v>
      </c>
      <c r="AH55" s="415">
        <f t="shared" ca="1" si="30"/>
        <v>0</v>
      </c>
      <c r="AI55" s="415">
        <f t="shared" ca="1" si="38"/>
        <v>0</v>
      </c>
      <c r="AJ55" s="416">
        <f t="shared" ca="1" si="31"/>
        <v>0</v>
      </c>
      <c r="AK55" s="416">
        <f t="shared" ca="1" si="32"/>
        <v>0</v>
      </c>
      <c r="AL55" s="416">
        <v>0</v>
      </c>
      <c r="AM55" s="269">
        <f t="shared" ca="1" si="40"/>
        <v>0</v>
      </c>
      <c r="AN55" s="422">
        <f t="shared" ca="1" si="56"/>
        <v>18.66</v>
      </c>
      <c r="AO55" s="423">
        <f t="shared" ca="1" si="57"/>
        <v>26311205.816876858</v>
      </c>
      <c r="AP55" s="271">
        <f t="shared" ca="1" si="58"/>
        <v>0</v>
      </c>
      <c r="AQ55" s="271">
        <f t="shared" ca="1" si="59"/>
        <v>0</v>
      </c>
      <c r="AR55" s="271">
        <f t="shared" ca="1" si="60"/>
        <v>0</v>
      </c>
      <c r="AS55" s="271">
        <f t="shared" ca="1" si="61"/>
        <v>0</v>
      </c>
      <c r="AT55" s="271">
        <f t="shared" ca="1" si="62"/>
        <v>0.02</v>
      </c>
      <c r="AU55" s="278">
        <f t="shared" ca="1" si="63"/>
        <v>0.1</v>
      </c>
    </row>
    <row r="56" spans="2:47" ht="13.15" thickBot="1" x14ac:dyDescent="0.4">
      <c r="B56" s="18">
        <f t="shared" si="43"/>
        <v>37</v>
      </c>
      <c r="C56" s="85">
        <f t="shared" ca="1" si="44"/>
        <v>0</v>
      </c>
      <c r="D56" s="85">
        <f t="shared" ca="1" si="45"/>
        <v>0</v>
      </c>
      <c r="E56" s="84">
        <f t="shared" ca="1" si="46"/>
        <v>0</v>
      </c>
      <c r="F56" s="135">
        <f t="shared" ca="1" si="47"/>
        <v>0</v>
      </c>
      <c r="G56" s="409">
        <f t="shared" ca="1" si="65"/>
        <v>0</v>
      </c>
      <c r="H56" s="409">
        <f t="shared" ca="1" si="66"/>
        <v>0</v>
      </c>
      <c r="I56" s="275">
        <f t="shared" ca="1" si="48"/>
        <v>0</v>
      </c>
      <c r="J56" s="275">
        <f t="shared" ca="1" si="49"/>
        <v>0</v>
      </c>
      <c r="K56" s="137">
        <f t="shared" ca="1" si="50"/>
        <v>0</v>
      </c>
      <c r="L56" s="15" t="str">
        <f t="shared" ca="1" si="67"/>
        <v>F</v>
      </c>
      <c r="M56" s="88">
        <f t="shared" ca="1" si="67"/>
        <v>0</v>
      </c>
      <c r="N56" s="88">
        <f t="shared" ca="1" si="67"/>
        <v>0</v>
      </c>
      <c r="O56" s="432">
        <v>1000000000000000</v>
      </c>
      <c r="P56" s="69">
        <v>109575</v>
      </c>
      <c r="Q56" s="3">
        <f t="shared" si="51"/>
        <v>64597</v>
      </c>
      <c r="R56" s="107">
        <f t="shared" ca="1" si="41"/>
        <v>18.380000000000003</v>
      </c>
      <c r="S56" s="105">
        <f t="shared" ca="1" si="42"/>
        <v>25893685.458928723</v>
      </c>
      <c r="T56" s="341">
        <v>0</v>
      </c>
      <c r="U56" s="341">
        <v>0.11849999999999999</v>
      </c>
      <c r="V56" s="341">
        <v>0.11849999999999999</v>
      </c>
      <c r="W56" s="341">
        <v>0.11849999999999999</v>
      </c>
      <c r="X56" s="281">
        <f t="shared" si="8"/>
        <v>0.02</v>
      </c>
      <c r="Y56" s="282">
        <f t="shared" si="37"/>
        <v>0.1</v>
      </c>
      <c r="AA56" s="391">
        <f t="shared" ca="1" si="28"/>
        <v>0</v>
      </c>
      <c r="AB56" s="400">
        <f t="shared" ca="1" si="9"/>
        <v>0</v>
      </c>
      <c r="AC56" s="258">
        <f t="shared" ca="1" si="52"/>
        <v>0</v>
      </c>
      <c r="AD56" s="258">
        <f t="shared" ca="1" si="53"/>
        <v>0</v>
      </c>
      <c r="AE56" s="402">
        <f t="shared" ca="1" si="54"/>
        <v>0</v>
      </c>
      <c r="AF56" s="402">
        <f t="shared" ca="1" si="55"/>
        <v>0</v>
      </c>
      <c r="AG56" s="404">
        <f t="shared" ca="1" si="29"/>
        <v>0</v>
      </c>
      <c r="AH56" s="415">
        <f t="shared" ca="1" si="30"/>
        <v>0</v>
      </c>
      <c r="AI56" s="415">
        <f t="shared" ca="1" si="38"/>
        <v>0</v>
      </c>
      <c r="AJ56" s="416">
        <f t="shared" ca="1" si="31"/>
        <v>0</v>
      </c>
      <c r="AK56" s="416">
        <f t="shared" ca="1" si="32"/>
        <v>0</v>
      </c>
      <c r="AL56" s="416">
        <v>0</v>
      </c>
      <c r="AM56" s="269">
        <f t="shared" ca="1" si="40"/>
        <v>0</v>
      </c>
      <c r="AN56" s="422">
        <f t="shared" ca="1" si="56"/>
        <v>18.66</v>
      </c>
      <c r="AO56" s="423">
        <f t="shared" ca="1" si="57"/>
        <v>26311205.816876858</v>
      </c>
      <c r="AP56" s="271">
        <f t="shared" ca="1" si="58"/>
        <v>0</v>
      </c>
      <c r="AQ56" s="271">
        <f t="shared" ca="1" si="59"/>
        <v>0</v>
      </c>
      <c r="AR56" s="271">
        <f t="shared" ca="1" si="60"/>
        <v>0</v>
      </c>
      <c r="AS56" s="271">
        <f t="shared" ca="1" si="61"/>
        <v>0</v>
      </c>
      <c r="AT56" s="271">
        <f t="shared" ca="1" si="62"/>
        <v>0.02</v>
      </c>
      <c r="AU56" s="278">
        <f t="shared" ca="1" si="63"/>
        <v>0.1</v>
      </c>
    </row>
    <row r="57" spans="2:47" ht="13.15" thickBot="1" x14ac:dyDescent="0.4">
      <c r="B57" s="18">
        <f t="shared" si="43"/>
        <v>38</v>
      </c>
      <c r="C57" s="85">
        <f t="shared" ca="1" si="44"/>
        <v>0</v>
      </c>
      <c r="D57" s="85">
        <f t="shared" ca="1" si="45"/>
        <v>0</v>
      </c>
      <c r="E57" s="84">
        <f t="shared" ca="1" si="46"/>
        <v>0</v>
      </c>
      <c r="F57" s="135">
        <f t="shared" ca="1" si="47"/>
        <v>0</v>
      </c>
      <c r="G57" s="409">
        <f t="shared" ca="1" si="65"/>
        <v>0</v>
      </c>
      <c r="H57" s="409">
        <f t="shared" ca="1" si="66"/>
        <v>0</v>
      </c>
      <c r="I57" s="275">
        <f t="shared" ca="1" si="48"/>
        <v>0</v>
      </c>
      <c r="J57" s="275">
        <f t="shared" ca="1" si="49"/>
        <v>0</v>
      </c>
      <c r="K57" s="137">
        <f t="shared" ca="1" si="50"/>
        <v>0</v>
      </c>
      <c r="L57" s="15" t="str">
        <f t="shared" ca="1" si="67"/>
        <v>F</v>
      </c>
      <c r="M57" s="88">
        <f t="shared" ca="1" si="67"/>
        <v>0</v>
      </c>
      <c r="N57" s="88">
        <f t="shared" ca="1" si="67"/>
        <v>0</v>
      </c>
      <c r="O57" s="432">
        <v>1000000000000000</v>
      </c>
      <c r="P57" s="69">
        <v>109575</v>
      </c>
      <c r="Q57" s="3">
        <f t="shared" si="51"/>
        <v>64597</v>
      </c>
      <c r="R57" s="107">
        <f t="shared" ca="1" si="41"/>
        <v>18.380000000000003</v>
      </c>
      <c r="S57" s="105">
        <f t="shared" ca="1" si="42"/>
        <v>25893685.458928723</v>
      </c>
      <c r="T57" s="341">
        <v>0</v>
      </c>
      <c r="U57" s="341">
        <v>0.11849999999999999</v>
      </c>
      <c r="V57" s="341">
        <v>0.11849999999999999</v>
      </c>
      <c r="W57" s="341">
        <v>0.11849999999999999</v>
      </c>
      <c r="X57" s="281">
        <f t="shared" si="8"/>
        <v>0.02</v>
      </c>
      <c r="Y57" s="282">
        <f t="shared" si="37"/>
        <v>0.1</v>
      </c>
      <c r="AA57" s="391">
        <f t="shared" ca="1" si="28"/>
        <v>0</v>
      </c>
      <c r="AB57" s="400">
        <f t="shared" ca="1" si="9"/>
        <v>0</v>
      </c>
      <c r="AC57" s="258">
        <f t="shared" ca="1" si="52"/>
        <v>0</v>
      </c>
      <c r="AD57" s="258">
        <f t="shared" ca="1" si="53"/>
        <v>0</v>
      </c>
      <c r="AE57" s="402">
        <f t="shared" ca="1" si="54"/>
        <v>0</v>
      </c>
      <c r="AF57" s="402">
        <f t="shared" ca="1" si="55"/>
        <v>0</v>
      </c>
      <c r="AG57" s="404">
        <f t="shared" ca="1" si="29"/>
        <v>0</v>
      </c>
      <c r="AH57" s="415">
        <f t="shared" ca="1" si="30"/>
        <v>0</v>
      </c>
      <c r="AI57" s="415">
        <f t="shared" ca="1" si="38"/>
        <v>0</v>
      </c>
      <c r="AJ57" s="416">
        <f t="shared" ca="1" si="31"/>
        <v>0</v>
      </c>
      <c r="AK57" s="416">
        <f t="shared" ca="1" si="32"/>
        <v>0</v>
      </c>
      <c r="AL57" s="416">
        <v>0</v>
      </c>
      <c r="AM57" s="269">
        <f t="shared" ca="1" si="40"/>
        <v>0</v>
      </c>
      <c r="AN57" s="422">
        <f t="shared" ca="1" si="56"/>
        <v>18.66</v>
      </c>
      <c r="AO57" s="423">
        <f t="shared" ca="1" si="57"/>
        <v>26311205.816876858</v>
      </c>
      <c r="AP57" s="271">
        <f t="shared" ca="1" si="58"/>
        <v>0</v>
      </c>
      <c r="AQ57" s="271">
        <f t="shared" ca="1" si="59"/>
        <v>0</v>
      </c>
      <c r="AR57" s="271">
        <f t="shared" ca="1" si="60"/>
        <v>0</v>
      </c>
      <c r="AS57" s="271">
        <f t="shared" ca="1" si="61"/>
        <v>0</v>
      </c>
      <c r="AT57" s="271">
        <f t="shared" ca="1" si="62"/>
        <v>0.02</v>
      </c>
      <c r="AU57" s="278">
        <f t="shared" ca="1" si="63"/>
        <v>0.1</v>
      </c>
    </row>
    <row r="58" spans="2:47" ht="13.15" thickBot="1" x14ac:dyDescent="0.4">
      <c r="B58" s="18">
        <f t="shared" si="43"/>
        <v>39</v>
      </c>
      <c r="C58" s="85">
        <f t="shared" ca="1" si="44"/>
        <v>0</v>
      </c>
      <c r="D58" s="85">
        <f t="shared" ca="1" si="45"/>
        <v>0</v>
      </c>
      <c r="E58" s="84">
        <f t="shared" ca="1" si="46"/>
        <v>0</v>
      </c>
      <c r="F58" s="135">
        <f t="shared" ca="1" si="47"/>
        <v>0</v>
      </c>
      <c r="G58" s="409">
        <f t="shared" ca="1" si="65"/>
        <v>0</v>
      </c>
      <c r="H58" s="409">
        <f t="shared" ca="1" si="66"/>
        <v>0</v>
      </c>
      <c r="I58" s="275">
        <f t="shared" ca="1" si="48"/>
        <v>0</v>
      </c>
      <c r="J58" s="275">
        <f t="shared" ca="1" si="49"/>
        <v>0</v>
      </c>
      <c r="K58" s="137">
        <f t="shared" ca="1" si="50"/>
        <v>0</v>
      </c>
      <c r="L58" s="15" t="str">
        <f t="shared" ca="1" si="67"/>
        <v>F</v>
      </c>
      <c r="M58" s="88">
        <f t="shared" ca="1" si="67"/>
        <v>0</v>
      </c>
      <c r="N58" s="88">
        <f t="shared" ca="1" si="67"/>
        <v>0</v>
      </c>
      <c r="O58" s="432">
        <v>1000000000000000</v>
      </c>
      <c r="P58" s="69">
        <v>109575</v>
      </c>
      <c r="Q58" s="3">
        <f t="shared" si="51"/>
        <v>64597</v>
      </c>
      <c r="R58" s="107">
        <f t="shared" ca="1" si="41"/>
        <v>18.380000000000003</v>
      </c>
      <c r="S58" s="105">
        <f t="shared" ca="1" si="42"/>
        <v>25893685.458928723</v>
      </c>
      <c r="T58" s="341">
        <v>0</v>
      </c>
      <c r="U58" s="341">
        <v>0.11849999999999999</v>
      </c>
      <c r="V58" s="341">
        <v>0.11849999999999999</v>
      </c>
      <c r="W58" s="341">
        <v>0.11849999999999999</v>
      </c>
      <c r="X58" s="281">
        <f t="shared" si="8"/>
        <v>0.02</v>
      </c>
      <c r="Y58" s="282">
        <f t="shared" si="37"/>
        <v>0.1</v>
      </c>
      <c r="AA58" s="391">
        <f t="shared" ca="1" si="28"/>
        <v>0</v>
      </c>
      <c r="AB58" s="400">
        <f t="shared" ca="1" si="9"/>
        <v>0</v>
      </c>
      <c r="AC58" s="258">
        <f t="shared" ca="1" si="52"/>
        <v>0</v>
      </c>
      <c r="AD58" s="258">
        <f t="shared" ca="1" si="53"/>
        <v>0</v>
      </c>
      <c r="AE58" s="402">
        <f t="shared" ca="1" si="54"/>
        <v>0</v>
      </c>
      <c r="AF58" s="402">
        <f t="shared" ca="1" si="55"/>
        <v>0</v>
      </c>
      <c r="AG58" s="404">
        <f t="shared" ca="1" si="29"/>
        <v>0</v>
      </c>
      <c r="AH58" s="415">
        <f t="shared" ca="1" si="30"/>
        <v>0</v>
      </c>
      <c r="AI58" s="415">
        <f t="shared" ca="1" si="38"/>
        <v>0</v>
      </c>
      <c r="AJ58" s="416">
        <f t="shared" ca="1" si="31"/>
        <v>0</v>
      </c>
      <c r="AK58" s="416">
        <f t="shared" ca="1" si="32"/>
        <v>0</v>
      </c>
      <c r="AL58" s="416">
        <v>0</v>
      </c>
      <c r="AM58" s="269">
        <f t="shared" ca="1" si="40"/>
        <v>0</v>
      </c>
      <c r="AN58" s="422">
        <f t="shared" ca="1" si="56"/>
        <v>18.66</v>
      </c>
      <c r="AO58" s="423">
        <f t="shared" ca="1" si="57"/>
        <v>26311205.816876858</v>
      </c>
      <c r="AP58" s="271">
        <f t="shared" ca="1" si="58"/>
        <v>0</v>
      </c>
      <c r="AQ58" s="271">
        <f t="shared" ca="1" si="59"/>
        <v>0</v>
      </c>
      <c r="AR58" s="271">
        <f t="shared" ca="1" si="60"/>
        <v>0</v>
      </c>
      <c r="AS58" s="271">
        <f t="shared" ca="1" si="61"/>
        <v>0</v>
      </c>
      <c r="AT58" s="271">
        <f t="shared" ca="1" si="62"/>
        <v>0.02</v>
      </c>
      <c r="AU58" s="278">
        <f t="shared" ca="1" si="63"/>
        <v>0.1</v>
      </c>
    </row>
    <row r="59" spans="2:47" ht="13.15" thickBot="1" x14ac:dyDescent="0.4">
      <c r="B59" s="18">
        <f t="shared" si="43"/>
        <v>40</v>
      </c>
      <c r="C59" s="85">
        <f t="shared" ca="1" si="44"/>
        <v>0</v>
      </c>
      <c r="D59" s="85">
        <f t="shared" ca="1" si="45"/>
        <v>0</v>
      </c>
      <c r="E59" s="84">
        <f t="shared" ca="1" si="46"/>
        <v>0</v>
      </c>
      <c r="F59" s="135">
        <f t="shared" ca="1" si="47"/>
        <v>0</v>
      </c>
      <c r="G59" s="409">
        <f t="shared" ca="1" si="65"/>
        <v>0</v>
      </c>
      <c r="H59" s="409">
        <f t="shared" ca="1" si="66"/>
        <v>0</v>
      </c>
      <c r="I59" s="275">
        <f t="shared" ca="1" si="48"/>
        <v>0</v>
      </c>
      <c r="J59" s="275">
        <f t="shared" ca="1" si="49"/>
        <v>0</v>
      </c>
      <c r="K59" s="137">
        <f t="shared" ca="1" si="50"/>
        <v>0</v>
      </c>
      <c r="L59" s="15" t="str">
        <f t="shared" ca="1" si="67"/>
        <v>F</v>
      </c>
      <c r="M59" s="88">
        <f t="shared" ca="1" si="67"/>
        <v>0</v>
      </c>
      <c r="N59" s="88">
        <f t="shared" ca="1" si="67"/>
        <v>0</v>
      </c>
      <c r="O59" s="432">
        <v>1000000000000000</v>
      </c>
      <c r="P59" s="69">
        <v>109575</v>
      </c>
      <c r="Q59" s="3">
        <f t="shared" si="51"/>
        <v>64597</v>
      </c>
      <c r="R59" s="107">
        <f t="shared" ca="1" si="41"/>
        <v>18.380000000000003</v>
      </c>
      <c r="S59" s="105">
        <f t="shared" ca="1" si="42"/>
        <v>25893685.458928723</v>
      </c>
      <c r="T59" s="341">
        <v>0</v>
      </c>
      <c r="U59" s="341">
        <v>0.11849999999999999</v>
      </c>
      <c r="V59" s="341">
        <v>0.11849999999999999</v>
      </c>
      <c r="W59" s="341">
        <v>0.11849999999999999</v>
      </c>
      <c r="X59" s="281">
        <f t="shared" si="8"/>
        <v>0.02</v>
      </c>
      <c r="Y59" s="282">
        <f t="shared" si="37"/>
        <v>0.1</v>
      </c>
      <c r="AA59" s="391">
        <f t="shared" ca="1" si="28"/>
        <v>0</v>
      </c>
      <c r="AB59" s="400">
        <f t="shared" ca="1" si="9"/>
        <v>0</v>
      </c>
      <c r="AC59" s="258">
        <f t="shared" ca="1" si="52"/>
        <v>0</v>
      </c>
      <c r="AD59" s="258">
        <f t="shared" ca="1" si="53"/>
        <v>0</v>
      </c>
      <c r="AE59" s="402">
        <f t="shared" ca="1" si="54"/>
        <v>0</v>
      </c>
      <c r="AF59" s="402">
        <f t="shared" ca="1" si="55"/>
        <v>0</v>
      </c>
      <c r="AG59" s="404">
        <f t="shared" ca="1" si="29"/>
        <v>0</v>
      </c>
      <c r="AH59" s="415">
        <f t="shared" ca="1" si="30"/>
        <v>0</v>
      </c>
      <c r="AI59" s="415">
        <f t="shared" ca="1" si="38"/>
        <v>0</v>
      </c>
      <c r="AJ59" s="416">
        <f t="shared" ca="1" si="31"/>
        <v>0</v>
      </c>
      <c r="AK59" s="416">
        <f t="shared" ca="1" si="32"/>
        <v>0</v>
      </c>
      <c r="AL59" s="416">
        <v>0</v>
      </c>
      <c r="AM59" s="269">
        <f t="shared" ca="1" si="40"/>
        <v>0</v>
      </c>
      <c r="AN59" s="422">
        <f t="shared" ca="1" si="56"/>
        <v>18.66</v>
      </c>
      <c r="AO59" s="423">
        <f t="shared" ca="1" si="57"/>
        <v>26311205.816876858</v>
      </c>
      <c r="AP59" s="271">
        <f t="shared" ca="1" si="58"/>
        <v>0</v>
      </c>
      <c r="AQ59" s="271">
        <f t="shared" ca="1" si="59"/>
        <v>0</v>
      </c>
      <c r="AR59" s="271">
        <f t="shared" ca="1" si="60"/>
        <v>0</v>
      </c>
      <c r="AS59" s="271">
        <f t="shared" ca="1" si="61"/>
        <v>0</v>
      </c>
      <c r="AT59" s="271">
        <f t="shared" ca="1" si="62"/>
        <v>0.02</v>
      </c>
      <c r="AU59" s="278">
        <f t="shared" ca="1" si="63"/>
        <v>0.1</v>
      </c>
    </row>
    <row r="60" spans="2:47" ht="13.15" thickBot="1" x14ac:dyDescent="0.4">
      <c r="B60" s="18">
        <f t="shared" si="43"/>
        <v>41</v>
      </c>
      <c r="C60" s="85">
        <f t="shared" ca="1" si="44"/>
        <v>0</v>
      </c>
      <c r="D60" s="85">
        <f t="shared" ca="1" si="45"/>
        <v>0</v>
      </c>
      <c r="E60" s="84">
        <f t="shared" ca="1" si="46"/>
        <v>0</v>
      </c>
      <c r="F60" s="135">
        <f t="shared" ca="1" si="47"/>
        <v>0</v>
      </c>
      <c r="G60" s="409">
        <f t="shared" ca="1" si="65"/>
        <v>0</v>
      </c>
      <c r="H60" s="409">
        <f t="shared" ca="1" si="66"/>
        <v>0</v>
      </c>
      <c r="I60" s="275">
        <f t="shared" ca="1" si="48"/>
        <v>0</v>
      </c>
      <c r="J60" s="275">
        <f t="shared" ca="1" si="49"/>
        <v>0</v>
      </c>
      <c r="K60" s="137">
        <f t="shared" ca="1" si="50"/>
        <v>0</v>
      </c>
      <c r="L60" s="15" t="str">
        <f t="shared" ca="1" si="67"/>
        <v>F</v>
      </c>
      <c r="M60" s="88">
        <f t="shared" ca="1" si="67"/>
        <v>0</v>
      </c>
      <c r="N60" s="88">
        <f t="shared" ca="1" si="67"/>
        <v>0</v>
      </c>
      <c r="O60" s="432">
        <v>1000000000000000</v>
      </c>
      <c r="P60" s="69">
        <v>109575</v>
      </c>
      <c r="Q60" s="3">
        <f t="shared" si="51"/>
        <v>64597</v>
      </c>
      <c r="R60" s="107">
        <f t="shared" ca="1" si="41"/>
        <v>18.380000000000003</v>
      </c>
      <c r="S60" s="105">
        <f t="shared" ca="1" si="42"/>
        <v>25893685.458928723</v>
      </c>
      <c r="T60" s="341">
        <v>0</v>
      </c>
      <c r="U60" s="341">
        <v>0.11849999999999999</v>
      </c>
      <c r="V60" s="341">
        <v>0.11849999999999999</v>
      </c>
      <c r="W60" s="341">
        <v>0.11849999999999999</v>
      </c>
      <c r="X60" s="281">
        <f t="shared" si="8"/>
        <v>0.02</v>
      </c>
      <c r="Y60" s="282">
        <f t="shared" si="37"/>
        <v>0.1</v>
      </c>
      <c r="AA60" s="391">
        <f t="shared" ca="1" si="28"/>
        <v>0</v>
      </c>
      <c r="AB60" s="400">
        <f t="shared" ca="1" si="9"/>
        <v>0</v>
      </c>
      <c r="AC60" s="258">
        <f t="shared" ca="1" si="52"/>
        <v>0</v>
      </c>
      <c r="AD60" s="258">
        <f t="shared" ca="1" si="53"/>
        <v>0</v>
      </c>
      <c r="AE60" s="402">
        <f t="shared" ca="1" si="54"/>
        <v>0</v>
      </c>
      <c r="AF60" s="402">
        <f t="shared" ca="1" si="55"/>
        <v>0</v>
      </c>
      <c r="AG60" s="404">
        <f t="shared" ca="1" si="29"/>
        <v>0</v>
      </c>
      <c r="AH60" s="415">
        <f t="shared" ca="1" si="30"/>
        <v>0</v>
      </c>
      <c r="AI60" s="415">
        <f t="shared" ca="1" si="38"/>
        <v>0</v>
      </c>
      <c r="AJ60" s="416">
        <f t="shared" ca="1" si="31"/>
        <v>0</v>
      </c>
      <c r="AK60" s="416">
        <f t="shared" ca="1" si="32"/>
        <v>0</v>
      </c>
      <c r="AL60" s="416">
        <v>0</v>
      </c>
      <c r="AM60" s="269">
        <f t="shared" ca="1" si="40"/>
        <v>0</v>
      </c>
      <c r="AN60" s="422">
        <f t="shared" ca="1" si="56"/>
        <v>18.66</v>
      </c>
      <c r="AO60" s="423">
        <f t="shared" ca="1" si="57"/>
        <v>26311205.816876858</v>
      </c>
      <c r="AP60" s="271">
        <f t="shared" ca="1" si="58"/>
        <v>0</v>
      </c>
      <c r="AQ60" s="271">
        <f t="shared" ca="1" si="59"/>
        <v>0</v>
      </c>
      <c r="AR60" s="271">
        <f t="shared" ca="1" si="60"/>
        <v>0</v>
      </c>
      <c r="AS60" s="271">
        <f t="shared" ca="1" si="61"/>
        <v>0</v>
      </c>
      <c r="AT60" s="271">
        <f t="shared" ca="1" si="62"/>
        <v>0.02</v>
      </c>
      <c r="AU60" s="278">
        <f t="shared" ca="1" si="63"/>
        <v>0.1</v>
      </c>
    </row>
    <row r="61" spans="2:47" ht="13.15" thickBot="1" x14ac:dyDescent="0.4">
      <c r="B61" s="18">
        <f t="shared" si="43"/>
        <v>42</v>
      </c>
      <c r="C61" s="85">
        <f t="shared" ca="1" si="44"/>
        <v>0</v>
      </c>
      <c r="D61" s="85">
        <f t="shared" ca="1" si="45"/>
        <v>0</v>
      </c>
      <c r="E61" s="84">
        <f t="shared" ca="1" si="46"/>
        <v>0</v>
      </c>
      <c r="F61" s="135">
        <f t="shared" ca="1" si="47"/>
        <v>0</v>
      </c>
      <c r="G61" s="409">
        <f t="shared" ca="1" si="65"/>
        <v>0</v>
      </c>
      <c r="H61" s="409">
        <f t="shared" ca="1" si="66"/>
        <v>0</v>
      </c>
      <c r="I61" s="275">
        <f t="shared" ca="1" si="48"/>
        <v>0</v>
      </c>
      <c r="J61" s="275">
        <f t="shared" ca="1" si="49"/>
        <v>0</v>
      </c>
      <c r="K61" s="137">
        <f t="shared" ca="1" si="50"/>
        <v>0</v>
      </c>
      <c r="L61" s="15" t="str">
        <f t="shared" ca="1" si="67"/>
        <v>F</v>
      </c>
      <c r="M61" s="88">
        <f t="shared" ca="1" si="67"/>
        <v>0</v>
      </c>
      <c r="N61" s="88">
        <f t="shared" ca="1" si="67"/>
        <v>0</v>
      </c>
      <c r="O61" s="432">
        <v>1000000000000000</v>
      </c>
      <c r="P61" s="69">
        <v>109575</v>
      </c>
      <c r="Q61" s="3">
        <f t="shared" si="51"/>
        <v>64597</v>
      </c>
      <c r="R61" s="107">
        <f t="shared" ca="1" si="41"/>
        <v>18.380000000000003</v>
      </c>
      <c r="S61" s="105">
        <f t="shared" ca="1" si="42"/>
        <v>25893685.458928723</v>
      </c>
      <c r="T61" s="341">
        <v>0</v>
      </c>
      <c r="U61" s="341">
        <v>0.11849999999999999</v>
      </c>
      <c r="V61" s="341">
        <v>0.11849999999999999</v>
      </c>
      <c r="W61" s="341">
        <v>0.11849999999999999</v>
      </c>
      <c r="X61" s="281">
        <f t="shared" si="8"/>
        <v>0.02</v>
      </c>
      <c r="Y61" s="282">
        <f t="shared" si="37"/>
        <v>0.1</v>
      </c>
      <c r="AA61" s="391">
        <f t="shared" ca="1" si="28"/>
        <v>0</v>
      </c>
      <c r="AB61" s="400">
        <f t="shared" ca="1" si="9"/>
        <v>0</v>
      </c>
      <c r="AC61" s="258">
        <f t="shared" ca="1" si="52"/>
        <v>0</v>
      </c>
      <c r="AD61" s="258">
        <f t="shared" ca="1" si="53"/>
        <v>0</v>
      </c>
      <c r="AE61" s="402">
        <f t="shared" ca="1" si="54"/>
        <v>0</v>
      </c>
      <c r="AF61" s="402">
        <f t="shared" ca="1" si="55"/>
        <v>0</v>
      </c>
      <c r="AG61" s="404">
        <f t="shared" ca="1" si="29"/>
        <v>0</v>
      </c>
      <c r="AH61" s="415">
        <f t="shared" ca="1" si="30"/>
        <v>0</v>
      </c>
      <c r="AI61" s="415">
        <f t="shared" ca="1" si="38"/>
        <v>0</v>
      </c>
      <c r="AJ61" s="416">
        <f t="shared" ca="1" si="31"/>
        <v>0</v>
      </c>
      <c r="AK61" s="416">
        <f t="shared" ca="1" si="32"/>
        <v>0</v>
      </c>
      <c r="AL61" s="416">
        <v>0</v>
      </c>
      <c r="AM61" s="269">
        <f t="shared" ca="1" si="40"/>
        <v>0</v>
      </c>
      <c r="AN61" s="422">
        <f t="shared" ca="1" si="56"/>
        <v>18.66</v>
      </c>
      <c r="AO61" s="423">
        <f t="shared" ca="1" si="57"/>
        <v>26311205.816876858</v>
      </c>
      <c r="AP61" s="271">
        <f t="shared" ca="1" si="58"/>
        <v>0</v>
      </c>
      <c r="AQ61" s="271">
        <f t="shared" ca="1" si="59"/>
        <v>0</v>
      </c>
      <c r="AR61" s="271">
        <f t="shared" ca="1" si="60"/>
        <v>0</v>
      </c>
      <c r="AS61" s="271">
        <f t="shared" ca="1" si="61"/>
        <v>0</v>
      </c>
      <c r="AT61" s="271">
        <f t="shared" ca="1" si="62"/>
        <v>0.02</v>
      </c>
      <c r="AU61" s="278">
        <f t="shared" ca="1" si="63"/>
        <v>0.1</v>
      </c>
    </row>
    <row r="62" spans="2:47" ht="13.15" thickBot="1" x14ac:dyDescent="0.4">
      <c r="B62" s="18">
        <f t="shared" si="43"/>
        <v>43</v>
      </c>
      <c r="C62" s="85">
        <f t="shared" ca="1" si="44"/>
        <v>0</v>
      </c>
      <c r="D62" s="85">
        <f t="shared" ca="1" si="45"/>
        <v>0</v>
      </c>
      <c r="E62" s="84">
        <f t="shared" ca="1" si="46"/>
        <v>0</v>
      </c>
      <c r="F62" s="135">
        <f t="shared" ca="1" si="47"/>
        <v>0</v>
      </c>
      <c r="G62" s="409">
        <f t="shared" ca="1" si="65"/>
        <v>0</v>
      </c>
      <c r="H62" s="409">
        <f t="shared" ca="1" si="66"/>
        <v>0</v>
      </c>
      <c r="I62" s="275">
        <f t="shared" ca="1" si="48"/>
        <v>0</v>
      </c>
      <c r="J62" s="275">
        <f t="shared" ca="1" si="49"/>
        <v>0</v>
      </c>
      <c r="K62" s="137">
        <f t="shared" ca="1" si="50"/>
        <v>0</v>
      </c>
      <c r="L62" s="15" t="str">
        <f t="shared" ca="1" si="67"/>
        <v>F</v>
      </c>
      <c r="M62" s="88">
        <f t="shared" ca="1" si="67"/>
        <v>0</v>
      </c>
      <c r="N62" s="88">
        <f t="shared" ca="1" si="67"/>
        <v>0</v>
      </c>
      <c r="O62" s="432">
        <v>1000000000000000</v>
      </c>
      <c r="P62" s="69">
        <v>109575</v>
      </c>
      <c r="Q62" s="3">
        <f t="shared" si="51"/>
        <v>64597</v>
      </c>
      <c r="R62" s="107">
        <f t="shared" ca="1" si="41"/>
        <v>18.380000000000003</v>
      </c>
      <c r="S62" s="105">
        <f t="shared" ca="1" si="42"/>
        <v>25893685.458928723</v>
      </c>
      <c r="T62" s="341">
        <v>0</v>
      </c>
      <c r="U62" s="341">
        <v>0.11849999999999999</v>
      </c>
      <c r="V62" s="341">
        <v>0.11849999999999999</v>
      </c>
      <c r="W62" s="341">
        <v>0.11849999999999999</v>
      </c>
      <c r="X62" s="281">
        <f t="shared" si="8"/>
        <v>0.02</v>
      </c>
      <c r="Y62" s="282">
        <f t="shared" si="37"/>
        <v>0.1</v>
      </c>
      <c r="AA62" s="391">
        <f t="shared" ca="1" si="28"/>
        <v>0</v>
      </c>
      <c r="AB62" s="400">
        <f t="shared" ca="1" si="9"/>
        <v>0</v>
      </c>
      <c r="AC62" s="258">
        <f t="shared" ca="1" si="52"/>
        <v>0</v>
      </c>
      <c r="AD62" s="258">
        <f t="shared" ca="1" si="53"/>
        <v>0</v>
      </c>
      <c r="AE62" s="402">
        <f t="shared" ca="1" si="54"/>
        <v>0</v>
      </c>
      <c r="AF62" s="402">
        <f t="shared" ca="1" si="55"/>
        <v>0</v>
      </c>
      <c r="AG62" s="404">
        <f t="shared" ca="1" si="29"/>
        <v>0</v>
      </c>
      <c r="AH62" s="415">
        <f t="shared" ca="1" si="30"/>
        <v>0</v>
      </c>
      <c r="AI62" s="415">
        <f t="shared" ca="1" si="38"/>
        <v>0</v>
      </c>
      <c r="AJ62" s="416">
        <f t="shared" ca="1" si="31"/>
        <v>0</v>
      </c>
      <c r="AK62" s="416">
        <f t="shared" ca="1" si="32"/>
        <v>0</v>
      </c>
      <c r="AL62" s="416">
        <v>0</v>
      </c>
      <c r="AM62" s="269">
        <f t="shared" ca="1" si="40"/>
        <v>0</v>
      </c>
      <c r="AN62" s="422">
        <f t="shared" ca="1" si="56"/>
        <v>18.66</v>
      </c>
      <c r="AO62" s="423">
        <f t="shared" ca="1" si="57"/>
        <v>26311205.816876858</v>
      </c>
      <c r="AP62" s="271">
        <f t="shared" ca="1" si="58"/>
        <v>0</v>
      </c>
      <c r="AQ62" s="271">
        <f t="shared" ca="1" si="59"/>
        <v>0</v>
      </c>
      <c r="AR62" s="271">
        <f t="shared" ca="1" si="60"/>
        <v>0</v>
      </c>
      <c r="AS62" s="271">
        <f t="shared" ca="1" si="61"/>
        <v>0</v>
      </c>
      <c r="AT62" s="271">
        <f t="shared" ca="1" si="62"/>
        <v>0.02</v>
      </c>
      <c r="AU62" s="278">
        <f t="shared" ca="1" si="63"/>
        <v>0.1</v>
      </c>
    </row>
    <row r="63" spans="2:47" ht="13.15" thickBot="1" x14ac:dyDescent="0.4">
      <c r="B63" s="18">
        <f t="shared" si="43"/>
        <v>44</v>
      </c>
      <c r="C63" s="85">
        <f t="shared" ca="1" si="44"/>
        <v>0</v>
      </c>
      <c r="D63" s="85">
        <f t="shared" ca="1" si="45"/>
        <v>0</v>
      </c>
      <c r="E63" s="84">
        <f t="shared" ca="1" si="46"/>
        <v>0</v>
      </c>
      <c r="F63" s="135">
        <f t="shared" ca="1" si="47"/>
        <v>0</v>
      </c>
      <c r="G63" s="409">
        <f t="shared" ca="1" si="65"/>
        <v>0</v>
      </c>
      <c r="H63" s="409">
        <f t="shared" ca="1" si="66"/>
        <v>0</v>
      </c>
      <c r="I63" s="275">
        <f t="shared" ca="1" si="48"/>
        <v>0</v>
      </c>
      <c r="J63" s="275">
        <f t="shared" ca="1" si="49"/>
        <v>0</v>
      </c>
      <c r="K63" s="137">
        <f t="shared" ca="1" si="50"/>
        <v>0</v>
      </c>
      <c r="L63" s="15" t="str">
        <f t="shared" ca="1" si="67"/>
        <v>F</v>
      </c>
      <c r="M63" s="88">
        <f t="shared" ca="1" si="67"/>
        <v>0</v>
      </c>
      <c r="N63" s="88">
        <f t="shared" ca="1" si="67"/>
        <v>0</v>
      </c>
      <c r="O63" s="432">
        <v>1000000000000000</v>
      </c>
      <c r="P63" s="69">
        <v>109575</v>
      </c>
      <c r="Q63" s="3">
        <f t="shared" si="51"/>
        <v>64597</v>
      </c>
      <c r="R63" s="107">
        <f t="shared" ca="1" si="41"/>
        <v>18.380000000000003</v>
      </c>
      <c r="S63" s="105">
        <f t="shared" ca="1" si="42"/>
        <v>25893685.458928723</v>
      </c>
      <c r="T63" s="341">
        <v>0</v>
      </c>
      <c r="U63" s="341">
        <v>0.11849999999999999</v>
      </c>
      <c r="V63" s="341">
        <v>0.11849999999999999</v>
      </c>
      <c r="W63" s="341">
        <v>0.11849999999999999</v>
      </c>
      <c r="X63" s="281">
        <f t="shared" si="8"/>
        <v>0.02</v>
      </c>
      <c r="Y63" s="282">
        <f t="shared" si="37"/>
        <v>0.1</v>
      </c>
      <c r="AA63" s="391">
        <f t="shared" ca="1" si="28"/>
        <v>0</v>
      </c>
      <c r="AB63" s="400">
        <f t="shared" ca="1" si="9"/>
        <v>0</v>
      </c>
      <c r="AC63" s="258">
        <f t="shared" ca="1" si="52"/>
        <v>0</v>
      </c>
      <c r="AD63" s="258">
        <f t="shared" ca="1" si="53"/>
        <v>0</v>
      </c>
      <c r="AE63" s="402">
        <f t="shared" ca="1" si="54"/>
        <v>0</v>
      </c>
      <c r="AF63" s="402">
        <f t="shared" ca="1" si="55"/>
        <v>0</v>
      </c>
      <c r="AG63" s="404">
        <f t="shared" ca="1" si="29"/>
        <v>0</v>
      </c>
      <c r="AH63" s="415">
        <f t="shared" ca="1" si="30"/>
        <v>0</v>
      </c>
      <c r="AI63" s="415">
        <f t="shared" ca="1" si="38"/>
        <v>0</v>
      </c>
      <c r="AJ63" s="416">
        <f t="shared" ca="1" si="31"/>
        <v>0</v>
      </c>
      <c r="AK63" s="416">
        <f t="shared" ca="1" si="32"/>
        <v>0</v>
      </c>
      <c r="AL63" s="416">
        <v>0</v>
      </c>
      <c r="AM63" s="269">
        <f t="shared" ca="1" si="40"/>
        <v>0</v>
      </c>
      <c r="AN63" s="422">
        <f t="shared" ca="1" si="56"/>
        <v>18.66</v>
      </c>
      <c r="AO63" s="423">
        <f t="shared" ca="1" si="57"/>
        <v>26311205.816876858</v>
      </c>
      <c r="AP63" s="271">
        <f t="shared" ca="1" si="58"/>
        <v>0</v>
      </c>
      <c r="AQ63" s="271">
        <f t="shared" ca="1" si="59"/>
        <v>0</v>
      </c>
      <c r="AR63" s="271">
        <f t="shared" ca="1" si="60"/>
        <v>0</v>
      </c>
      <c r="AS63" s="271">
        <f t="shared" ca="1" si="61"/>
        <v>0</v>
      </c>
      <c r="AT63" s="271">
        <f t="shared" ca="1" si="62"/>
        <v>0.02</v>
      </c>
      <c r="AU63" s="278">
        <f t="shared" ca="1" si="63"/>
        <v>0.1</v>
      </c>
    </row>
    <row r="64" spans="2:47" ht="13.15" thickBot="1" x14ac:dyDescent="0.4">
      <c r="B64" s="18">
        <f t="shared" si="43"/>
        <v>45</v>
      </c>
      <c r="C64" s="85">
        <f t="shared" ca="1" si="44"/>
        <v>0</v>
      </c>
      <c r="D64" s="85">
        <f t="shared" ca="1" si="45"/>
        <v>0</v>
      </c>
      <c r="E64" s="84">
        <f t="shared" ca="1" si="46"/>
        <v>0</v>
      </c>
      <c r="F64" s="135">
        <f t="shared" ca="1" si="47"/>
        <v>0</v>
      </c>
      <c r="G64" s="409">
        <f t="shared" ca="1" si="65"/>
        <v>0</v>
      </c>
      <c r="H64" s="409">
        <f t="shared" ca="1" si="66"/>
        <v>0</v>
      </c>
      <c r="I64" s="275">
        <f t="shared" ca="1" si="48"/>
        <v>0</v>
      </c>
      <c r="J64" s="275">
        <f t="shared" ca="1" si="49"/>
        <v>0</v>
      </c>
      <c r="K64" s="137">
        <f t="shared" ca="1" si="50"/>
        <v>0</v>
      </c>
      <c r="L64" s="15" t="str">
        <f t="shared" ca="1" si="67"/>
        <v>F</v>
      </c>
      <c r="M64" s="88">
        <f t="shared" ca="1" si="67"/>
        <v>0</v>
      </c>
      <c r="N64" s="88">
        <f t="shared" ca="1" si="67"/>
        <v>0</v>
      </c>
      <c r="O64" s="432">
        <v>1000000000000000</v>
      </c>
      <c r="P64" s="69">
        <v>109575</v>
      </c>
      <c r="Q64" s="3">
        <f t="shared" si="51"/>
        <v>64597</v>
      </c>
      <c r="R64" s="107">
        <f t="shared" ca="1" si="41"/>
        <v>18.380000000000003</v>
      </c>
      <c r="S64" s="105">
        <f t="shared" ca="1" si="42"/>
        <v>25893685.458928723</v>
      </c>
      <c r="T64" s="341">
        <v>0</v>
      </c>
      <c r="U64" s="341">
        <v>0.11849999999999999</v>
      </c>
      <c r="V64" s="341">
        <v>0.11849999999999999</v>
      </c>
      <c r="W64" s="341">
        <v>0.11849999999999999</v>
      </c>
      <c r="X64" s="281">
        <f t="shared" si="8"/>
        <v>0.02</v>
      </c>
      <c r="Y64" s="282">
        <f t="shared" si="37"/>
        <v>0.1</v>
      </c>
      <c r="AA64" s="391">
        <f t="shared" ca="1" si="28"/>
        <v>0</v>
      </c>
      <c r="AB64" s="400">
        <f t="shared" ca="1" si="9"/>
        <v>0</v>
      </c>
      <c r="AC64" s="258">
        <f t="shared" ca="1" si="52"/>
        <v>0</v>
      </c>
      <c r="AD64" s="258">
        <f t="shared" ca="1" si="53"/>
        <v>0</v>
      </c>
      <c r="AE64" s="402">
        <f t="shared" ca="1" si="54"/>
        <v>0</v>
      </c>
      <c r="AF64" s="402">
        <f t="shared" ca="1" si="55"/>
        <v>0</v>
      </c>
      <c r="AG64" s="404">
        <f t="shared" ca="1" si="29"/>
        <v>0</v>
      </c>
      <c r="AH64" s="415">
        <f t="shared" ca="1" si="30"/>
        <v>0</v>
      </c>
      <c r="AI64" s="415">
        <f t="shared" ca="1" si="38"/>
        <v>0</v>
      </c>
      <c r="AJ64" s="416">
        <f t="shared" ca="1" si="31"/>
        <v>0</v>
      </c>
      <c r="AK64" s="416">
        <f t="shared" ca="1" si="32"/>
        <v>0</v>
      </c>
      <c r="AL64" s="416">
        <v>0</v>
      </c>
      <c r="AM64" s="269">
        <f t="shared" ca="1" si="40"/>
        <v>0</v>
      </c>
      <c r="AN64" s="422">
        <f t="shared" ca="1" si="56"/>
        <v>18.66</v>
      </c>
      <c r="AO64" s="423">
        <f t="shared" ca="1" si="57"/>
        <v>26311205.816876858</v>
      </c>
      <c r="AP64" s="271">
        <f t="shared" ca="1" si="58"/>
        <v>0</v>
      </c>
      <c r="AQ64" s="271">
        <f t="shared" ca="1" si="59"/>
        <v>0</v>
      </c>
      <c r="AR64" s="271">
        <f t="shared" ca="1" si="60"/>
        <v>0</v>
      </c>
      <c r="AS64" s="271">
        <f t="shared" ca="1" si="61"/>
        <v>0</v>
      </c>
      <c r="AT64" s="271">
        <f t="shared" ca="1" si="62"/>
        <v>0.02</v>
      </c>
      <c r="AU64" s="278">
        <f t="shared" ca="1" si="63"/>
        <v>0.1</v>
      </c>
    </row>
    <row r="65" spans="2:47" ht="13.15" thickBot="1" x14ac:dyDescent="0.4">
      <c r="B65" s="18">
        <f t="shared" si="43"/>
        <v>46</v>
      </c>
      <c r="C65" s="85">
        <f t="shared" ca="1" si="44"/>
        <v>0</v>
      </c>
      <c r="D65" s="85">
        <f t="shared" ca="1" si="45"/>
        <v>0</v>
      </c>
      <c r="E65" s="84">
        <f t="shared" ca="1" si="46"/>
        <v>0</v>
      </c>
      <c r="F65" s="135">
        <f t="shared" ca="1" si="47"/>
        <v>0</v>
      </c>
      <c r="G65" s="409">
        <f t="shared" ca="1" si="65"/>
        <v>0</v>
      </c>
      <c r="H65" s="409">
        <f t="shared" ca="1" si="66"/>
        <v>0</v>
      </c>
      <c r="I65" s="275">
        <f t="shared" ca="1" si="48"/>
        <v>0</v>
      </c>
      <c r="J65" s="275">
        <f t="shared" ca="1" si="49"/>
        <v>0</v>
      </c>
      <c r="K65" s="137">
        <f t="shared" ca="1" si="50"/>
        <v>0</v>
      </c>
      <c r="L65" s="15" t="str">
        <f t="shared" ca="1" si="67"/>
        <v>F</v>
      </c>
      <c r="M65" s="88">
        <f t="shared" ca="1" si="67"/>
        <v>0</v>
      </c>
      <c r="N65" s="88">
        <f t="shared" ca="1" si="67"/>
        <v>0</v>
      </c>
      <c r="O65" s="432">
        <v>1000000000000000</v>
      </c>
      <c r="P65" s="69">
        <v>109575</v>
      </c>
      <c r="Q65" s="3">
        <f t="shared" si="51"/>
        <v>64597</v>
      </c>
      <c r="R65" s="107">
        <f t="shared" ca="1" si="41"/>
        <v>18.380000000000003</v>
      </c>
      <c r="S65" s="105">
        <f t="shared" ca="1" si="42"/>
        <v>25893685.458928723</v>
      </c>
      <c r="T65" s="341">
        <v>0</v>
      </c>
      <c r="U65" s="341">
        <v>0.11849999999999999</v>
      </c>
      <c r="V65" s="341">
        <v>0.11849999999999999</v>
      </c>
      <c r="W65" s="341">
        <v>0.11849999999999999</v>
      </c>
      <c r="X65" s="281">
        <f t="shared" si="8"/>
        <v>0.02</v>
      </c>
      <c r="Y65" s="282">
        <f t="shared" si="37"/>
        <v>0.1</v>
      </c>
      <c r="AA65" s="391">
        <f t="shared" ca="1" si="28"/>
        <v>0</v>
      </c>
      <c r="AB65" s="400">
        <f t="shared" ca="1" si="9"/>
        <v>0</v>
      </c>
      <c r="AC65" s="258">
        <f t="shared" ca="1" si="52"/>
        <v>0</v>
      </c>
      <c r="AD65" s="258">
        <f t="shared" ca="1" si="53"/>
        <v>0</v>
      </c>
      <c r="AE65" s="402">
        <f t="shared" ca="1" si="54"/>
        <v>0</v>
      </c>
      <c r="AF65" s="402">
        <f t="shared" ca="1" si="55"/>
        <v>0</v>
      </c>
      <c r="AG65" s="404">
        <f t="shared" ca="1" si="29"/>
        <v>0</v>
      </c>
      <c r="AH65" s="415">
        <f t="shared" ca="1" si="30"/>
        <v>0</v>
      </c>
      <c r="AI65" s="415">
        <f t="shared" ca="1" si="38"/>
        <v>0</v>
      </c>
      <c r="AJ65" s="416">
        <f t="shared" ca="1" si="31"/>
        <v>0</v>
      </c>
      <c r="AK65" s="416">
        <f t="shared" ca="1" si="32"/>
        <v>0</v>
      </c>
      <c r="AL65" s="416">
        <v>0</v>
      </c>
      <c r="AM65" s="269">
        <f t="shared" ca="1" si="40"/>
        <v>0</v>
      </c>
      <c r="AN65" s="422">
        <f t="shared" ca="1" si="56"/>
        <v>18.66</v>
      </c>
      <c r="AO65" s="423">
        <f t="shared" ca="1" si="57"/>
        <v>26311205.816876858</v>
      </c>
      <c r="AP65" s="271">
        <f t="shared" ca="1" si="58"/>
        <v>0</v>
      </c>
      <c r="AQ65" s="271">
        <f t="shared" ca="1" si="59"/>
        <v>0</v>
      </c>
      <c r="AR65" s="271">
        <f t="shared" ca="1" si="60"/>
        <v>0</v>
      </c>
      <c r="AS65" s="271">
        <f t="shared" ca="1" si="61"/>
        <v>0</v>
      </c>
      <c r="AT65" s="271">
        <f t="shared" ca="1" si="62"/>
        <v>0.02</v>
      </c>
      <c r="AU65" s="278">
        <f t="shared" ca="1" si="63"/>
        <v>0.1</v>
      </c>
    </row>
    <row r="66" spans="2:47" ht="13.15" thickBot="1" x14ac:dyDescent="0.4">
      <c r="B66" s="18">
        <f t="shared" si="43"/>
        <v>47</v>
      </c>
      <c r="C66" s="85">
        <f t="shared" ca="1" si="44"/>
        <v>0</v>
      </c>
      <c r="D66" s="85">
        <f t="shared" ca="1" si="45"/>
        <v>0</v>
      </c>
      <c r="E66" s="84">
        <f t="shared" ca="1" si="46"/>
        <v>0</v>
      </c>
      <c r="F66" s="135">
        <f t="shared" ca="1" si="47"/>
        <v>0</v>
      </c>
      <c r="G66" s="409">
        <f t="shared" ca="1" si="65"/>
        <v>0</v>
      </c>
      <c r="H66" s="409">
        <f t="shared" ca="1" si="66"/>
        <v>0</v>
      </c>
      <c r="I66" s="275">
        <f t="shared" ca="1" si="48"/>
        <v>0</v>
      </c>
      <c r="J66" s="275">
        <f t="shared" ca="1" si="49"/>
        <v>0</v>
      </c>
      <c r="K66" s="137">
        <f t="shared" ca="1" si="50"/>
        <v>0</v>
      </c>
      <c r="L66" s="15" t="str">
        <f t="shared" ca="1" si="67"/>
        <v>F</v>
      </c>
      <c r="M66" s="88">
        <f t="shared" ca="1" si="67"/>
        <v>0</v>
      </c>
      <c r="N66" s="88">
        <f t="shared" ca="1" si="67"/>
        <v>0</v>
      </c>
      <c r="O66" s="432">
        <v>1000000000000000</v>
      </c>
      <c r="P66" s="69">
        <v>109575</v>
      </c>
      <c r="Q66" s="3">
        <f t="shared" si="51"/>
        <v>64597</v>
      </c>
      <c r="R66" s="107">
        <f t="shared" ca="1" si="41"/>
        <v>18.380000000000003</v>
      </c>
      <c r="S66" s="105">
        <f t="shared" ca="1" si="42"/>
        <v>25893685.458928723</v>
      </c>
      <c r="T66" s="341">
        <v>0</v>
      </c>
      <c r="U66" s="341">
        <v>0.11849999999999999</v>
      </c>
      <c r="V66" s="341">
        <v>0.11849999999999999</v>
      </c>
      <c r="W66" s="341">
        <v>0.11849999999999999</v>
      </c>
      <c r="X66" s="281">
        <f t="shared" si="8"/>
        <v>0.02</v>
      </c>
      <c r="Y66" s="282">
        <f t="shared" si="37"/>
        <v>0.1</v>
      </c>
      <c r="AA66" s="391">
        <f t="shared" ca="1" si="28"/>
        <v>0</v>
      </c>
      <c r="AB66" s="400">
        <f t="shared" ca="1" si="9"/>
        <v>0</v>
      </c>
      <c r="AC66" s="258">
        <f t="shared" ca="1" si="52"/>
        <v>0</v>
      </c>
      <c r="AD66" s="258">
        <f t="shared" ca="1" si="53"/>
        <v>0</v>
      </c>
      <c r="AE66" s="402">
        <f t="shared" ca="1" si="54"/>
        <v>0</v>
      </c>
      <c r="AF66" s="402">
        <f t="shared" ca="1" si="55"/>
        <v>0</v>
      </c>
      <c r="AG66" s="404">
        <f t="shared" ca="1" si="29"/>
        <v>0</v>
      </c>
      <c r="AH66" s="415">
        <f t="shared" ca="1" si="30"/>
        <v>0</v>
      </c>
      <c r="AI66" s="415">
        <f t="shared" ca="1" si="38"/>
        <v>0</v>
      </c>
      <c r="AJ66" s="416">
        <f t="shared" ca="1" si="31"/>
        <v>0</v>
      </c>
      <c r="AK66" s="416">
        <f t="shared" ca="1" si="32"/>
        <v>0</v>
      </c>
      <c r="AL66" s="416">
        <v>0</v>
      </c>
      <c r="AM66" s="269">
        <f t="shared" ca="1" si="40"/>
        <v>0</v>
      </c>
      <c r="AN66" s="422">
        <f t="shared" ca="1" si="56"/>
        <v>18.66</v>
      </c>
      <c r="AO66" s="423">
        <f t="shared" ca="1" si="57"/>
        <v>26311205.816876858</v>
      </c>
      <c r="AP66" s="271">
        <f t="shared" ca="1" si="58"/>
        <v>0</v>
      </c>
      <c r="AQ66" s="271">
        <f t="shared" ca="1" si="59"/>
        <v>0</v>
      </c>
      <c r="AR66" s="271">
        <f t="shared" ca="1" si="60"/>
        <v>0</v>
      </c>
      <c r="AS66" s="271">
        <f t="shared" ca="1" si="61"/>
        <v>0</v>
      </c>
      <c r="AT66" s="271">
        <f t="shared" ca="1" si="62"/>
        <v>0.02</v>
      </c>
      <c r="AU66" s="278">
        <f t="shared" ca="1" si="63"/>
        <v>0.1</v>
      </c>
    </row>
    <row r="67" spans="2:47" ht="13.15" thickBot="1" x14ac:dyDescent="0.4">
      <c r="B67" s="18">
        <f t="shared" si="43"/>
        <v>48</v>
      </c>
      <c r="C67" s="85">
        <f t="shared" ref="C67:C110" ca="1" si="68">AM67</f>
        <v>0</v>
      </c>
      <c r="D67" s="85">
        <f t="shared" ref="D67:D110" ca="1" si="69">E67-AA67</f>
        <v>0</v>
      </c>
      <c r="E67" s="84">
        <f t="shared" ref="E67:E110" ca="1" si="70">N67*BSPrice(L67,1/S67,1/O67,Q67,X67,Y67,T67)*1000000</f>
        <v>0</v>
      </c>
      <c r="F67" s="135">
        <f t="shared" ref="F67:F110" ca="1" si="71">N67*BSDelta(L67,1/S67,1/O67,Q67,X67,Y67,T67)</f>
        <v>0</v>
      </c>
      <c r="G67" s="409">
        <f t="shared" ca="1" si="65"/>
        <v>0</v>
      </c>
      <c r="H67" s="409">
        <f t="shared" ca="1" si="66"/>
        <v>0</v>
      </c>
      <c r="I67" s="275">
        <f t="shared" ref="I67:I110" ca="1" si="72">N67*BSDailyRhoUSD(L67,1/S67,1/O67,Q67,X67,Y67,T67)*1000000</f>
        <v>0</v>
      </c>
      <c r="J67" s="275">
        <f t="shared" ref="J67:J110" ca="1" si="73">N67*BSDailyRhoExt(L67,1/S67,1/O67,Q67,X67,Y67,T67)*1000000</f>
        <v>0</v>
      </c>
      <c r="K67" s="137">
        <f t="shared" ref="K67:K110" ca="1" si="74">N67*BSDailyTheta(L67,1/S67,1/O67,Q67,X67,Y67,T67)*1000000</f>
        <v>0</v>
      </c>
      <c r="L67" s="15" t="str">
        <f t="shared" ca="1" si="67"/>
        <v>F</v>
      </c>
      <c r="M67" s="88">
        <f t="shared" ca="1" si="67"/>
        <v>0</v>
      </c>
      <c r="N67" s="88">
        <f t="shared" ca="1" si="67"/>
        <v>0</v>
      </c>
      <c r="O67" s="432">
        <v>1000000000000000</v>
      </c>
      <c r="P67" s="69">
        <v>109575</v>
      </c>
      <c r="Q67" s="3">
        <f t="shared" ref="Q67:Q110" si="75">(P67-$H$2)</f>
        <v>64597</v>
      </c>
      <c r="R67" s="107">
        <f t="shared" ca="1" si="41"/>
        <v>18.380000000000003</v>
      </c>
      <c r="S67" s="105">
        <f t="shared" ca="1" si="42"/>
        <v>25893685.458928723</v>
      </c>
      <c r="T67" s="341">
        <v>0</v>
      </c>
      <c r="U67" s="341">
        <v>0.11849999999999999</v>
      </c>
      <c r="V67" s="341">
        <v>0.11849999999999999</v>
      </c>
      <c r="W67" s="341">
        <v>0.11849999999999999</v>
      </c>
      <c r="X67" s="281">
        <f t="shared" si="8"/>
        <v>0.02</v>
      </c>
      <c r="Y67" s="282">
        <f t="shared" si="37"/>
        <v>0.1</v>
      </c>
      <c r="AA67" s="391">
        <f t="shared" ca="1" si="28"/>
        <v>0</v>
      </c>
      <c r="AB67" s="400">
        <f t="shared" ca="1" si="9"/>
        <v>0</v>
      </c>
      <c r="AC67" s="258">
        <f t="shared" ref="AC67:AC110" ca="1" si="76">INDIRECT("'"&amp; $AB$16 &amp;"'!"&amp; ADDRESS(ROW(G67),COLUMN(G67),4))</f>
        <v>0</v>
      </c>
      <c r="AD67" s="258">
        <f t="shared" ref="AD67:AD110" ca="1" si="77">INDIRECT("'"&amp; $AB$16 &amp;"'!"&amp; ADDRESS(ROW(H67),COLUMN(H67),4))</f>
        <v>0</v>
      </c>
      <c r="AE67" s="402">
        <f t="shared" ref="AE67:AE110" ca="1" si="78">INDIRECT("'"&amp; $AB$16 &amp;"'!"&amp; ADDRESS(ROW(I67),COLUMN(I67),4))</f>
        <v>0</v>
      </c>
      <c r="AF67" s="402">
        <f t="shared" ref="AF67:AF110" ca="1" si="79">INDIRECT("'"&amp; $AB$16 &amp;"'!"&amp; ADDRESS(ROW(J67),COLUMN(J67),4))</f>
        <v>0</v>
      </c>
      <c r="AG67" s="404">
        <f t="shared" ca="1" si="29"/>
        <v>0</v>
      </c>
      <c r="AH67" s="415">
        <f t="shared" ca="1" si="30"/>
        <v>0</v>
      </c>
      <c r="AI67" s="415">
        <f t="shared" ca="1" si="38"/>
        <v>0</v>
      </c>
      <c r="AJ67" s="416">
        <f t="shared" ca="1" si="31"/>
        <v>0</v>
      </c>
      <c r="AK67" s="416">
        <f t="shared" ca="1" si="32"/>
        <v>0</v>
      </c>
      <c r="AL67" s="416">
        <v>0</v>
      </c>
      <c r="AM67" s="269">
        <f t="shared" ca="1" si="40"/>
        <v>0</v>
      </c>
      <c r="AN67" s="422">
        <f t="shared" ref="AN67:AN110" ca="1" si="80">INDIRECT("'"&amp; $AB$16 &amp;"'!"&amp; ADDRESS(ROW(R67),COLUMN(R67),4))</f>
        <v>18.66</v>
      </c>
      <c r="AO67" s="423">
        <f t="shared" ref="AO67:AO110" ca="1" si="81">INDIRECT("'"&amp; $AB$16 &amp;"'!"&amp; ADDRESS(ROW(S67),COLUMN(S67),4))</f>
        <v>26311205.816876858</v>
      </c>
      <c r="AP67" s="271">
        <f t="shared" ref="AP67:AP110" ca="1" si="82">INDIRECT("'"&amp; $AB$16 &amp;"'!"&amp; ADDRESS(ROW(T67),COLUMN(T67),4))</f>
        <v>0</v>
      </c>
      <c r="AQ67" s="271">
        <f t="shared" ref="AQ67:AQ110" ca="1" si="83">INDIRECT("'"&amp; $AB$16 &amp;"'!"&amp; ADDRESS(ROW(U67),COLUMN(U67),4))</f>
        <v>0</v>
      </c>
      <c r="AR67" s="271">
        <f t="shared" ref="AR67:AR110" ca="1" si="84">INDIRECT("'"&amp; $AB$16 &amp;"'!"&amp; ADDRESS(ROW(V67),COLUMN(V67),4))</f>
        <v>0</v>
      </c>
      <c r="AS67" s="271">
        <f t="shared" ref="AS67:AS110" ca="1" si="85">INDIRECT("'"&amp; $AB$16 &amp;"'!"&amp; ADDRESS(ROW(W67),COLUMN(W67),4))</f>
        <v>0</v>
      </c>
      <c r="AT67" s="271">
        <f t="shared" ref="AT67:AT110" ca="1" si="86">INDIRECT("'"&amp; $AB$16 &amp;"'!"&amp; ADDRESS(ROW(X67),COLUMN(X67),4))</f>
        <v>0.02</v>
      </c>
      <c r="AU67" s="278">
        <f t="shared" ref="AU67:AU110" ca="1" si="87">INDIRECT("'"&amp; $AB$16 &amp;"'!"&amp; ADDRESS(ROW(Y67),COLUMN(Y67),4))</f>
        <v>0.1</v>
      </c>
    </row>
    <row r="68" spans="2:47" ht="13.15" thickBot="1" x14ac:dyDescent="0.4">
      <c r="B68" s="18">
        <f t="shared" si="43"/>
        <v>49</v>
      </c>
      <c r="C68" s="85">
        <f t="shared" ca="1" si="68"/>
        <v>0</v>
      </c>
      <c r="D68" s="85">
        <f t="shared" ca="1" si="69"/>
        <v>0</v>
      </c>
      <c r="E68" s="84">
        <f t="shared" ca="1" si="70"/>
        <v>0</v>
      </c>
      <c r="F68" s="135">
        <f t="shared" ca="1" si="71"/>
        <v>0</v>
      </c>
      <c r="G68" s="409">
        <f t="shared" ca="1" si="65"/>
        <v>0</v>
      </c>
      <c r="H68" s="409">
        <f t="shared" ca="1" si="66"/>
        <v>0</v>
      </c>
      <c r="I68" s="275">
        <f t="shared" ca="1" si="72"/>
        <v>0</v>
      </c>
      <c r="J68" s="275">
        <f t="shared" ca="1" si="73"/>
        <v>0</v>
      </c>
      <c r="K68" s="137">
        <f t="shared" ca="1" si="74"/>
        <v>0</v>
      </c>
      <c r="L68" s="15" t="str">
        <f t="shared" ca="1" si="67"/>
        <v>F</v>
      </c>
      <c r="M68" s="88">
        <f t="shared" ca="1" si="67"/>
        <v>0</v>
      </c>
      <c r="N68" s="88">
        <f t="shared" ca="1" si="67"/>
        <v>0</v>
      </c>
      <c r="O68" s="432">
        <v>1000000000000000</v>
      </c>
      <c r="P68" s="69">
        <v>109575</v>
      </c>
      <c r="Q68" s="3">
        <f t="shared" si="75"/>
        <v>64597</v>
      </c>
      <c r="R68" s="107">
        <f t="shared" ca="1" si="41"/>
        <v>18.380000000000003</v>
      </c>
      <c r="S68" s="105">
        <f t="shared" ca="1" si="42"/>
        <v>25893685.458928723</v>
      </c>
      <c r="T68" s="341">
        <v>0</v>
      </c>
      <c r="U68" s="341">
        <v>0.11849999999999999</v>
      </c>
      <c r="V68" s="341">
        <v>0.11849999999999999</v>
      </c>
      <c r="W68" s="341">
        <v>0.11849999999999999</v>
      </c>
      <c r="X68" s="281">
        <f t="shared" si="8"/>
        <v>0.02</v>
      </c>
      <c r="Y68" s="282">
        <f t="shared" si="37"/>
        <v>0.1</v>
      </c>
      <c r="AA68" s="391">
        <f t="shared" ca="1" si="28"/>
        <v>0</v>
      </c>
      <c r="AB68" s="400">
        <f t="shared" ca="1" si="9"/>
        <v>0</v>
      </c>
      <c r="AC68" s="258">
        <f t="shared" ca="1" si="76"/>
        <v>0</v>
      </c>
      <c r="AD68" s="258">
        <f t="shared" ca="1" si="77"/>
        <v>0</v>
      </c>
      <c r="AE68" s="402">
        <f t="shared" ca="1" si="78"/>
        <v>0</v>
      </c>
      <c r="AF68" s="402">
        <f t="shared" ca="1" si="79"/>
        <v>0</v>
      </c>
      <c r="AG68" s="404">
        <f t="shared" ca="1" si="29"/>
        <v>0</v>
      </c>
      <c r="AH68" s="415">
        <f t="shared" ca="1" si="30"/>
        <v>0</v>
      </c>
      <c r="AI68" s="415">
        <f t="shared" ca="1" si="38"/>
        <v>0</v>
      </c>
      <c r="AJ68" s="416">
        <f t="shared" ca="1" si="31"/>
        <v>0</v>
      </c>
      <c r="AK68" s="416">
        <f t="shared" ca="1" si="32"/>
        <v>0</v>
      </c>
      <c r="AL68" s="416">
        <v>0</v>
      </c>
      <c r="AM68" s="269">
        <f t="shared" ca="1" si="40"/>
        <v>0</v>
      </c>
      <c r="AN68" s="422">
        <f t="shared" ca="1" si="80"/>
        <v>18.66</v>
      </c>
      <c r="AO68" s="423">
        <f t="shared" ca="1" si="81"/>
        <v>26311205.816876858</v>
      </c>
      <c r="AP68" s="271">
        <f t="shared" ca="1" si="82"/>
        <v>0</v>
      </c>
      <c r="AQ68" s="271">
        <f t="shared" ca="1" si="83"/>
        <v>0</v>
      </c>
      <c r="AR68" s="271">
        <f t="shared" ca="1" si="84"/>
        <v>0</v>
      </c>
      <c r="AS68" s="271">
        <f t="shared" ca="1" si="85"/>
        <v>0</v>
      </c>
      <c r="AT68" s="271">
        <f t="shared" ca="1" si="86"/>
        <v>0.02</v>
      </c>
      <c r="AU68" s="278">
        <f t="shared" ca="1" si="87"/>
        <v>0.1</v>
      </c>
    </row>
    <row r="69" spans="2:47" ht="13.15" thickBot="1" x14ac:dyDescent="0.4">
      <c r="B69" s="18">
        <f t="shared" si="43"/>
        <v>50</v>
      </c>
      <c r="C69" s="85">
        <f t="shared" ca="1" si="68"/>
        <v>0</v>
      </c>
      <c r="D69" s="85">
        <f t="shared" ca="1" si="69"/>
        <v>0</v>
      </c>
      <c r="E69" s="84">
        <f t="shared" ca="1" si="70"/>
        <v>0</v>
      </c>
      <c r="F69" s="135">
        <f t="shared" ca="1" si="71"/>
        <v>0</v>
      </c>
      <c r="G69" s="409">
        <f t="shared" ca="1" si="65"/>
        <v>0</v>
      </c>
      <c r="H69" s="409">
        <f t="shared" ca="1" si="66"/>
        <v>0</v>
      </c>
      <c r="I69" s="275">
        <f t="shared" ca="1" si="72"/>
        <v>0</v>
      </c>
      <c r="J69" s="275">
        <f t="shared" ca="1" si="73"/>
        <v>0</v>
      </c>
      <c r="K69" s="137">
        <f t="shared" ca="1" si="74"/>
        <v>0</v>
      </c>
      <c r="L69" s="15" t="str">
        <f t="shared" ref="L69:N110" ca="1" si="88">INDIRECT("'"&amp; $AB$16 &amp;"'!"&amp; ADDRESS(ROW(L69),COLUMN(L69),4))</f>
        <v>F</v>
      </c>
      <c r="M69" s="88">
        <f t="shared" ca="1" si="88"/>
        <v>0</v>
      </c>
      <c r="N69" s="88">
        <f t="shared" ca="1" si="88"/>
        <v>0</v>
      </c>
      <c r="O69" s="432">
        <v>1000000000000000</v>
      </c>
      <c r="P69" s="69">
        <v>109575</v>
      </c>
      <c r="Q69" s="3">
        <f t="shared" si="75"/>
        <v>64597</v>
      </c>
      <c r="R69" s="107">
        <f t="shared" ca="1" si="41"/>
        <v>18.380000000000003</v>
      </c>
      <c r="S69" s="105">
        <f t="shared" ca="1" si="42"/>
        <v>25893685.458928723</v>
      </c>
      <c r="T69" s="341">
        <v>0</v>
      </c>
      <c r="U69" s="341">
        <v>0.11849999999999999</v>
      </c>
      <c r="V69" s="341">
        <v>0.11849999999999999</v>
      </c>
      <c r="W69" s="341">
        <v>0.11849999999999999</v>
      </c>
      <c r="X69" s="281">
        <f t="shared" si="8"/>
        <v>0.02</v>
      </c>
      <c r="Y69" s="282">
        <f t="shared" si="37"/>
        <v>0.1</v>
      </c>
      <c r="AA69" s="391">
        <f t="shared" ca="1" si="28"/>
        <v>0</v>
      </c>
      <c r="AB69" s="400">
        <f t="shared" ca="1" si="9"/>
        <v>0</v>
      </c>
      <c r="AC69" s="258">
        <f t="shared" ca="1" si="76"/>
        <v>0</v>
      </c>
      <c r="AD69" s="258">
        <f t="shared" ca="1" si="77"/>
        <v>0</v>
      </c>
      <c r="AE69" s="402">
        <f t="shared" ca="1" si="78"/>
        <v>0</v>
      </c>
      <c r="AF69" s="402">
        <f t="shared" ca="1" si="79"/>
        <v>0</v>
      </c>
      <c r="AG69" s="404">
        <f t="shared" ca="1" si="29"/>
        <v>0</v>
      </c>
      <c r="AH69" s="415">
        <f t="shared" ca="1" si="30"/>
        <v>0</v>
      </c>
      <c r="AI69" s="415">
        <f t="shared" ca="1" si="38"/>
        <v>0</v>
      </c>
      <c r="AJ69" s="416">
        <f t="shared" ca="1" si="31"/>
        <v>0</v>
      </c>
      <c r="AK69" s="416">
        <f t="shared" ca="1" si="32"/>
        <v>0</v>
      </c>
      <c r="AL69" s="416">
        <v>0</v>
      </c>
      <c r="AM69" s="269">
        <f t="shared" ca="1" si="40"/>
        <v>0</v>
      </c>
      <c r="AN69" s="422">
        <f t="shared" ca="1" si="80"/>
        <v>18.66</v>
      </c>
      <c r="AO69" s="423">
        <f t="shared" ca="1" si="81"/>
        <v>26311205.816876858</v>
      </c>
      <c r="AP69" s="271">
        <f t="shared" ca="1" si="82"/>
        <v>0</v>
      </c>
      <c r="AQ69" s="271">
        <f t="shared" ca="1" si="83"/>
        <v>0</v>
      </c>
      <c r="AR69" s="271">
        <f t="shared" ca="1" si="84"/>
        <v>0</v>
      </c>
      <c r="AS69" s="271">
        <f t="shared" ca="1" si="85"/>
        <v>0</v>
      </c>
      <c r="AT69" s="271">
        <f t="shared" ca="1" si="86"/>
        <v>0.02</v>
      </c>
      <c r="AU69" s="278">
        <f t="shared" ca="1" si="87"/>
        <v>0.1</v>
      </c>
    </row>
    <row r="70" spans="2:47" ht="13.15" thickBot="1" x14ac:dyDescent="0.4">
      <c r="B70" s="18">
        <f t="shared" si="43"/>
        <v>51</v>
      </c>
      <c r="C70" s="85">
        <f t="shared" ca="1" si="68"/>
        <v>0</v>
      </c>
      <c r="D70" s="85">
        <f t="shared" ca="1" si="69"/>
        <v>0</v>
      </c>
      <c r="E70" s="84">
        <f t="shared" ca="1" si="70"/>
        <v>0</v>
      </c>
      <c r="F70" s="135">
        <f t="shared" ca="1" si="71"/>
        <v>0</v>
      </c>
      <c r="G70" s="409">
        <f t="shared" ca="1" si="65"/>
        <v>0</v>
      </c>
      <c r="H70" s="409">
        <f t="shared" ca="1" si="66"/>
        <v>0</v>
      </c>
      <c r="I70" s="275">
        <f t="shared" ca="1" si="72"/>
        <v>0</v>
      </c>
      <c r="J70" s="275">
        <f t="shared" ca="1" si="73"/>
        <v>0</v>
      </c>
      <c r="K70" s="137">
        <f t="shared" ca="1" si="74"/>
        <v>0</v>
      </c>
      <c r="L70" s="15" t="str">
        <f t="shared" ca="1" si="88"/>
        <v>F</v>
      </c>
      <c r="M70" s="88">
        <f t="shared" ca="1" si="88"/>
        <v>0</v>
      </c>
      <c r="N70" s="88">
        <f t="shared" ca="1" si="88"/>
        <v>0</v>
      </c>
      <c r="O70" s="432">
        <v>1000000000000000</v>
      </c>
      <c r="P70" s="69">
        <v>109575</v>
      </c>
      <c r="Q70" s="3">
        <f t="shared" si="75"/>
        <v>64597</v>
      </c>
      <c r="R70" s="107">
        <f t="shared" ca="1" si="41"/>
        <v>18.380000000000003</v>
      </c>
      <c r="S70" s="105">
        <f t="shared" ca="1" si="42"/>
        <v>25893685.458928723</v>
      </c>
      <c r="T70" s="341">
        <v>0</v>
      </c>
      <c r="U70" s="341">
        <v>0.11849999999999999</v>
      </c>
      <c r="V70" s="341">
        <v>0.11849999999999999</v>
      </c>
      <c r="W70" s="341">
        <v>0.11849999999999999</v>
      </c>
      <c r="X70" s="281">
        <f t="shared" si="8"/>
        <v>0.02</v>
      </c>
      <c r="Y70" s="282">
        <f t="shared" si="37"/>
        <v>0.1</v>
      </c>
      <c r="AA70" s="391">
        <f t="shared" ca="1" si="28"/>
        <v>0</v>
      </c>
      <c r="AB70" s="400">
        <f t="shared" ca="1" si="9"/>
        <v>0</v>
      </c>
      <c r="AC70" s="258">
        <f t="shared" ca="1" si="76"/>
        <v>0</v>
      </c>
      <c r="AD70" s="258">
        <f t="shared" ca="1" si="77"/>
        <v>0</v>
      </c>
      <c r="AE70" s="402">
        <f t="shared" ca="1" si="78"/>
        <v>0</v>
      </c>
      <c r="AF70" s="402">
        <f t="shared" ca="1" si="79"/>
        <v>0</v>
      </c>
      <c r="AG70" s="404">
        <f t="shared" ca="1" si="29"/>
        <v>0</v>
      </c>
      <c r="AH70" s="415">
        <f t="shared" ca="1" si="30"/>
        <v>0</v>
      </c>
      <c r="AI70" s="415">
        <f t="shared" ca="1" si="38"/>
        <v>0</v>
      </c>
      <c r="AJ70" s="416">
        <f t="shared" ca="1" si="31"/>
        <v>0</v>
      </c>
      <c r="AK70" s="416">
        <f t="shared" ca="1" si="32"/>
        <v>0</v>
      </c>
      <c r="AL70" s="416">
        <v>0</v>
      </c>
      <c r="AM70" s="269">
        <f t="shared" ca="1" si="40"/>
        <v>0</v>
      </c>
      <c r="AN70" s="422">
        <f t="shared" ca="1" si="80"/>
        <v>18.66</v>
      </c>
      <c r="AO70" s="423">
        <f t="shared" ca="1" si="81"/>
        <v>26311205.816876858</v>
      </c>
      <c r="AP70" s="271">
        <f t="shared" ca="1" si="82"/>
        <v>0</v>
      </c>
      <c r="AQ70" s="271">
        <f t="shared" ca="1" si="83"/>
        <v>0</v>
      </c>
      <c r="AR70" s="271">
        <f t="shared" ca="1" si="84"/>
        <v>0</v>
      </c>
      <c r="AS70" s="271">
        <f t="shared" ca="1" si="85"/>
        <v>0</v>
      </c>
      <c r="AT70" s="271">
        <f t="shared" ca="1" si="86"/>
        <v>0.02</v>
      </c>
      <c r="AU70" s="278">
        <f t="shared" ca="1" si="87"/>
        <v>0.1</v>
      </c>
    </row>
    <row r="71" spans="2:47" ht="13.15" thickBot="1" x14ac:dyDescent="0.4">
      <c r="B71" s="18">
        <f t="shared" si="43"/>
        <v>52</v>
      </c>
      <c r="C71" s="85">
        <f t="shared" ca="1" si="68"/>
        <v>0</v>
      </c>
      <c r="D71" s="85">
        <f t="shared" ca="1" si="69"/>
        <v>0</v>
      </c>
      <c r="E71" s="84">
        <f t="shared" ca="1" si="70"/>
        <v>0</v>
      </c>
      <c r="F71" s="135">
        <f t="shared" ca="1" si="71"/>
        <v>0</v>
      </c>
      <c r="G71" s="409">
        <f t="shared" ca="1" si="65"/>
        <v>0</v>
      </c>
      <c r="H71" s="409">
        <f t="shared" ca="1" si="66"/>
        <v>0</v>
      </c>
      <c r="I71" s="275">
        <f t="shared" ca="1" si="72"/>
        <v>0</v>
      </c>
      <c r="J71" s="275">
        <f t="shared" ca="1" si="73"/>
        <v>0</v>
      </c>
      <c r="K71" s="137">
        <f t="shared" ca="1" si="74"/>
        <v>0</v>
      </c>
      <c r="L71" s="15" t="str">
        <f t="shared" ca="1" si="88"/>
        <v>F</v>
      </c>
      <c r="M71" s="88">
        <f t="shared" ca="1" si="88"/>
        <v>0</v>
      </c>
      <c r="N71" s="88">
        <f t="shared" ca="1" si="88"/>
        <v>0</v>
      </c>
      <c r="O71" s="432">
        <v>1000000000000000</v>
      </c>
      <c r="P71" s="69">
        <v>109575</v>
      </c>
      <c r="Q71" s="3">
        <f t="shared" si="75"/>
        <v>64597</v>
      </c>
      <c r="R71" s="107">
        <f t="shared" ca="1" si="41"/>
        <v>18.380000000000003</v>
      </c>
      <c r="S71" s="105">
        <f t="shared" ca="1" si="42"/>
        <v>25893685.458928723</v>
      </c>
      <c r="T71" s="341">
        <v>0</v>
      </c>
      <c r="U71" s="341">
        <v>0.11849999999999999</v>
      </c>
      <c r="V71" s="341">
        <v>0.11849999999999999</v>
      </c>
      <c r="W71" s="341">
        <v>0.11849999999999999</v>
      </c>
      <c r="X71" s="281">
        <f t="shared" si="8"/>
        <v>0.02</v>
      </c>
      <c r="Y71" s="282">
        <f t="shared" si="37"/>
        <v>0.1</v>
      </c>
      <c r="AA71" s="391">
        <f t="shared" ca="1" si="28"/>
        <v>0</v>
      </c>
      <c r="AB71" s="400">
        <f t="shared" ca="1" si="9"/>
        <v>0</v>
      </c>
      <c r="AC71" s="258">
        <f t="shared" ca="1" si="76"/>
        <v>0</v>
      </c>
      <c r="AD71" s="258">
        <f t="shared" ca="1" si="77"/>
        <v>0</v>
      </c>
      <c r="AE71" s="402">
        <f t="shared" ca="1" si="78"/>
        <v>0</v>
      </c>
      <c r="AF71" s="402">
        <f t="shared" ca="1" si="79"/>
        <v>0</v>
      </c>
      <c r="AG71" s="404">
        <f t="shared" ca="1" si="29"/>
        <v>0</v>
      </c>
      <c r="AH71" s="415">
        <f t="shared" ca="1" si="30"/>
        <v>0</v>
      </c>
      <c r="AI71" s="415">
        <f t="shared" ca="1" si="38"/>
        <v>0</v>
      </c>
      <c r="AJ71" s="416">
        <f t="shared" ca="1" si="31"/>
        <v>0</v>
      </c>
      <c r="AK71" s="416">
        <f t="shared" ca="1" si="32"/>
        <v>0</v>
      </c>
      <c r="AL71" s="416">
        <v>0</v>
      </c>
      <c r="AM71" s="269">
        <f t="shared" ca="1" si="40"/>
        <v>0</v>
      </c>
      <c r="AN71" s="422">
        <f t="shared" ca="1" si="80"/>
        <v>18.66</v>
      </c>
      <c r="AO71" s="423">
        <f t="shared" ca="1" si="81"/>
        <v>26311205.816876858</v>
      </c>
      <c r="AP71" s="271">
        <f t="shared" ca="1" si="82"/>
        <v>0</v>
      </c>
      <c r="AQ71" s="271">
        <f t="shared" ca="1" si="83"/>
        <v>0</v>
      </c>
      <c r="AR71" s="271">
        <f t="shared" ca="1" si="84"/>
        <v>0</v>
      </c>
      <c r="AS71" s="271">
        <f t="shared" ca="1" si="85"/>
        <v>0</v>
      </c>
      <c r="AT71" s="271">
        <f t="shared" ca="1" si="86"/>
        <v>0.02</v>
      </c>
      <c r="AU71" s="278">
        <f t="shared" ca="1" si="87"/>
        <v>0.1</v>
      </c>
    </row>
    <row r="72" spans="2:47" ht="13.15" thickBot="1" x14ac:dyDescent="0.4">
      <c r="B72" s="18">
        <f t="shared" si="43"/>
        <v>53</v>
      </c>
      <c r="C72" s="85">
        <f t="shared" ca="1" si="68"/>
        <v>0</v>
      </c>
      <c r="D72" s="85">
        <f t="shared" ca="1" si="69"/>
        <v>0</v>
      </c>
      <c r="E72" s="84">
        <f t="shared" ca="1" si="70"/>
        <v>0</v>
      </c>
      <c r="F72" s="135">
        <f t="shared" ca="1" si="71"/>
        <v>0</v>
      </c>
      <c r="G72" s="409">
        <f t="shared" ca="1" si="65"/>
        <v>0</v>
      </c>
      <c r="H72" s="409">
        <f t="shared" ca="1" si="66"/>
        <v>0</v>
      </c>
      <c r="I72" s="275">
        <f t="shared" ca="1" si="72"/>
        <v>0</v>
      </c>
      <c r="J72" s="275">
        <f t="shared" ca="1" si="73"/>
        <v>0</v>
      </c>
      <c r="K72" s="137">
        <f t="shared" ca="1" si="74"/>
        <v>0</v>
      </c>
      <c r="L72" s="15" t="str">
        <f t="shared" ca="1" si="88"/>
        <v>F</v>
      </c>
      <c r="M72" s="88">
        <f t="shared" ca="1" si="88"/>
        <v>0</v>
      </c>
      <c r="N72" s="88">
        <f t="shared" ca="1" si="88"/>
        <v>0</v>
      </c>
      <c r="O72" s="432">
        <v>1000000000000000</v>
      </c>
      <c r="P72" s="69">
        <v>109575</v>
      </c>
      <c r="Q72" s="3">
        <f t="shared" si="75"/>
        <v>64597</v>
      </c>
      <c r="R72" s="107">
        <f t="shared" ca="1" si="41"/>
        <v>18.380000000000003</v>
      </c>
      <c r="S72" s="105">
        <f t="shared" ca="1" si="42"/>
        <v>25893685.458928723</v>
      </c>
      <c r="T72" s="341">
        <v>0</v>
      </c>
      <c r="U72" s="341">
        <v>0.11849999999999999</v>
      </c>
      <c r="V72" s="341">
        <v>0.11849999999999999</v>
      </c>
      <c r="W72" s="341">
        <v>0.11849999999999999</v>
      </c>
      <c r="X72" s="281">
        <f t="shared" si="8"/>
        <v>0.02</v>
      </c>
      <c r="Y72" s="282">
        <f t="shared" si="37"/>
        <v>0.1</v>
      </c>
      <c r="AA72" s="391">
        <f t="shared" ca="1" si="28"/>
        <v>0</v>
      </c>
      <c r="AB72" s="400">
        <f t="shared" ca="1" si="9"/>
        <v>0</v>
      </c>
      <c r="AC72" s="258">
        <f t="shared" ca="1" si="76"/>
        <v>0</v>
      </c>
      <c r="AD72" s="258">
        <f t="shared" ca="1" si="77"/>
        <v>0</v>
      </c>
      <c r="AE72" s="402">
        <f t="shared" ca="1" si="78"/>
        <v>0</v>
      </c>
      <c r="AF72" s="402">
        <f t="shared" ca="1" si="79"/>
        <v>0</v>
      </c>
      <c r="AG72" s="404">
        <f t="shared" ca="1" si="29"/>
        <v>0</v>
      </c>
      <c r="AH72" s="415">
        <f t="shared" ca="1" si="30"/>
        <v>0</v>
      </c>
      <c r="AI72" s="415">
        <f t="shared" ca="1" si="38"/>
        <v>0</v>
      </c>
      <c r="AJ72" s="416">
        <f t="shared" ca="1" si="31"/>
        <v>0</v>
      </c>
      <c r="AK72" s="416">
        <f t="shared" ca="1" si="32"/>
        <v>0</v>
      </c>
      <c r="AL72" s="416">
        <v>0</v>
      </c>
      <c r="AM72" s="269">
        <f t="shared" ca="1" si="40"/>
        <v>0</v>
      </c>
      <c r="AN72" s="422">
        <f t="shared" ca="1" si="80"/>
        <v>18.66</v>
      </c>
      <c r="AO72" s="423">
        <f t="shared" ca="1" si="81"/>
        <v>26311205.816876858</v>
      </c>
      <c r="AP72" s="271">
        <f t="shared" ca="1" si="82"/>
        <v>0</v>
      </c>
      <c r="AQ72" s="271">
        <f t="shared" ca="1" si="83"/>
        <v>0</v>
      </c>
      <c r="AR72" s="271">
        <f t="shared" ca="1" si="84"/>
        <v>0</v>
      </c>
      <c r="AS72" s="271">
        <f t="shared" ca="1" si="85"/>
        <v>0</v>
      </c>
      <c r="AT72" s="271">
        <f t="shared" ca="1" si="86"/>
        <v>0.02</v>
      </c>
      <c r="AU72" s="278">
        <f t="shared" ca="1" si="87"/>
        <v>0.1</v>
      </c>
    </row>
    <row r="73" spans="2:47" ht="13.15" thickBot="1" x14ac:dyDescent="0.4">
      <c r="B73" s="18">
        <f t="shared" si="43"/>
        <v>54</v>
      </c>
      <c r="C73" s="85">
        <f t="shared" ca="1" si="68"/>
        <v>0</v>
      </c>
      <c r="D73" s="85">
        <f t="shared" ca="1" si="69"/>
        <v>0</v>
      </c>
      <c r="E73" s="84">
        <f t="shared" ca="1" si="70"/>
        <v>0</v>
      </c>
      <c r="F73" s="135">
        <f t="shared" ca="1" si="71"/>
        <v>0</v>
      </c>
      <c r="G73" s="409">
        <f t="shared" ca="1" si="65"/>
        <v>0</v>
      </c>
      <c r="H73" s="409">
        <f t="shared" ca="1" si="66"/>
        <v>0</v>
      </c>
      <c r="I73" s="275">
        <f t="shared" ca="1" si="72"/>
        <v>0</v>
      </c>
      <c r="J73" s="275">
        <f t="shared" ca="1" si="73"/>
        <v>0</v>
      </c>
      <c r="K73" s="137">
        <f t="shared" ca="1" si="74"/>
        <v>0</v>
      </c>
      <c r="L73" s="15" t="str">
        <f t="shared" ca="1" si="88"/>
        <v>F</v>
      </c>
      <c r="M73" s="88">
        <f t="shared" ca="1" si="88"/>
        <v>0</v>
      </c>
      <c r="N73" s="88">
        <f t="shared" ca="1" si="88"/>
        <v>0</v>
      </c>
      <c r="O73" s="432">
        <v>1000000000000000</v>
      </c>
      <c r="P73" s="69">
        <v>109575</v>
      </c>
      <c r="Q73" s="3">
        <f t="shared" si="75"/>
        <v>64597</v>
      </c>
      <c r="R73" s="107">
        <f t="shared" ca="1" si="41"/>
        <v>18.380000000000003</v>
      </c>
      <c r="S73" s="105">
        <f t="shared" ca="1" si="42"/>
        <v>25893685.458928723</v>
      </c>
      <c r="T73" s="341">
        <v>0</v>
      </c>
      <c r="U73" s="341">
        <v>0.11849999999999999</v>
      </c>
      <c r="V73" s="341">
        <v>0.11849999999999999</v>
      </c>
      <c r="W73" s="341">
        <v>0.11849999999999999</v>
      </c>
      <c r="X73" s="281">
        <f t="shared" si="8"/>
        <v>0.02</v>
      </c>
      <c r="Y73" s="282">
        <f t="shared" si="37"/>
        <v>0.1</v>
      </c>
      <c r="AA73" s="391">
        <f t="shared" ca="1" si="28"/>
        <v>0</v>
      </c>
      <c r="AB73" s="400">
        <f t="shared" ca="1" si="9"/>
        <v>0</v>
      </c>
      <c r="AC73" s="258">
        <f t="shared" ca="1" si="76"/>
        <v>0</v>
      </c>
      <c r="AD73" s="258">
        <f t="shared" ca="1" si="77"/>
        <v>0</v>
      </c>
      <c r="AE73" s="402">
        <f t="shared" ca="1" si="78"/>
        <v>0</v>
      </c>
      <c r="AF73" s="402">
        <f t="shared" ca="1" si="79"/>
        <v>0</v>
      </c>
      <c r="AG73" s="404">
        <f t="shared" ca="1" si="29"/>
        <v>0</v>
      </c>
      <c r="AH73" s="415">
        <f t="shared" ca="1" si="30"/>
        <v>0</v>
      </c>
      <c r="AI73" s="415">
        <f t="shared" ca="1" si="38"/>
        <v>0</v>
      </c>
      <c r="AJ73" s="416">
        <f t="shared" ca="1" si="31"/>
        <v>0</v>
      </c>
      <c r="AK73" s="416">
        <f t="shared" ca="1" si="32"/>
        <v>0</v>
      </c>
      <c r="AL73" s="416">
        <v>0</v>
      </c>
      <c r="AM73" s="269">
        <f t="shared" ca="1" si="40"/>
        <v>0</v>
      </c>
      <c r="AN73" s="422">
        <f t="shared" ca="1" si="80"/>
        <v>18.66</v>
      </c>
      <c r="AO73" s="423">
        <f t="shared" ca="1" si="81"/>
        <v>26311205.816876858</v>
      </c>
      <c r="AP73" s="271">
        <f t="shared" ca="1" si="82"/>
        <v>0</v>
      </c>
      <c r="AQ73" s="271">
        <f t="shared" ca="1" si="83"/>
        <v>0</v>
      </c>
      <c r="AR73" s="271">
        <f t="shared" ca="1" si="84"/>
        <v>0</v>
      </c>
      <c r="AS73" s="271">
        <f t="shared" ca="1" si="85"/>
        <v>0</v>
      </c>
      <c r="AT73" s="271">
        <f t="shared" ca="1" si="86"/>
        <v>0.02</v>
      </c>
      <c r="AU73" s="278">
        <f t="shared" ca="1" si="87"/>
        <v>0.1</v>
      </c>
    </row>
    <row r="74" spans="2:47" ht="13.15" thickBot="1" x14ac:dyDescent="0.4">
      <c r="B74" s="18">
        <f t="shared" si="43"/>
        <v>55</v>
      </c>
      <c r="C74" s="85">
        <f t="shared" ca="1" si="68"/>
        <v>0</v>
      </c>
      <c r="D74" s="85">
        <f t="shared" ca="1" si="69"/>
        <v>0</v>
      </c>
      <c r="E74" s="84">
        <f t="shared" ca="1" si="70"/>
        <v>0</v>
      </c>
      <c r="F74" s="135">
        <f t="shared" ca="1" si="71"/>
        <v>0</v>
      </c>
      <c r="G74" s="409">
        <f t="shared" ca="1" si="65"/>
        <v>0</v>
      </c>
      <c r="H74" s="409">
        <f t="shared" ca="1" si="66"/>
        <v>0</v>
      </c>
      <c r="I74" s="275">
        <f t="shared" ca="1" si="72"/>
        <v>0</v>
      </c>
      <c r="J74" s="275">
        <f t="shared" ca="1" si="73"/>
        <v>0</v>
      </c>
      <c r="K74" s="137">
        <f t="shared" ca="1" si="74"/>
        <v>0</v>
      </c>
      <c r="L74" s="15" t="str">
        <f t="shared" ca="1" si="88"/>
        <v>F</v>
      </c>
      <c r="M74" s="88">
        <f t="shared" ca="1" si="88"/>
        <v>0</v>
      </c>
      <c r="N74" s="88">
        <f t="shared" ca="1" si="88"/>
        <v>0</v>
      </c>
      <c r="O74" s="432">
        <v>1000000000000000</v>
      </c>
      <c r="P74" s="69">
        <v>109575</v>
      </c>
      <c r="Q74" s="3">
        <f t="shared" si="75"/>
        <v>64597</v>
      </c>
      <c r="R74" s="107">
        <f t="shared" ca="1" si="41"/>
        <v>18.380000000000003</v>
      </c>
      <c r="S74" s="105">
        <f t="shared" ca="1" si="42"/>
        <v>25893685.458928723</v>
      </c>
      <c r="T74" s="341">
        <v>0</v>
      </c>
      <c r="U74" s="341">
        <v>0.11849999999999999</v>
      </c>
      <c r="V74" s="341">
        <v>0.11849999999999999</v>
      </c>
      <c r="W74" s="341">
        <v>0.11849999999999999</v>
      </c>
      <c r="X74" s="281">
        <f t="shared" si="8"/>
        <v>0.02</v>
      </c>
      <c r="Y74" s="282">
        <f t="shared" si="37"/>
        <v>0.1</v>
      </c>
      <c r="AA74" s="391">
        <f t="shared" ca="1" si="28"/>
        <v>0</v>
      </c>
      <c r="AB74" s="400">
        <f t="shared" ca="1" si="9"/>
        <v>0</v>
      </c>
      <c r="AC74" s="258">
        <f t="shared" ca="1" si="76"/>
        <v>0</v>
      </c>
      <c r="AD74" s="258">
        <f t="shared" ca="1" si="77"/>
        <v>0</v>
      </c>
      <c r="AE74" s="402">
        <f t="shared" ca="1" si="78"/>
        <v>0</v>
      </c>
      <c r="AF74" s="402">
        <f t="shared" ca="1" si="79"/>
        <v>0</v>
      </c>
      <c r="AG74" s="404">
        <f t="shared" ca="1" si="29"/>
        <v>0</v>
      </c>
      <c r="AH74" s="415">
        <f t="shared" ca="1" si="30"/>
        <v>0</v>
      </c>
      <c r="AI74" s="415">
        <f t="shared" ca="1" si="38"/>
        <v>0</v>
      </c>
      <c r="AJ74" s="416">
        <f t="shared" ca="1" si="31"/>
        <v>0</v>
      </c>
      <c r="AK74" s="416">
        <f t="shared" ca="1" si="32"/>
        <v>0</v>
      </c>
      <c r="AL74" s="416">
        <v>0</v>
      </c>
      <c r="AM74" s="269">
        <f t="shared" ca="1" si="40"/>
        <v>0</v>
      </c>
      <c r="AN74" s="422">
        <f t="shared" ca="1" si="80"/>
        <v>18.66</v>
      </c>
      <c r="AO74" s="423">
        <f t="shared" ca="1" si="81"/>
        <v>26311205.816876858</v>
      </c>
      <c r="AP74" s="271">
        <f t="shared" ca="1" si="82"/>
        <v>0</v>
      </c>
      <c r="AQ74" s="271">
        <f t="shared" ca="1" si="83"/>
        <v>0</v>
      </c>
      <c r="AR74" s="271">
        <f t="shared" ca="1" si="84"/>
        <v>0</v>
      </c>
      <c r="AS74" s="271">
        <f t="shared" ca="1" si="85"/>
        <v>0</v>
      </c>
      <c r="AT74" s="271">
        <f t="shared" ca="1" si="86"/>
        <v>0.02</v>
      </c>
      <c r="AU74" s="278">
        <f t="shared" ca="1" si="87"/>
        <v>0.1</v>
      </c>
    </row>
    <row r="75" spans="2:47" ht="13.15" thickBot="1" x14ac:dyDescent="0.4">
      <c r="B75" s="18">
        <f t="shared" si="43"/>
        <v>56</v>
      </c>
      <c r="C75" s="85">
        <f t="shared" ca="1" si="68"/>
        <v>0</v>
      </c>
      <c r="D75" s="85">
        <f t="shared" ca="1" si="69"/>
        <v>0</v>
      </c>
      <c r="E75" s="84">
        <f t="shared" ca="1" si="70"/>
        <v>0</v>
      </c>
      <c r="F75" s="135">
        <f t="shared" ca="1" si="71"/>
        <v>0</v>
      </c>
      <c r="G75" s="409">
        <f t="shared" ca="1" si="65"/>
        <v>0</v>
      </c>
      <c r="H75" s="409">
        <f t="shared" ca="1" si="66"/>
        <v>0</v>
      </c>
      <c r="I75" s="275">
        <f t="shared" ca="1" si="72"/>
        <v>0</v>
      </c>
      <c r="J75" s="275">
        <f t="shared" ca="1" si="73"/>
        <v>0</v>
      </c>
      <c r="K75" s="137">
        <f t="shared" ca="1" si="74"/>
        <v>0</v>
      </c>
      <c r="L75" s="15" t="str">
        <f t="shared" ca="1" si="88"/>
        <v>F</v>
      </c>
      <c r="M75" s="88">
        <f t="shared" ca="1" si="88"/>
        <v>0</v>
      </c>
      <c r="N75" s="88">
        <f t="shared" ca="1" si="88"/>
        <v>0</v>
      </c>
      <c r="O75" s="432">
        <v>1000000000000000</v>
      </c>
      <c r="P75" s="69">
        <v>109575</v>
      </c>
      <c r="Q75" s="3">
        <f t="shared" si="75"/>
        <v>64597</v>
      </c>
      <c r="R75" s="107">
        <f t="shared" ca="1" si="41"/>
        <v>18.380000000000003</v>
      </c>
      <c r="S75" s="105">
        <f t="shared" ca="1" si="42"/>
        <v>25893685.458928723</v>
      </c>
      <c r="T75" s="341">
        <v>0</v>
      </c>
      <c r="U75" s="341">
        <v>0.11849999999999999</v>
      </c>
      <c r="V75" s="341">
        <v>0.11849999999999999</v>
      </c>
      <c r="W75" s="341">
        <v>0.11849999999999999</v>
      </c>
      <c r="X75" s="281">
        <f t="shared" si="8"/>
        <v>0.02</v>
      </c>
      <c r="Y75" s="282">
        <f t="shared" si="37"/>
        <v>0.1</v>
      </c>
      <c r="AA75" s="391">
        <f t="shared" ca="1" si="28"/>
        <v>0</v>
      </c>
      <c r="AB75" s="400">
        <f t="shared" ca="1" si="9"/>
        <v>0</v>
      </c>
      <c r="AC75" s="258">
        <f t="shared" ca="1" si="76"/>
        <v>0</v>
      </c>
      <c r="AD75" s="258">
        <f t="shared" ca="1" si="77"/>
        <v>0</v>
      </c>
      <c r="AE75" s="402">
        <f t="shared" ca="1" si="78"/>
        <v>0</v>
      </c>
      <c r="AF75" s="402">
        <f t="shared" ca="1" si="79"/>
        <v>0</v>
      </c>
      <c r="AG75" s="404">
        <f t="shared" ca="1" si="29"/>
        <v>0</v>
      </c>
      <c r="AH75" s="415">
        <f t="shared" ca="1" si="30"/>
        <v>0</v>
      </c>
      <c r="AI75" s="415">
        <f t="shared" ca="1" si="38"/>
        <v>0</v>
      </c>
      <c r="AJ75" s="416">
        <f t="shared" ca="1" si="31"/>
        <v>0</v>
      </c>
      <c r="AK75" s="416">
        <f t="shared" ca="1" si="32"/>
        <v>0</v>
      </c>
      <c r="AL75" s="416">
        <v>0</v>
      </c>
      <c r="AM75" s="269">
        <f t="shared" ca="1" si="40"/>
        <v>0</v>
      </c>
      <c r="AN75" s="422">
        <f t="shared" ca="1" si="80"/>
        <v>18.66</v>
      </c>
      <c r="AO75" s="423">
        <f t="shared" ca="1" si="81"/>
        <v>26311205.816876858</v>
      </c>
      <c r="AP75" s="271">
        <f t="shared" ca="1" si="82"/>
        <v>0</v>
      </c>
      <c r="AQ75" s="271">
        <f t="shared" ca="1" si="83"/>
        <v>0</v>
      </c>
      <c r="AR75" s="271">
        <f t="shared" ca="1" si="84"/>
        <v>0</v>
      </c>
      <c r="AS75" s="271">
        <f t="shared" ca="1" si="85"/>
        <v>0</v>
      </c>
      <c r="AT75" s="271">
        <f t="shared" ca="1" si="86"/>
        <v>0.02</v>
      </c>
      <c r="AU75" s="278">
        <f t="shared" ca="1" si="87"/>
        <v>0.1</v>
      </c>
    </row>
    <row r="76" spans="2:47" ht="13.15" thickBot="1" x14ac:dyDescent="0.4">
      <c r="B76" s="18">
        <f t="shared" si="43"/>
        <v>57</v>
      </c>
      <c r="C76" s="85">
        <f t="shared" ca="1" si="68"/>
        <v>0</v>
      </c>
      <c r="D76" s="85">
        <f t="shared" ca="1" si="69"/>
        <v>0</v>
      </c>
      <c r="E76" s="84">
        <f t="shared" ca="1" si="70"/>
        <v>0</v>
      </c>
      <c r="F76" s="135">
        <f t="shared" ca="1" si="71"/>
        <v>0</v>
      </c>
      <c r="G76" s="409">
        <f t="shared" ca="1" si="65"/>
        <v>0</v>
      </c>
      <c r="H76" s="409">
        <f t="shared" ca="1" si="66"/>
        <v>0</v>
      </c>
      <c r="I76" s="275">
        <f t="shared" ca="1" si="72"/>
        <v>0</v>
      </c>
      <c r="J76" s="275">
        <f t="shared" ca="1" si="73"/>
        <v>0</v>
      </c>
      <c r="K76" s="137">
        <f t="shared" ca="1" si="74"/>
        <v>0</v>
      </c>
      <c r="L76" s="15" t="str">
        <f t="shared" ca="1" si="88"/>
        <v>F</v>
      </c>
      <c r="M76" s="88">
        <f t="shared" ca="1" si="88"/>
        <v>0</v>
      </c>
      <c r="N76" s="88">
        <f t="shared" ca="1" si="88"/>
        <v>0</v>
      </c>
      <c r="O76" s="432">
        <v>1000000000000000</v>
      </c>
      <c r="P76" s="69">
        <v>109575</v>
      </c>
      <c r="Q76" s="3">
        <f t="shared" si="75"/>
        <v>64597</v>
      </c>
      <c r="R76" s="107">
        <f t="shared" ca="1" si="41"/>
        <v>18.380000000000003</v>
      </c>
      <c r="S76" s="105">
        <f t="shared" ca="1" si="42"/>
        <v>25893685.458928723</v>
      </c>
      <c r="T76" s="341">
        <v>0</v>
      </c>
      <c r="U76" s="341">
        <v>0.11849999999999999</v>
      </c>
      <c r="V76" s="341">
        <v>0.11849999999999999</v>
      </c>
      <c r="W76" s="341">
        <v>0.11849999999999999</v>
      </c>
      <c r="X76" s="281">
        <f t="shared" si="8"/>
        <v>0.02</v>
      </c>
      <c r="Y76" s="282">
        <f t="shared" si="37"/>
        <v>0.1</v>
      </c>
      <c r="AA76" s="391">
        <f t="shared" ca="1" si="28"/>
        <v>0</v>
      </c>
      <c r="AB76" s="400">
        <f t="shared" ca="1" si="9"/>
        <v>0</v>
      </c>
      <c r="AC76" s="258">
        <f t="shared" ca="1" si="76"/>
        <v>0</v>
      </c>
      <c r="AD76" s="258">
        <f t="shared" ca="1" si="77"/>
        <v>0</v>
      </c>
      <c r="AE76" s="402">
        <f t="shared" ca="1" si="78"/>
        <v>0</v>
      </c>
      <c r="AF76" s="402">
        <f t="shared" ca="1" si="79"/>
        <v>0</v>
      </c>
      <c r="AG76" s="404">
        <f t="shared" ca="1" si="29"/>
        <v>0</v>
      </c>
      <c r="AH76" s="415">
        <f t="shared" ca="1" si="30"/>
        <v>0</v>
      </c>
      <c r="AI76" s="415">
        <f t="shared" ca="1" si="38"/>
        <v>0</v>
      </c>
      <c r="AJ76" s="416">
        <f t="shared" ca="1" si="31"/>
        <v>0</v>
      </c>
      <c r="AK76" s="416">
        <f t="shared" ca="1" si="32"/>
        <v>0</v>
      </c>
      <c r="AL76" s="416">
        <v>0</v>
      </c>
      <c r="AM76" s="269">
        <f t="shared" ca="1" si="40"/>
        <v>0</v>
      </c>
      <c r="AN76" s="422">
        <f t="shared" ca="1" si="80"/>
        <v>18.66</v>
      </c>
      <c r="AO76" s="423">
        <f t="shared" ca="1" si="81"/>
        <v>26311205.816876858</v>
      </c>
      <c r="AP76" s="271">
        <f t="shared" ca="1" si="82"/>
        <v>0</v>
      </c>
      <c r="AQ76" s="271">
        <f t="shared" ca="1" si="83"/>
        <v>0</v>
      </c>
      <c r="AR76" s="271">
        <f t="shared" ca="1" si="84"/>
        <v>0</v>
      </c>
      <c r="AS76" s="271">
        <f t="shared" ca="1" si="85"/>
        <v>0</v>
      </c>
      <c r="AT76" s="271">
        <f t="shared" ca="1" si="86"/>
        <v>0.02</v>
      </c>
      <c r="AU76" s="278">
        <f t="shared" ca="1" si="87"/>
        <v>0.1</v>
      </c>
    </row>
    <row r="77" spans="2:47" ht="13.15" thickBot="1" x14ac:dyDescent="0.4">
      <c r="B77" s="18">
        <f t="shared" si="43"/>
        <v>58</v>
      </c>
      <c r="C77" s="85">
        <f t="shared" ca="1" si="68"/>
        <v>0</v>
      </c>
      <c r="D77" s="85">
        <f t="shared" ca="1" si="69"/>
        <v>0</v>
      </c>
      <c r="E77" s="84">
        <f t="shared" ca="1" si="70"/>
        <v>0</v>
      </c>
      <c r="F77" s="135">
        <f t="shared" ca="1" si="71"/>
        <v>0</v>
      </c>
      <c r="G77" s="409">
        <f t="shared" ca="1" si="65"/>
        <v>0</v>
      </c>
      <c r="H77" s="409">
        <f t="shared" ca="1" si="66"/>
        <v>0</v>
      </c>
      <c r="I77" s="275">
        <f t="shared" ca="1" si="72"/>
        <v>0</v>
      </c>
      <c r="J77" s="275">
        <f t="shared" ca="1" si="73"/>
        <v>0</v>
      </c>
      <c r="K77" s="137">
        <f t="shared" ca="1" si="74"/>
        <v>0</v>
      </c>
      <c r="L77" s="15" t="str">
        <f t="shared" ca="1" si="88"/>
        <v>F</v>
      </c>
      <c r="M77" s="88">
        <f t="shared" ca="1" si="88"/>
        <v>0</v>
      </c>
      <c r="N77" s="88">
        <f t="shared" ca="1" si="88"/>
        <v>0</v>
      </c>
      <c r="O77" s="432">
        <v>1000000000000000</v>
      </c>
      <c r="P77" s="69">
        <v>109575</v>
      </c>
      <c r="Q77" s="3">
        <f t="shared" si="75"/>
        <v>64597</v>
      </c>
      <c r="R77" s="107">
        <f t="shared" ca="1" si="41"/>
        <v>18.380000000000003</v>
      </c>
      <c r="S77" s="105">
        <f t="shared" ca="1" si="42"/>
        <v>25893685.458928723</v>
      </c>
      <c r="T77" s="341">
        <v>0</v>
      </c>
      <c r="U77" s="341">
        <v>0.11849999999999999</v>
      </c>
      <c r="V77" s="341">
        <v>0.11849999999999999</v>
      </c>
      <c r="W77" s="341">
        <v>0.11849999999999999</v>
      </c>
      <c r="X77" s="281">
        <f t="shared" si="8"/>
        <v>0.02</v>
      </c>
      <c r="Y77" s="282">
        <f t="shared" si="37"/>
        <v>0.1</v>
      </c>
      <c r="AA77" s="391">
        <f t="shared" ca="1" si="28"/>
        <v>0</v>
      </c>
      <c r="AB77" s="400">
        <f t="shared" ca="1" si="9"/>
        <v>0</v>
      </c>
      <c r="AC77" s="258">
        <f t="shared" ca="1" si="76"/>
        <v>0</v>
      </c>
      <c r="AD77" s="258">
        <f t="shared" ca="1" si="77"/>
        <v>0</v>
      </c>
      <c r="AE77" s="402">
        <f t="shared" ca="1" si="78"/>
        <v>0</v>
      </c>
      <c r="AF77" s="402">
        <f t="shared" ca="1" si="79"/>
        <v>0</v>
      </c>
      <c r="AG77" s="404">
        <f t="shared" ca="1" si="29"/>
        <v>0</v>
      </c>
      <c r="AH77" s="415">
        <f t="shared" ca="1" si="30"/>
        <v>0</v>
      </c>
      <c r="AI77" s="415">
        <f t="shared" ca="1" si="38"/>
        <v>0</v>
      </c>
      <c r="AJ77" s="416">
        <f t="shared" ca="1" si="31"/>
        <v>0</v>
      </c>
      <c r="AK77" s="416">
        <f t="shared" ca="1" si="32"/>
        <v>0</v>
      </c>
      <c r="AL77" s="416">
        <v>0</v>
      </c>
      <c r="AM77" s="269">
        <f t="shared" ca="1" si="40"/>
        <v>0</v>
      </c>
      <c r="AN77" s="422">
        <f t="shared" ca="1" si="80"/>
        <v>18.66</v>
      </c>
      <c r="AO77" s="423">
        <f t="shared" ca="1" si="81"/>
        <v>26311205.816876858</v>
      </c>
      <c r="AP77" s="271">
        <f t="shared" ca="1" si="82"/>
        <v>0</v>
      </c>
      <c r="AQ77" s="271">
        <f t="shared" ca="1" si="83"/>
        <v>0</v>
      </c>
      <c r="AR77" s="271">
        <f t="shared" ca="1" si="84"/>
        <v>0</v>
      </c>
      <c r="AS77" s="271">
        <f t="shared" ca="1" si="85"/>
        <v>0</v>
      </c>
      <c r="AT77" s="271">
        <f t="shared" ca="1" si="86"/>
        <v>0.02</v>
      </c>
      <c r="AU77" s="278">
        <f t="shared" ca="1" si="87"/>
        <v>0.1</v>
      </c>
    </row>
    <row r="78" spans="2:47" ht="13.15" thickBot="1" x14ac:dyDescent="0.4">
      <c r="B78" s="18">
        <f t="shared" si="43"/>
        <v>59</v>
      </c>
      <c r="C78" s="85">
        <f t="shared" ca="1" si="68"/>
        <v>0</v>
      </c>
      <c r="D78" s="85">
        <f t="shared" ca="1" si="69"/>
        <v>0</v>
      </c>
      <c r="E78" s="84">
        <f t="shared" ca="1" si="70"/>
        <v>0</v>
      </c>
      <c r="F78" s="135">
        <f t="shared" ca="1" si="71"/>
        <v>0</v>
      </c>
      <c r="G78" s="409">
        <f t="shared" ca="1" si="65"/>
        <v>0</v>
      </c>
      <c r="H78" s="409">
        <f t="shared" ca="1" si="66"/>
        <v>0</v>
      </c>
      <c r="I78" s="275">
        <f t="shared" ca="1" si="72"/>
        <v>0</v>
      </c>
      <c r="J78" s="275">
        <f t="shared" ca="1" si="73"/>
        <v>0</v>
      </c>
      <c r="K78" s="137">
        <f t="shared" ca="1" si="74"/>
        <v>0</v>
      </c>
      <c r="L78" s="15" t="str">
        <f t="shared" ca="1" si="88"/>
        <v>F</v>
      </c>
      <c r="M78" s="88">
        <f t="shared" ca="1" si="88"/>
        <v>0</v>
      </c>
      <c r="N78" s="88">
        <f t="shared" ca="1" si="88"/>
        <v>0</v>
      </c>
      <c r="O78" s="432">
        <v>1000000000000000</v>
      </c>
      <c r="P78" s="69">
        <v>109575</v>
      </c>
      <c r="Q78" s="3">
        <f t="shared" si="75"/>
        <v>64597</v>
      </c>
      <c r="R78" s="107">
        <f t="shared" ca="1" si="41"/>
        <v>18.380000000000003</v>
      </c>
      <c r="S78" s="105">
        <f t="shared" ca="1" si="42"/>
        <v>25893685.458928723</v>
      </c>
      <c r="T78" s="341">
        <v>0</v>
      </c>
      <c r="U78" s="341">
        <v>0.11849999999999999</v>
      </c>
      <c r="V78" s="341">
        <v>0.11849999999999999</v>
      </c>
      <c r="W78" s="341">
        <v>0.11849999999999999</v>
      </c>
      <c r="X78" s="281">
        <f t="shared" si="8"/>
        <v>0.02</v>
      </c>
      <c r="Y78" s="282">
        <f t="shared" si="37"/>
        <v>0.1</v>
      </c>
      <c r="AA78" s="391">
        <f t="shared" ca="1" si="28"/>
        <v>0</v>
      </c>
      <c r="AB78" s="400">
        <f t="shared" ca="1" si="9"/>
        <v>0</v>
      </c>
      <c r="AC78" s="258">
        <f t="shared" ca="1" si="76"/>
        <v>0</v>
      </c>
      <c r="AD78" s="258">
        <f t="shared" ca="1" si="77"/>
        <v>0</v>
      </c>
      <c r="AE78" s="402">
        <f t="shared" ca="1" si="78"/>
        <v>0</v>
      </c>
      <c r="AF78" s="402">
        <f t="shared" ca="1" si="79"/>
        <v>0</v>
      </c>
      <c r="AG78" s="404">
        <f t="shared" ca="1" si="29"/>
        <v>0</v>
      </c>
      <c r="AH78" s="415">
        <f t="shared" ca="1" si="30"/>
        <v>0</v>
      </c>
      <c r="AI78" s="415">
        <f t="shared" ca="1" si="38"/>
        <v>0</v>
      </c>
      <c r="AJ78" s="416">
        <f t="shared" ca="1" si="31"/>
        <v>0</v>
      </c>
      <c r="AK78" s="416">
        <f t="shared" ca="1" si="32"/>
        <v>0</v>
      </c>
      <c r="AL78" s="416">
        <v>0</v>
      </c>
      <c r="AM78" s="269">
        <f t="shared" ca="1" si="40"/>
        <v>0</v>
      </c>
      <c r="AN78" s="422">
        <f t="shared" ca="1" si="80"/>
        <v>18.66</v>
      </c>
      <c r="AO78" s="423">
        <f t="shared" ca="1" si="81"/>
        <v>26311205.816876858</v>
      </c>
      <c r="AP78" s="271">
        <f t="shared" ca="1" si="82"/>
        <v>0</v>
      </c>
      <c r="AQ78" s="271">
        <f t="shared" ca="1" si="83"/>
        <v>0</v>
      </c>
      <c r="AR78" s="271">
        <f t="shared" ca="1" si="84"/>
        <v>0</v>
      </c>
      <c r="AS78" s="271">
        <f t="shared" ca="1" si="85"/>
        <v>0</v>
      </c>
      <c r="AT78" s="271">
        <f t="shared" ca="1" si="86"/>
        <v>0.02</v>
      </c>
      <c r="AU78" s="278">
        <f t="shared" ca="1" si="87"/>
        <v>0.1</v>
      </c>
    </row>
    <row r="79" spans="2:47" ht="13.15" thickBot="1" x14ac:dyDescent="0.4">
      <c r="B79" s="18">
        <f t="shared" si="43"/>
        <v>60</v>
      </c>
      <c r="C79" s="85">
        <f t="shared" ca="1" si="68"/>
        <v>0</v>
      </c>
      <c r="D79" s="85">
        <f t="shared" ca="1" si="69"/>
        <v>0</v>
      </c>
      <c r="E79" s="84">
        <f t="shared" ca="1" si="70"/>
        <v>0</v>
      </c>
      <c r="F79" s="135">
        <f t="shared" ca="1" si="71"/>
        <v>0</v>
      </c>
      <c r="G79" s="409">
        <f t="shared" ca="1" si="65"/>
        <v>0</v>
      </c>
      <c r="H79" s="409">
        <f t="shared" ca="1" si="66"/>
        <v>0</v>
      </c>
      <c r="I79" s="275">
        <f t="shared" ca="1" si="72"/>
        <v>0</v>
      </c>
      <c r="J79" s="275">
        <f t="shared" ca="1" si="73"/>
        <v>0</v>
      </c>
      <c r="K79" s="137">
        <f t="shared" ca="1" si="74"/>
        <v>0</v>
      </c>
      <c r="L79" s="15" t="str">
        <f t="shared" ca="1" si="88"/>
        <v>F</v>
      </c>
      <c r="M79" s="88">
        <f t="shared" ca="1" si="88"/>
        <v>0</v>
      </c>
      <c r="N79" s="88">
        <f t="shared" ca="1" si="88"/>
        <v>0</v>
      </c>
      <c r="O79" s="432">
        <v>1000000000000000</v>
      </c>
      <c r="P79" s="69">
        <v>109575</v>
      </c>
      <c r="Q79" s="3">
        <f t="shared" si="75"/>
        <v>64597</v>
      </c>
      <c r="R79" s="107">
        <f t="shared" ca="1" si="41"/>
        <v>18.380000000000003</v>
      </c>
      <c r="S79" s="105">
        <f t="shared" ca="1" si="42"/>
        <v>25893685.458928723</v>
      </c>
      <c r="T79" s="341">
        <v>0</v>
      </c>
      <c r="U79" s="341">
        <v>0.11849999999999999</v>
      </c>
      <c r="V79" s="341">
        <v>0.11849999999999999</v>
      </c>
      <c r="W79" s="341">
        <v>0.11849999999999999</v>
      </c>
      <c r="X79" s="281">
        <f t="shared" si="8"/>
        <v>0.02</v>
      </c>
      <c r="Y79" s="282">
        <f t="shared" si="37"/>
        <v>0.1</v>
      </c>
      <c r="AA79" s="391">
        <f t="shared" ca="1" si="28"/>
        <v>0</v>
      </c>
      <c r="AB79" s="400">
        <f t="shared" ca="1" si="9"/>
        <v>0</v>
      </c>
      <c r="AC79" s="258">
        <f t="shared" ca="1" si="76"/>
        <v>0</v>
      </c>
      <c r="AD79" s="258">
        <f t="shared" ca="1" si="77"/>
        <v>0</v>
      </c>
      <c r="AE79" s="402">
        <f t="shared" ca="1" si="78"/>
        <v>0</v>
      </c>
      <c r="AF79" s="402">
        <f t="shared" ca="1" si="79"/>
        <v>0</v>
      </c>
      <c r="AG79" s="404">
        <f t="shared" ca="1" si="29"/>
        <v>0</v>
      </c>
      <c r="AH79" s="415">
        <f t="shared" ca="1" si="30"/>
        <v>0</v>
      </c>
      <c r="AI79" s="415">
        <f t="shared" ca="1" si="38"/>
        <v>0</v>
      </c>
      <c r="AJ79" s="416">
        <f t="shared" ca="1" si="31"/>
        <v>0</v>
      </c>
      <c r="AK79" s="416">
        <f t="shared" ca="1" si="32"/>
        <v>0</v>
      </c>
      <c r="AL79" s="416">
        <v>0</v>
      </c>
      <c r="AM79" s="269">
        <f t="shared" ca="1" si="40"/>
        <v>0</v>
      </c>
      <c r="AN79" s="422">
        <f t="shared" ca="1" si="80"/>
        <v>18.66</v>
      </c>
      <c r="AO79" s="423">
        <f t="shared" ca="1" si="81"/>
        <v>26311205.816876858</v>
      </c>
      <c r="AP79" s="271">
        <f t="shared" ca="1" si="82"/>
        <v>0</v>
      </c>
      <c r="AQ79" s="271">
        <f t="shared" ca="1" si="83"/>
        <v>0</v>
      </c>
      <c r="AR79" s="271">
        <f t="shared" ca="1" si="84"/>
        <v>0</v>
      </c>
      <c r="AS79" s="271">
        <f t="shared" ca="1" si="85"/>
        <v>0</v>
      </c>
      <c r="AT79" s="271">
        <f t="shared" ca="1" si="86"/>
        <v>0.02</v>
      </c>
      <c r="AU79" s="278">
        <f t="shared" ca="1" si="87"/>
        <v>0.1</v>
      </c>
    </row>
    <row r="80" spans="2:47" ht="13.15" thickBot="1" x14ac:dyDescent="0.4">
      <c r="B80" s="18">
        <f t="shared" si="43"/>
        <v>61</v>
      </c>
      <c r="C80" s="85">
        <f t="shared" ca="1" si="68"/>
        <v>0</v>
      </c>
      <c r="D80" s="85">
        <f t="shared" ca="1" si="69"/>
        <v>0</v>
      </c>
      <c r="E80" s="84">
        <f t="shared" ca="1" si="70"/>
        <v>0</v>
      </c>
      <c r="F80" s="135">
        <f t="shared" ca="1" si="71"/>
        <v>0</v>
      </c>
      <c r="G80" s="409">
        <f t="shared" ca="1" si="65"/>
        <v>0</v>
      </c>
      <c r="H80" s="409">
        <f t="shared" ca="1" si="66"/>
        <v>0</v>
      </c>
      <c r="I80" s="275">
        <f t="shared" ca="1" si="72"/>
        <v>0</v>
      </c>
      <c r="J80" s="275">
        <f t="shared" ca="1" si="73"/>
        <v>0</v>
      </c>
      <c r="K80" s="137">
        <f t="shared" ca="1" si="74"/>
        <v>0</v>
      </c>
      <c r="L80" s="15" t="str">
        <f t="shared" ca="1" si="88"/>
        <v>F</v>
      </c>
      <c r="M80" s="88">
        <f t="shared" ca="1" si="88"/>
        <v>0</v>
      </c>
      <c r="N80" s="88">
        <f t="shared" ca="1" si="88"/>
        <v>0</v>
      </c>
      <c r="O80" s="432">
        <v>1000000000000000</v>
      </c>
      <c r="P80" s="69">
        <v>109575</v>
      </c>
      <c r="Q80" s="3">
        <f t="shared" si="75"/>
        <v>64597</v>
      </c>
      <c r="R80" s="107">
        <f t="shared" ca="1" si="41"/>
        <v>18.380000000000003</v>
      </c>
      <c r="S80" s="105">
        <f t="shared" ca="1" si="42"/>
        <v>25893685.458928723</v>
      </c>
      <c r="T80" s="341">
        <v>0</v>
      </c>
      <c r="U80" s="341">
        <v>0.11849999999999999</v>
      </c>
      <c r="V80" s="341">
        <v>0.11849999999999999</v>
      </c>
      <c r="W80" s="341">
        <v>0.11849999999999999</v>
      </c>
      <c r="X80" s="281">
        <f t="shared" si="8"/>
        <v>0.02</v>
      </c>
      <c r="Y80" s="282">
        <f t="shared" si="37"/>
        <v>0.1</v>
      </c>
      <c r="AA80" s="391">
        <f t="shared" ca="1" si="28"/>
        <v>0</v>
      </c>
      <c r="AB80" s="400">
        <f t="shared" ca="1" si="9"/>
        <v>0</v>
      </c>
      <c r="AC80" s="258">
        <f t="shared" ca="1" si="76"/>
        <v>0</v>
      </c>
      <c r="AD80" s="258">
        <f t="shared" ca="1" si="77"/>
        <v>0</v>
      </c>
      <c r="AE80" s="402">
        <f t="shared" ca="1" si="78"/>
        <v>0</v>
      </c>
      <c r="AF80" s="402">
        <f t="shared" ca="1" si="79"/>
        <v>0</v>
      </c>
      <c r="AG80" s="404">
        <f t="shared" ca="1" si="29"/>
        <v>0</v>
      </c>
      <c r="AH80" s="415">
        <f t="shared" ca="1" si="30"/>
        <v>0</v>
      </c>
      <c r="AI80" s="415">
        <f t="shared" ca="1" si="38"/>
        <v>0</v>
      </c>
      <c r="AJ80" s="416">
        <f t="shared" ca="1" si="31"/>
        <v>0</v>
      </c>
      <c r="AK80" s="416">
        <f t="shared" ca="1" si="32"/>
        <v>0</v>
      </c>
      <c r="AL80" s="416">
        <v>0</v>
      </c>
      <c r="AM80" s="269">
        <f t="shared" ca="1" si="40"/>
        <v>0</v>
      </c>
      <c r="AN80" s="422">
        <f t="shared" ca="1" si="80"/>
        <v>18.66</v>
      </c>
      <c r="AO80" s="423">
        <f t="shared" ca="1" si="81"/>
        <v>26311205.816876858</v>
      </c>
      <c r="AP80" s="271">
        <f t="shared" ca="1" si="82"/>
        <v>0</v>
      </c>
      <c r="AQ80" s="271">
        <f t="shared" ca="1" si="83"/>
        <v>0</v>
      </c>
      <c r="AR80" s="271">
        <f t="shared" ca="1" si="84"/>
        <v>0</v>
      </c>
      <c r="AS80" s="271">
        <f t="shared" ca="1" si="85"/>
        <v>0</v>
      </c>
      <c r="AT80" s="271">
        <f t="shared" ca="1" si="86"/>
        <v>0.02</v>
      </c>
      <c r="AU80" s="278">
        <f t="shared" ca="1" si="87"/>
        <v>0.1</v>
      </c>
    </row>
    <row r="81" spans="2:47" ht="13.15" thickBot="1" x14ac:dyDescent="0.4">
      <c r="B81" s="18">
        <f t="shared" si="43"/>
        <v>62</v>
      </c>
      <c r="C81" s="85">
        <f t="shared" ca="1" si="68"/>
        <v>0</v>
      </c>
      <c r="D81" s="85">
        <f t="shared" ca="1" si="69"/>
        <v>0</v>
      </c>
      <c r="E81" s="84">
        <f t="shared" ca="1" si="70"/>
        <v>0</v>
      </c>
      <c r="F81" s="135">
        <f t="shared" ca="1" si="71"/>
        <v>0</v>
      </c>
      <c r="G81" s="409">
        <f t="shared" ca="1" si="65"/>
        <v>0</v>
      </c>
      <c r="H81" s="409">
        <f t="shared" ca="1" si="66"/>
        <v>0</v>
      </c>
      <c r="I81" s="275">
        <f t="shared" ca="1" si="72"/>
        <v>0</v>
      </c>
      <c r="J81" s="275">
        <f t="shared" ca="1" si="73"/>
        <v>0</v>
      </c>
      <c r="K81" s="137">
        <f t="shared" ca="1" si="74"/>
        <v>0</v>
      </c>
      <c r="L81" s="15" t="str">
        <f t="shared" ca="1" si="88"/>
        <v>F</v>
      </c>
      <c r="M81" s="88">
        <f t="shared" ca="1" si="88"/>
        <v>0</v>
      </c>
      <c r="N81" s="88">
        <f t="shared" ca="1" si="88"/>
        <v>0</v>
      </c>
      <c r="O81" s="432">
        <v>1000000000000000</v>
      </c>
      <c r="P81" s="69">
        <v>109575</v>
      </c>
      <c r="Q81" s="3">
        <f t="shared" si="75"/>
        <v>64597</v>
      </c>
      <c r="R81" s="107">
        <f t="shared" ca="1" si="41"/>
        <v>18.380000000000003</v>
      </c>
      <c r="S81" s="105">
        <f t="shared" ca="1" si="42"/>
        <v>25893685.458928723</v>
      </c>
      <c r="T81" s="341">
        <v>0</v>
      </c>
      <c r="U81" s="341">
        <v>0.11849999999999999</v>
      </c>
      <c r="V81" s="341">
        <v>0.11849999999999999</v>
      </c>
      <c r="W81" s="341">
        <v>0.11849999999999999</v>
      </c>
      <c r="X81" s="281">
        <f t="shared" si="8"/>
        <v>0.02</v>
      </c>
      <c r="Y81" s="282">
        <f t="shared" si="37"/>
        <v>0.1</v>
      </c>
      <c r="AA81" s="391">
        <f t="shared" ca="1" si="28"/>
        <v>0</v>
      </c>
      <c r="AB81" s="400">
        <f t="shared" ca="1" si="9"/>
        <v>0</v>
      </c>
      <c r="AC81" s="258">
        <f t="shared" ca="1" si="76"/>
        <v>0</v>
      </c>
      <c r="AD81" s="258">
        <f t="shared" ca="1" si="77"/>
        <v>0</v>
      </c>
      <c r="AE81" s="402">
        <f t="shared" ca="1" si="78"/>
        <v>0</v>
      </c>
      <c r="AF81" s="402">
        <f t="shared" ca="1" si="79"/>
        <v>0</v>
      </c>
      <c r="AG81" s="404">
        <f t="shared" ca="1" si="29"/>
        <v>0</v>
      </c>
      <c r="AH81" s="415">
        <f t="shared" ca="1" si="30"/>
        <v>0</v>
      </c>
      <c r="AI81" s="415">
        <f t="shared" ca="1" si="38"/>
        <v>0</v>
      </c>
      <c r="AJ81" s="416">
        <f t="shared" ca="1" si="31"/>
        <v>0</v>
      </c>
      <c r="AK81" s="416">
        <f t="shared" ca="1" si="32"/>
        <v>0</v>
      </c>
      <c r="AL81" s="416">
        <v>0</v>
      </c>
      <c r="AM81" s="269">
        <f t="shared" ca="1" si="40"/>
        <v>0</v>
      </c>
      <c r="AN81" s="422">
        <f t="shared" ca="1" si="80"/>
        <v>18.66</v>
      </c>
      <c r="AO81" s="423">
        <f t="shared" ca="1" si="81"/>
        <v>26311205.816876858</v>
      </c>
      <c r="AP81" s="271">
        <f t="shared" ca="1" si="82"/>
        <v>0</v>
      </c>
      <c r="AQ81" s="271">
        <f t="shared" ca="1" si="83"/>
        <v>0</v>
      </c>
      <c r="AR81" s="271">
        <f t="shared" ca="1" si="84"/>
        <v>0</v>
      </c>
      <c r="AS81" s="271">
        <f t="shared" ca="1" si="85"/>
        <v>0</v>
      </c>
      <c r="AT81" s="271">
        <f t="shared" ca="1" si="86"/>
        <v>0.02</v>
      </c>
      <c r="AU81" s="278">
        <f t="shared" ca="1" si="87"/>
        <v>0.1</v>
      </c>
    </row>
    <row r="82" spans="2:47" ht="13.15" thickBot="1" x14ac:dyDescent="0.4">
      <c r="B82" s="18">
        <f t="shared" si="43"/>
        <v>63</v>
      </c>
      <c r="C82" s="85">
        <f t="shared" ca="1" si="68"/>
        <v>0</v>
      </c>
      <c r="D82" s="85">
        <f t="shared" ca="1" si="69"/>
        <v>0</v>
      </c>
      <c r="E82" s="84">
        <f t="shared" ca="1" si="70"/>
        <v>0</v>
      </c>
      <c r="F82" s="135">
        <f t="shared" ca="1" si="71"/>
        <v>0</v>
      </c>
      <c r="G82" s="409">
        <f t="shared" ca="1" si="65"/>
        <v>0</v>
      </c>
      <c r="H82" s="409">
        <f t="shared" ca="1" si="66"/>
        <v>0</v>
      </c>
      <c r="I82" s="275">
        <f t="shared" ca="1" si="72"/>
        <v>0</v>
      </c>
      <c r="J82" s="275">
        <f t="shared" ca="1" si="73"/>
        <v>0</v>
      </c>
      <c r="K82" s="137">
        <f t="shared" ca="1" si="74"/>
        <v>0</v>
      </c>
      <c r="L82" s="15" t="str">
        <f t="shared" ca="1" si="88"/>
        <v>F</v>
      </c>
      <c r="M82" s="88">
        <f t="shared" ca="1" si="88"/>
        <v>0</v>
      </c>
      <c r="N82" s="88">
        <f t="shared" ca="1" si="88"/>
        <v>0</v>
      </c>
      <c r="O82" s="432">
        <v>1000000000000000</v>
      </c>
      <c r="P82" s="69">
        <v>109575</v>
      </c>
      <c r="Q82" s="3">
        <f t="shared" si="75"/>
        <v>64597</v>
      </c>
      <c r="R82" s="107">
        <f t="shared" ca="1" si="41"/>
        <v>18.380000000000003</v>
      </c>
      <c r="S82" s="105">
        <f t="shared" ca="1" si="42"/>
        <v>25893685.458928723</v>
      </c>
      <c r="T82" s="341">
        <v>0</v>
      </c>
      <c r="U82" s="341">
        <v>0.11849999999999999</v>
      </c>
      <c r="V82" s="341">
        <v>0.11849999999999999</v>
      </c>
      <c r="W82" s="341">
        <v>0.11849999999999999</v>
      </c>
      <c r="X82" s="281">
        <f t="shared" si="8"/>
        <v>0.02</v>
      </c>
      <c r="Y82" s="282">
        <f t="shared" si="37"/>
        <v>0.1</v>
      </c>
      <c r="AA82" s="391">
        <f t="shared" ca="1" si="28"/>
        <v>0</v>
      </c>
      <c r="AB82" s="400">
        <f t="shared" ca="1" si="9"/>
        <v>0</v>
      </c>
      <c r="AC82" s="258">
        <f t="shared" ca="1" si="76"/>
        <v>0</v>
      </c>
      <c r="AD82" s="258">
        <f t="shared" ca="1" si="77"/>
        <v>0</v>
      </c>
      <c r="AE82" s="402">
        <f t="shared" ca="1" si="78"/>
        <v>0</v>
      </c>
      <c r="AF82" s="402">
        <f t="shared" ca="1" si="79"/>
        <v>0</v>
      </c>
      <c r="AG82" s="404">
        <f t="shared" ca="1" si="29"/>
        <v>0</v>
      </c>
      <c r="AH82" s="415">
        <f t="shared" ca="1" si="30"/>
        <v>0</v>
      </c>
      <c r="AI82" s="415">
        <f t="shared" ca="1" si="38"/>
        <v>0</v>
      </c>
      <c r="AJ82" s="416">
        <f t="shared" ca="1" si="31"/>
        <v>0</v>
      </c>
      <c r="AK82" s="416">
        <f t="shared" ca="1" si="32"/>
        <v>0</v>
      </c>
      <c r="AL82" s="416">
        <v>0</v>
      </c>
      <c r="AM82" s="269">
        <f t="shared" ca="1" si="40"/>
        <v>0</v>
      </c>
      <c r="AN82" s="422">
        <f t="shared" ca="1" si="80"/>
        <v>18.66</v>
      </c>
      <c r="AO82" s="423">
        <f t="shared" ca="1" si="81"/>
        <v>26311205.816876858</v>
      </c>
      <c r="AP82" s="271">
        <f t="shared" ca="1" si="82"/>
        <v>0</v>
      </c>
      <c r="AQ82" s="271">
        <f t="shared" ca="1" si="83"/>
        <v>0</v>
      </c>
      <c r="AR82" s="271">
        <f t="shared" ca="1" si="84"/>
        <v>0</v>
      </c>
      <c r="AS82" s="271">
        <f t="shared" ca="1" si="85"/>
        <v>0</v>
      </c>
      <c r="AT82" s="271">
        <f t="shared" ca="1" si="86"/>
        <v>0.02</v>
      </c>
      <c r="AU82" s="278">
        <f t="shared" ca="1" si="87"/>
        <v>0.1</v>
      </c>
    </row>
    <row r="83" spans="2:47" ht="13.15" thickBot="1" x14ac:dyDescent="0.4">
      <c r="B83" s="18">
        <f t="shared" si="43"/>
        <v>64</v>
      </c>
      <c r="C83" s="85">
        <f t="shared" ca="1" si="68"/>
        <v>0</v>
      </c>
      <c r="D83" s="85">
        <f t="shared" ca="1" si="69"/>
        <v>0</v>
      </c>
      <c r="E83" s="84">
        <f t="shared" ca="1" si="70"/>
        <v>0</v>
      </c>
      <c r="F83" s="135">
        <f t="shared" ca="1" si="71"/>
        <v>0</v>
      </c>
      <c r="G83" s="409">
        <f t="shared" ca="1" si="65"/>
        <v>0</v>
      </c>
      <c r="H83" s="409">
        <f t="shared" ca="1" si="66"/>
        <v>0</v>
      </c>
      <c r="I83" s="275">
        <f t="shared" ca="1" si="72"/>
        <v>0</v>
      </c>
      <c r="J83" s="275">
        <f t="shared" ca="1" si="73"/>
        <v>0</v>
      </c>
      <c r="K83" s="137">
        <f t="shared" ca="1" si="74"/>
        <v>0</v>
      </c>
      <c r="L83" s="15" t="str">
        <f t="shared" ca="1" si="88"/>
        <v>F</v>
      </c>
      <c r="M83" s="88">
        <f t="shared" ca="1" si="88"/>
        <v>0</v>
      </c>
      <c r="N83" s="88">
        <f t="shared" ca="1" si="88"/>
        <v>0</v>
      </c>
      <c r="O83" s="432">
        <v>1000000000000000</v>
      </c>
      <c r="P83" s="69">
        <v>109575</v>
      </c>
      <c r="Q83" s="3">
        <f t="shared" si="75"/>
        <v>64597</v>
      </c>
      <c r="R83" s="107">
        <f t="shared" ca="1" si="41"/>
        <v>18.380000000000003</v>
      </c>
      <c r="S83" s="105">
        <f t="shared" ca="1" si="42"/>
        <v>25893685.458928723</v>
      </c>
      <c r="T83" s="341">
        <v>0</v>
      </c>
      <c r="U83" s="341">
        <v>0.11849999999999999</v>
      </c>
      <c r="V83" s="341">
        <v>0.11849999999999999</v>
      </c>
      <c r="W83" s="341">
        <v>0.11849999999999999</v>
      </c>
      <c r="X83" s="281">
        <f t="shared" si="8"/>
        <v>0.02</v>
      </c>
      <c r="Y83" s="282">
        <f t="shared" si="37"/>
        <v>0.1</v>
      </c>
      <c r="AA83" s="391">
        <f t="shared" ca="1" si="28"/>
        <v>0</v>
      </c>
      <c r="AB83" s="400">
        <f t="shared" ca="1" si="9"/>
        <v>0</v>
      </c>
      <c r="AC83" s="258">
        <f t="shared" ca="1" si="76"/>
        <v>0</v>
      </c>
      <c r="AD83" s="258">
        <f t="shared" ca="1" si="77"/>
        <v>0</v>
      </c>
      <c r="AE83" s="402">
        <f t="shared" ca="1" si="78"/>
        <v>0</v>
      </c>
      <c r="AF83" s="402">
        <f t="shared" ca="1" si="79"/>
        <v>0</v>
      </c>
      <c r="AG83" s="404">
        <f t="shared" ca="1" si="29"/>
        <v>0</v>
      </c>
      <c r="AH83" s="415">
        <f t="shared" ca="1" si="30"/>
        <v>0</v>
      </c>
      <c r="AI83" s="415">
        <f t="shared" ca="1" si="38"/>
        <v>0</v>
      </c>
      <c r="AJ83" s="416">
        <f t="shared" ca="1" si="31"/>
        <v>0</v>
      </c>
      <c r="AK83" s="416">
        <f t="shared" ca="1" si="32"/>
        <v>0</v>
      </c>
      <c r="AL83" s="416">
        <v>0</v>
      </c>
      <c r="AM83" s="269">
        <f t="shared" ca="1" si="40"/>
        <v>0</v>
      </c>
      <c r="AN83" s="422">
        <f t="shared" ca="1" si="80"/>
        <v>18.66</v>
      </c>
      <c r="AO83" s="423">
        <f t="shared" ca="1" si="81"/>
        <v>26311205.816876858</v>
      </c>
      <c r="AP83" s="271">
        <f t="shared" ca="1" si="82"/>
        <v>0</v>
      </c>
      <c r="AQ83" s="271">
        <f t="shared" ca="1" si="83"/>
        <v>0</v>
      </c>
      <c r="AR83" s="271">
        <f t="shared" ca="1" si="84"/>
        <v>0</v>
      </c>
      <c r="AS83" s="271">
        <f t="shared" ca="1" si="85"/>
        <v>0</v>
      </c>
      <c r="AT83" s="271">
        <f t="shared" ca="1" si="86"/>
        <v>0.02</v>
      </c>
      <c r="AU83" s="278">
        <f t="shared" ca="1" si="87"/>
        <v>0.1</v>
      </c>
    </row>
    <row r="84" spans="2:47" ht="13.15" thickBot="1" x14ac:dyDescent="0.4">
      <c r="B84" s="18">
        <f t="shared" si="43"/>
        <v>65</v>
      </c>
      <c r="C84" s="85">
        <f t="shared" ca="1" si="68"/>
        <v>0</v>
      </c>
      <c r="D84" s="85">
        <f t="shared" ca="1" si="69"/>
        <v>0</v>
      </c>
      <c r="E84" s="84">
        <f t="shared" ca="1" si="70"/>
        <v>0</v>
      </c>
      <c r="F84" s="135">
        <f t="shared" ca="1" si="71"/>
        <v>0</v>
      </c>
      <c r="G84" s="409">
        <f t="shared" ref="G84:G110" ca="1" si="89">BSGamma(L84,1/S84,1/O84,Q84,X84,Y84,T84)*N84</f>
        <v>0</v>
      </c>
      <c r="H84" s="409">
        <f t="shared" ref="H84:H110" ca="1" si="90">BSVega(L84,1/S84,1/O84,Q84,X84,Y84,T84)*N84*1000000</f>
        <v>0</v>
      </c>
      <c r="I84" s="275">
        <f t="shared" ca="1" si="72"/>
        <v>0</v>
      </c>
      <c r="J84" s="275">
        <f t="shared" ca="1" si="73"/>
        <v>0</v>
      </c>
      <c r="K84" s="137">
        <f t="shared" ca="1" si="74"/>
        <v>0</v>
      </c>
      <c r="L84" s="15" t="str">
        <f t="shared" ca="1" si="88"/>
        <v>F</v>
      </c>
      <c r="M84" s="88">
        <f t="shared" ca="1" si="88"/>
        <v>0</v>
      </c>
      <c r="N84" s="88">
        <f t="shared" ca="1" si="88"/>
        <v>0</v>
      </c>
      <c r="O84" s="432">
        <v>1000000000000000</v>
      </c>
      <c r="P84" s="69">
        <v>109575</v>
      </c>
      <c r="Q84" s="3">
        <f t="shared" si="75"/>
        <v>64597</v>
      </c>
      <c r="R84" s="107">
        <f t="shared" ca="1" si="41"/>
        <v>18.380000000000003</v>
      </c>
      <c r="S84" s="105">
        <f t="shared" ca="1" si="42"/>
        <v>25893685.458928723</v>
      </c>
      <c r="T84" s="341">
        <v>0</v>
      </c>
      <c r="U84" s="341">
        <v>0.11849999999999999</v>
      </c>
      <c r="V84" s="341">
        <v>0.11849999999999999</v>
      </c>
      <c r="W84" s="341">
        <v>0.11849999999999999</v>
      </c>
      <c r="X84" s="281">
        <f t="shared" ref="X84:X110" si="91">$I$10</f>
        <v>0.02</v>
      </c>
      <c r="Y84" s="282">
        <f t="shared" si="37"/>
        <v>0.1</v>
      </c>
      <c r="AA84" s="391">
        <f t="shared" ca="1" si="28"/>
        <v>0</v>
      </c>
      <c r="AB84" s="400">
        <f t="shared" ca="1" si="28"/>
        <v>0</v>
      </c>
      <c r="AC84" s="258">
        <f t="shared" ca="1" si="76"/>
        <v>0</v>
      </c>
      <c r="AD84" s="258">
        <f t="shared" ca="1" si="77"/>
        <v>0</v>
      </c>
      <c r="AE84" s="402">
        <f t="shared" ca="1" si="78"/>
        <v>0</v>
      </c>
      <c r="AF84" s="402">
        <f t="shared" ca="1" si="79"/>
        <v>0</v>
      </c>
      <c r="AG84" s="404">
        <f t="shared" ca="1" si="29"/>
        <v>0</v>
      </c>
      <c r="AH84" s="415">
        <f t="shared" ca="1" si="30"/>
        <v>0</v>
      </c>
      <c r="AI84" s="415">
        <f t="shared" ca="1" si="38"/>
        <v>0</v>
      </c>
      <c r="AJ84" s="416">
        <f t="shared" ca="1" si="31"/>
        <v>0</v>
      </c>
      <c r="AK84" s="416">
        <f t="shared" ca="1" si="32"/>
        <v>0</v>
      </c>
      <c r="AL84" s="416">
        <v>0</v>
      </c>
      <c r="AM84" s="269">
        <f t="shared" ca="1" si="40"/>
        <v>0</v>
      </c>
      <c r="AN84" s="422">
        <f t="shared" ca="1" si="80"/>
        <v>18.66</v>
      </c>
      <c r="AO84" s="423">
        <f t="shared" ca="1" si="81"/>
        <v>26311205.816876858</v>
      </c>
      <c r="AP84" s="271">
        <f t="shared" ca="1" si="82"/>
        <v>0</v>
      </c>
      <c r="AQ84" s="271">
        <f t="shared" ca="1" si="83"/>
        <v>0</v>
      </c>
      <c r="AR84" s="271">
        <f t="shared" ca="1" si="84"/>
        <v>0</v>
      </c>
      <c r="AS84" s="271">
        <f t="shared" ca="1" si="85"/>
        <v>0</v>
      </c>
      <c r="AT84" s="271">
        <f t="shared" ca="1" si="86"/>
        <v>0.02</v>
      </c>
      <c r="AU84" s="278">
        <f t="shared" ca="1" si="87"/>
        <v>0.1</v>
      </c>
    </row>
    <row r="85" spans="2:47" ht="13.15" thickBot="1" x14ac:dyDescent="0.4">
      <c r="B85" s="18">
        <f t="shared" si="43"/>
        <v>66</v>
      </c>
      <c r="C85" s="85">
        <f t="shared" ca="1" si="68"/>
        <v>0</v>
      </c>
      <c r="D85" s="85">
        <f t="shared" ca="1" si="69"/>
        <v>0</v>
      </c>
      <c r="E85" s="84">
        <f t="shared" ca="1" si="70"/>
        <v>0</v>
      </c>
      <c r="F85" s="135">
        <f t="shared" ca="1" si="71"/>
        <v>0</v>
      </c>
      <c r="G85" s="409">
        <f t="shared" ca="1" si="89"/>
        <v>0</v>
      </c>
      <c r="H85" s="409">
        <f t="shared" ca="1" si="90"/>
        <v>0</v>
      </c>
      <c r="I85" s="275">
        <f t="shared" ca="1" si="72"/>
        <v>0</v>
      </c>
      <c r="J85" s="275">
        <f t="shared" ca="1" si="73"/>
        <v>0</v>
      </c>
      <c r="K85" s="137">
        <f t="shared" ca="1" si="74"/>
        <v>0</v>
      </c>
      <c r="L85" s="15" t="str">
        <f t="shared" ca="1" si="88"/>
        <v>F</v>
      </c>
      <c r="M85" s="88">
        <f t="shared" ca="1" si="88"/>
        <v>0</v>
      </c>
      <c r="N85" s="88">
        <f t="shared" ca="1" si="88"/>
        <v>0</v>
      </c>
      <c r="O85" s="432">
        <v>1000000000000000</v>
      </c>
      <c r="P85" s="69">
        <v>109575</v>
      </c>
      <c r="Q85" s="3">
        <f t="shared" si="75"/>
        <v>64597</v>
      </c>
      <c r="R85" s="107">
        <f t="shared" ca="1" si="41"/>
        <v>18.380000000000003</v>
      </c>
      <c r="S85" s="105">
        <f t="shared" ca="1" si="42"/>
        <v>25893685.458928723</v>
      </c>
      <c r="T85" s="341">
        <v>0</v>
      </c>
      <c r="U85" s="341">
        <v>0.11849999999999999</v>
      </c>
      <c r="V85" s="341">
        <v>0.11849999999999999</v>
      </c>
      <c r="W85" s="341">
        <v>0.11849999999999999</v>
      </c>
      <c r="X85" s="281">
        <f t="shared" si="91"/>
        <v>0.02</v>
      </c>
      <c r="Y85" s="282">
        <f t="shared" si="37"/>
        <v>0.1</v>
      </c>
      <c r="AA85" s="391">
        <f t="shared" ref="AA85:AB110" ca="1" si="92">INDIRECT("'"&amp; $AB$16 &amp;"'!"&amp; ADDRESS(ROW(E85),COLUMN(E85),4))</f>
        <v>0</v>
      </c>
      <c r="AB85" s="400">
        <f t="shared" ca="1" si="92"/>
        <v>0</v>
      </c>
      <c r="AC85" s="258">
        <f t="shared" ca="1" si="76"/>
        <v>0</v>
      </c>
      <c r="AD85" s="258">
        <f t="shared" ca="1" si="77"/>
        <v>0</v>
      </c>
      <c r="AE85" s="402">
        <f t="shared" ca="1" si="78"/>
        <v>0</v>
      </c>
      <c r="AF85" s="402">
        <f t="shared" ca="1" si="79"/>
        <v>0</v>
      </c>
      <c r="AG85" s="404">
        <f t="shared" ref="AG85:AG110" ca="1" si="93">AB85*((1/R85)-(1/AN85))*1000000</f>
        <v>0</v>
      </c>
      <c r="AH85" s="415">
        <f t="shared" ref="AH85:AH110" ca="1" si="94">0.5*AC85*((1/R85)-(1/AN85))^2*1000000</f>
        <v>0</v>
      </c>
      <c r="AI85" s="415">
        <f t="shared" ca="1" si="38"/>
        <v>0</v>
      </c>
      <c r="AJ85" s="416">
        <f t="shared" ref="AJ85:AJ110" ca="1" si="95">(AE85*(X85-AT85))/0.01%</f>
        <v>0</v>
      </c>
      <c r="AK85" s="416">
        <f t="shared" ref="AK85:AK110" ca="1" si="96">(AF85*(Y85-AU85))/0.01%</f>
        <v>0</v>
      </c>
      <c r="AL85" s="416">
        <v>0</v>
      </c>
      <c r="AM85" s="269">
        <f t="shared" ca="1" si="40"/>
        <v>0</v>
      </c>
      <c r="AN85" s="422">
        <f t="shared" ca="1" si="80"/>
        <v>18.66</v>
      </c>
      <c r="AO85" s="423">
        <f t="shared" ca="1" si="81"/>
        <v>26311205.816876858</v>
      </c>
      <c r="AP85" s="271">
        <f t="shared" ca="1" si="82"/>
        <v>0</v>
      </c>
      <c r="AQ85" s="271">
        <f t="shared" ca="1" si="83"/>
        <v>0</v>
      </c>
      <c r="AR85" s="271">
        <f t="shared" ca="1" si="84"/>
        <v>0</v>
      </c>
      <c r="AS85" s="271">
        <f t="shared" ca="1" si="85"/>
        <v>0</v>
      </c>
      <c r="AT85" s="271">
        <f t="shared" ca="1" si="86"/>
        <v>0.02</v>
      </c>
      <c r="AU85" s="278">
        <f t="shared" ca="1" si="87"/>
        <v>0.1</v>
      </c>
    </row>
    <row r="86" spans="2:47" ht="13.15" thickBot="1" x14ac:dyDescent="0.4">
      <c r="B86" s="18">
        <f t="shared" si="43"/>
        <v>67</v>
      </c>
      <c r="C86" s="85">
        <f t="shared" ca="1" si="68"/>
        <v>0</v>
      </c>
      <c r="D86" s="85">
        <f t="shared" ca="1" si="69"/>
        <v>0</v>
      </c>
      <c r="E86" s="84">
        <f t="shared" ca="1" si="70"/>
        <v>0</v>
      </c>
      <c r="F86" s="135">
        <f t="shared" ca="1" si="71"/>
        <v>0</v>
      </c>
      <c r="G86" s="409">
        <f t="shared" ca="1" si="89"/>
        <v>0</v>
      </c>
      <c r="H86" s="409">
        <f t="shared" ca="1" si="90"/>
        <v>0</v>
      </c>
      <c r="I86" s="275">
        <f t="shared" ca="1" si="72"/>
        <v>0</v>
      </c>
      <c r="J86" s="275">
        <f t="shared" ca="1" si="73"/>
        <v>0</v>
      </c>
      <c r="K86" s="137">
        <f t="shared" ca="1" si="74"/>
        <v>0</v>
      </c>
      <c r="L86" s="15" t="str">
        <f t="shared" ca="1" si="88"/>
        <v>F</v>
      </c>
      <c r="M86" s="88">
        <f t="shared" ca="1" si="88"/>
        <v>0</v>
      </c>
      <c r="N86" s="88">
        <f t="shared" ca="1" si="88"/>
        <v>0</v>
      </c>
      <c r="O86" s="432">
        <v>1000000000000000</v>
      </c>
      <c r="P86" s="69">
        <v>109575</v>
      </c>
      <c r="Q86" s="3">
        <f t="shared" si="75"/>
        <v>64597</v>
      </c>
      <c r="R86" s="107">
        <f t="shared" ca="1" si="41"/>
        <v>18.380000000000003</v>
      </c>
      <c r="S86" s="105">
        <f t="shared" ca="1" si="42"/>
        <v>25893685.458928723</v>
      </c>
      <c r="T86" s="341">
        <v>0</v>
      </c>
      <c r="U86" s="341">
        <v>0.11849999999999999</v>
      </c>
      <c r="V86" s="341">
        <v>0.11849999999999999</v>
      </c>
      <c r="W86" s="341">
        <v>0.11849999999999999</v>
      </c>
      <c r="X86" s="281">
        <f t="shared" si="91"/>
        <v>0.02</v>
      </c>
      <c r="Y86" s="282">
        <f t="shared" ref="Y86:Y110" si="97">Y85</f>
        <v>0.1</v>
      </c>
      <c r="AA86" s="391">
        <f t="shared" ca="1" si="92"/>
        <v>0</v>
      </c>
      <c r="AB86" s="400">
        <f t="shared" ca="1" si="92"/>
        <v>0</v>
      </c>
      <c r="AC86" s="258">
        <f t="shared" ca="1" si="76"/>
        <v>0</v>
      </c>
      <c r="AD86" s="258">
        <f t="shared" ca="1" si="77"/>
        <v>0</v>
      </c>
      <c r="AE86" s="402">
        <f t="shared" ca="1" si="78"/>
        <v>0</v>
      </c>
      <c r="AF86" s="402">
        <f t="shared" ca="1" si="79"/>
        <v>0</v>
      </c>
      <c r="AG86" s="404">
        <f t="shared" ca="1" si="93"/>
        <v>0</v>
      </c>
      <c r="AH86" s="415">
        <f t="shared" ca="1" si="94"/>
        <v>0</v>
      </c>
      <c r="AI86" s="415">
        <f t="shared" ref="AI86:AI110" ca="1" si="98">AD86*(T86-AP86)</f>
        <v>0</v>
      </c>
      <c r="AJ86" s="416">
        <f t="shared" ca="1" si="95"/>
        <v>0</v>
      </c>
      <c r="AK86" s="416">
        <f t="shared" ca="1" si="96"/>
        <v>0</v>
      </c>
      <c r="AL86" s="416">
        <v>0</v>
      </c>
      <c r="AM86" s="269">
        <f t="shared" ca="1" si="40"/>
        <v>0</v>
      </c>
      <c r="AN86" s="422">
        <f t="shared" ca="1" si="80"/>
        <v>18.66</v>
      </c>
      <c r="AO86" s="423">
        <f t="shared" ca="1" si="81"/>
        <v>26311205.816876858</v>
      </c>
      <c r="AP86" s="271">
        <f t="shared" ca="1" si="82"/>
        <v>0</v>
      </c>
      <c r="AQ86" s="271">
        <f t="shared" ca="1" si="83"/>
        <v>0</v>
      </c>
      <c r="AR86" s="271">
        <f t="shared" ca="1" si="84"/>
        <v>0</v>
      </c>
      <c r="AS86" s="271">
        <f t="shared" ca="1" si="85"/>
        <v>0</v>
      </c>
      <c r="AT86" s="271">
        <f t="shared" ca="1" si="86"/>
        <v>0.02</v>
      </c>
      <c r="AU86" s="278">
        <f t="shared" ca="1" si="87"/>
        <v>0.1</v>
      </c>
    </row>
    <row r="87" spans="2:47" ht="13.15" thickBot="1" x14ac:dyDescent="0.4">
      <c r="B87" s="18">
        <f t="shared" si="43"/>
        <v>68</v>
      </c>
      <c r="C87" s="85">
        <f t="shared" ca="1" si="68"/>
        <v>0</v>
      </c>
      <c r="D87" s="85">
        <f t="shared" ca="1" si="69"/>
        <v>0</v>
      </c>
      <c r="E87" s="84">
        <f t="shared" ca="1" si="70"/>
        <v>0</v>
      </c>
      <c r="F87" s="135">
        <f t="shared" ca="1" si="71"/>
        <v>0</v>
      </c>
      <c r="G87" s="409">
        <f t="shared" ca="1" si="89"/>
        <v>0</v>
      </c>
      <c r="H87" s="409">
        <f t="shared" ca="1" si="90"/>
        <v>0</v>
      </c>
      <c r="I87" s="275">
        <f t="shared" ca="1" si="72"/>
        <v>0</v>
      </c>
      <c r="J87" s="275">
        <f t="shared" ca="1" si="73"/>
        <v>0</v>
      </c>
      <c r="K87" s="137">
        <f t="shared" ca="1" si="74"/>
        <v>0</v>
      </c>
      <c r="L87" s="15" t="str">
        <f t="shared" ca="1" si="88"/>
        <v>F</v>
      </c>
      <c r="M87" s="88">
        <f t="shared" ca="1" si="88"/>
        <v>0</v>
      </c>
      <c r="N87" s="88">
        <f t="shared" ca="1" si="88"/>
        <v>0</v>
      </c>
      <c r="O87" s="432">
        <v>1000000000000000</v>
      </c>
      <c r="P87" s="69">
        <v>109575</v>
      </c>
      <c r="Q87" s="3">
        <f t="shared" si="75"/>
        <v>64597</v>
      </c>
      <c r="R87" s="107">
        <f t="shared" ca="1" si="41"/>
        <v>18.380000000000003</v>
      </c>
      <c r="S87" s="105">
        <f t="shared" ca="1" si="42"/>
        <v>25893685.458928723</v>
      </c>
      <c r="T87" s="341">
        <v>0</v>
      </c>
      <c r="U87" s="341">
        <v>0.11849999999999999</v>
      </c>
      <c r="V87" s="341">
        <v>0.11849999999999999</v>
      </c>
      <c r="W87" s="341">
        <v>0.11849999999999999</v>
      </c>
      <c r="X87" s="281">
        <f t="shared" si="91"/>
        <v>0.02</v>
      </c>
      <c r="Y87" s="282">
        <f t="shared" si="97"/>
        <v>0.1</v>
      </c>
      <c r="AA87" s="391">
        <f t="shared" ca="1" si="92"/>
        <v>0</v>
      </c>
      <c r="AB87" s="400">
        <f t="shared" ca="1" si="92"/>
        <v>0</v>
      </c>
      <c r="AC87" s="258">
        <f t="shared" ca="1" si="76"/>
        <v>0</v>
      </c>
      <c r="AD87" s="258">
        <f t="shared" ca="1" si="77"/>
        <v>0</v>
      </c>
      <c r="AE87" s="402">
        <f t="shared" ca="1" si="78"/>
        <v>0</v>
      </c>
      <c r="AF87" s="402">
        <f t="shared" ca="1" si="79"/>
        <v>0</v>
      </c>
      <c r="AG87" s="404">
        <f t="shared" ca="1" si="93"/>
        <v>0</v>
      </c>
      <c r="AH87" s="415">
        <f t="shared" ca="1" si="94"/>
        <v>0</v>
      </c>
      <c r="AI87" s="415">
        <f t="shared" ca="1" si="98"/>
        <v>0</v>
      </c>
      <c r="AJ87" s="416">
        <f t="shared" ca="1" si="95"/>
        <v>0</v>
      </c>
      <c r="AK87" s="416">
        <f t="shared" ca="1" si="96"/>
        <v>0</v>
      </c>
      <c r="AL87" s="416">
        <v>0</v>
      </c>
      <c r="AM87" s="269">
        <f t="shared" ref="AM87:AM110" ca="1" si="99">SUM(AG87:AL87)</f>
        <v>0</v>
      </c>
      <c r="AN87" s="422">
        <f t="shared" ca="1" si="80"/>
        <v>18.66</v>
      </c>
      <c r="AO87" s="423">
        <f t="shared" ca="1" si="81"/>
        <v>26311205.816876858</v>
      </c>
      <c r="AP87" s="271">
        <f t="shared" ca="1" si="82"/>
        <v>0</v>
      </c>
      <c r="AQ87" s="271">
        <f t="shared" ca="1" si="83"/>
        <v>0</v>
      </c>
      <c r="AR87" s="271">
        <f t="shared" ca="1" si="84"/>
        <v>0</v>
      </c>
      <c r="AS87" s="271">
        <f t="shared" ca="1" si="85"/>
        <v>0</v>
      </c>
      <c r="AT87" s="271">
        <f t="shared" ca="1" si="86"/>
        <v>0.02</v>
      </c>
      <c r="AU87" s="278">
        <f t="shared" ca="1" si="87"/>
        <v>0.1</v>
      </c>
    </row>
    <row r="88" spans="2:47" ht="13.15" thickBot="1" x14ac:dyDescent="0.4">
      <c r="B88" s="18">
        <f t="shared" si="43"/>
        <v>69</v>
      </c>
      <c r="C88" s="85">
        <f t="shared" ca="1" si="68"/>
        <v>0</v>
      </c>
      <c r="D88" s="85">
        <f t="shared" ca="1" si="69"/>
        <v>0</v>
      </c>
      <c r="E88" s="84">
        <f t="shared" ca="1" si="70"/>
        <v>0</v>
      </c>
      <c r="F88" s="135">
        <f t="shared" ca="1" si="71"/>
        <v>0</v>
      </c>
      <c r="G88" s="409">
        <f t="shared" ca="1" si="89"/>
        <v>0</v>
      </c>
      <c r="H88" s="409">
        <f t="shared" ca="1" si="90"/>
        <v>0</v>
      </c>
      <c r="I88" s="275">
        <f t="shared" ca="1" si="72"/>
        <v>0</v>
      </c>
      <c r="J88" s="275">
        <f t="shared" ca="1" si="73"/>
        <v>0</v>
      </c>
      <c r="K88" s="137">
        <f t="shared" ca="1" si="74"/>
        <v>0</v>
      </c>
      <c r="L88" s="15" t="str">
        <f t="shared" ca="1" si="88"/>
        <v>F</v>
      </c>
      <c r="M88" s="88">
        <f t="shared" ca="1" si="88"/>
        <v>0</v>
      </c>
      <c r="N88" s="88">
        <f t="shared" ca="1" si="88"/>
        <v>0</v>
      </c>
      <c r="O88" s="432">
        <v>1000000000000000</v>
      </c>
      <c r="P88" s="69">
        <v>109575</v>
      </c>
      <c r="Q88" s="3">
        <f t="shared" si="75"/>
        <v>64597</v>
      </c>
      <c r="R88" s="107">
        <f t="shared" ca="1" si="41"/>
        <v>18.380000000000003</v>
      </c>
      <c r="S88" s="105">
        <f t="shared" ca="1" si="42"/>
        <v>25893685.458928723</v>
      </c>
      <c r="T88" s="341">
        <v>0</v>
      </c>
      <c r="U88" s="341">
        <v>0.11849999999999999</v>
      </c>
      <c r="V88" s="341">
        <v>0.11849999999999999</v>
      </c>
      <c r="W88" s="341">
        <v>0.11849999999999999</v>
      </c>
      <c r="X88" s="281">
        <f t="shared" si="91"/>
        <v>0.02</v>
      </c>
      <c r="Y88" s="282">
        <f t="shared" si="97"/>
        <v>0.1</v>
      </c>
      <c r="AA88" s="391">
        <f t="shared" ca="1" si="92"/>
        <v>0</v>
      </c>
      <c r="AB88" s="400">
        <f t="shared" ca="1" si="92"/>
        <v>0</v>
      </c>
      <c r="AC88" s="258">
        <f t="shared" ca="1" si="76"/>
        <v>0</v>
      </c>
      <c r="AD88" s="258">
        <f t="shared" ca="1" si="77"/>
        <v>0</v>
      </c>
      <c r="AE88" s="402">
        <f t="shared" ca="1" si="78"/>
        <v>0</v>
      </c>
      <c r="AF88" s="402">
        <f t="shared" ca="1" si="79"/>
        <v>0</v>
      </c>
      <c r="AG88" s="404">
        <f t="shared" ca="1" si="93"/>
        <v>0</v>
      </c>
      <c r="AH88" s="415">
        <f t="shared" ca="1" si="94"/>
        <v>0</v>
      </c>
      <c r="AI88" s="415">
        <f t="shared" ca="1" si="98"/>
        <v>0</v>
      </c>
      <c r="AJ88" s="416">
        <f t="shared" ca="1" si="95"/>
        <v>0</v>
      </c>
      <c r="AK88" s="416">
        <f t="shared" ca="1" si="96"/>
        <v>0</v>
      </c>
      <c r="AL88" s="416">
        <v>0</v>
      </c>
      <c r="AM88" s="269">
        <f t="shared" ca="1" si="99"/>
        <v>0</v>
      </c>
      <c r="AN88" s="422">
        <f t="shared" ca="1" si="80"/>
        <v>18.66</v>
      </c>
      <c r="AO88" s="423">
        <f t="shared" ca="1" si="81"/>
        <v>26311205.816876858</v>
      </c>
      <c r="AP88" s="271">
        <f t="shared" ca="1" si="82"/>
        <v>0</v>
      </c>
      <c r="AQ88" s="271">
        <f t="shared" ca="1" si="83"/>
        <v>0</v>
      </c>
      <c r="AR88" s="271">
        <f t="shared" ca="1" si="84"/>
        <v>0</v>
      </c>
      <c r="AS88" s="271">
        <f t="shared" ca="1" si="85"/>
        <v>0</v>
      </c>
      <c r="AT88" s="271">
        <f t="shared" ca="1" si="86"/>
        <v>0.02</v>
      </c>
      <c r="AU88" s="278">
        <f t="shared" ca="1" si="87"/>
        <v>0.1</v>
      </c>
    </row>
    <row r="89" spans="2:47" ht="13.15" thickBot="1" x14ac:dyDescent="0.4">
      <c r="B89" s="18">
        <f t="shared" si="43"/>
        <v>70</v>
      </c>
      <c r="C89" s="85">
        <f t="shared" ca="1" si="68"/>
        <v>0</v>
      </c>
      <c r="D89" s="85">
        <f t="shared" ca="1" si="69"/>
        <v>0</v>
      </c>
      <c r="E89" s="84">
        <f t="shared" ca="1" si="70"/>
        <v>0</v>
      </c>
      <c r="F89" s="135">
        <f t="shared" ca="1" si="71"/>
        <v>0</v>
      </c>
      <c r="G89" s="409">
        <f t="shared" ca="1" si="89"/>
        <v>0</v>
      </c>
      <c r="H89" s="409">
        <f t="shared" ca="1" si="90"/>
        <v>0</v>
      </c>
      <c r="I89" s="275">
        <f t="shared" ca="1" si="72"/>
        <v>0</v>
      </c>
      <c r="J89" s="275">
        <f t="shared" ca="1" si="73"/>
        <v>0</v>
      </c>
      <c r="K89" s="137">
        <f t="shared" ca="1" si="74"/>
        <v>0</v>
      </c>
      <c r="L89" s="15" t="str">
        <f t="shared" ca="1" si="88"/>
        <v>F</v>
      </c>
      <c r="M89" s="88">
        <f t="shared" ca="1" si="88"/>
        <v>0</v>
      </c>
      <c r="N89" s="88">
        <f t="shared" ca="1" si="88"/>
        <v>0</v>
      </c>
      <c r="O89" s="432">
        <v>1000000000000000</v>
      </c>
      <c r="P89" s="69">
        <v>109575</v>
      </c>
      <c r="Q89" s="3">
        <f t="shared" si="75"/>
        <v>64597</v>
      </c>
      <c r="R89" s="107">
        <f t="shared" ca="1" si="41"/>
        <v>18.380000000000003</v>
      </c>
      <c r="S89" s="105">
        <f t="shared" ca="1" si="42"/>
        <v>25893685.458928723</v>
      </c>
      <c r="T89" s="341">
        <v>0</v>
      </c>
      <c r="U89" s="341">
        <v>0.11849999999999999</v>
      </c>
      <c r="V89" s="341">
        <v>0.11849999999999999</v>
      </c>
      <c r="W89" s="341">
        <v>0.11849999999999999</v>
      </c>
      <c r="X89" s="281">
        <f t="shared" si="91"/>
        <v>0.02</v>
      </c>
      <c r="Y89" s="282">
        <f t="shared" si="97"/>
        <v>0.1</v>
      </c>
      <c r="AA89" s="391">
        <f t="shared" ca="1" si="92"/>
        <v>0</v>
      </c>
      <c r="AB89" s="400">
        <f t="shared" ca="1" si="92"/>
        <v>0</v>
      </c>
      <c r="AC89" s="258">
        <f t="shared" ca="1" si="76"/>
        <v>0</v>
      </c>
      <c r="AD89" s="258">
        <f t="shared" ca="1" si="77"/>
        <v>0</v>
      </c>
      <c r="AE89" s="402">
        <f t="shared" ca="1" si="78"/>
        <v>0</v>
      </c>
      <c r="AF89" s="402">
        <f t="shared" ca="1" si="79"/>
        <v>0</v>
      </c>
      <c r="AG89" s="404">
        <f t="shared" ca="1" si="93"/>
        <v>0</v>
      </c>
      <c r="AH89" s="415">
        <f t="shared" ca="1" si="94"/>
        <v>0</v>
      </c>
      <c r="AI89" s="415">
        <f t="shared" ca="1" si="98"/>
        <v>0</v>
      </c>
      <c r="AJ89" s="416">
        <f t="shared" ca="1" si="95"/>
        <v>0</v>
      </c>
      <c r="AK89" s="416">
        <f t="shared" ca="1" si="96"/>
        <v>0</v>
      </c>
      <c r="AL89" s="416">
        <v>0</v>
      </c>
      <c r="AM89" s="269">
        <f t="shared" ca="1" si="99"/>
        <v>0</v>
      </c>
      <c r="AN89" s="422">
        <f t="shared" ca="1" si="80"/>
        <v>18.66</v>
      </c>
      <c r="AO89" s="423">
        <f t="shared" ca="1" si="81"/>
        <v>26311205.816876858</v>
      </c>
      <c r="AP89" s="271">
        <f t="shared" ca="1" si="82"/>
        <v>0</v>
      </c>
      <c r="AQ89" s="271">
        <f t="shared" ca="1" si="83"/>
        <v>0</v>
      </c>
      <c r="AR89" s="271">
        <f t="shared" ca="1" si="84"/>
        <v>0</v>
      </c>
      <c r="AS89" s="271">
        <f t="shared" ca="1" si="85"/>
        <v>0</v>
      </c>
      <c r="AT89" s="271">
        <f t="shared" ca="1" si="86"/>
        <v>0.02</v>
      </c>
      <c r="AU89" s="278">
        <f t="shared" ca="1" si="87"/>
        <v>0.1</v>
      </c>
    </row>
    <row r="90" spans="2:47" ht="13.15" thickBot="1" x14ac:dyDescent="0.4">
      <c r="B90" s="18">
        <f t="shared" si="43"/>
        <v>71</v>
      </c>
      <c r="C90" s="85">
        <f t="shared" ca="1" si="68"/>
        <v>0</v>
      </c>
      <c r="D90" s="85">
        <f t="shared" ca="1" si="69"/>
        <v>0</v>
      </c>
      <c r="E90" s="84">
        <f t="shared" ca="1" si="70"/>
        <v>0</v>
      </c>
      <c r="F90" s="135">
        <f t="shared" ca="1" si="71"/>
        <v>0</v>
      </c>
      <c r="G90" s="409">
        <f t="shared" ca="1" si="89"/>
        <v>0</v>
      </c>
      <c r="H90" s="409">
        <f t="shared" ca="1" si="90"/>
        <v>0</v>
      </c>
      <c r="I90" s="275">
        <f t="shared" ca="1" si="72"/>
        <v>0</v>
      </c>
      <c r="J90" s="275">
        <f t="shared" ca="1" si="73"/>
        <v>0</v>
      </c>
      <c r="K90" s="137">
        <f t="shared" ca="1" si="74"/>
        <v>0</v>
      </c>
      <c r="L90" s="15" t="str">
        <f t="shared" ca="1" si="88"/>
        <v>F</v>
      </c>
      <c r="M90" s="88">
        <f t="shared" ca="1" si="88"/>
        <v>0</v>
      </c>
      <c r="N90" s="88">
        <f t="shared" ca="1" si="88"/>
        <v>0</v>
      </c>
      <c r="O90" s="432">
        <v>1000000000000000</v>
      </c>
      <c r="P90" s="69">
        <v>109575</v>
      </c>
      <c r="Q90" s="3">
        <f t="shared" si="75"/>
        <v>64597</v>
      </c>
      <c r="R90" s="107">
        <f t="shared" ca="1" si="41"/>
        <v>18.380000000000003</v>
      </c>
      <c r="S90" s="105">
        <f t="shared" ca="1" si="42"/>
        <v>25893685.458928723</v>
      </c>
      <c r="T90" s="341">
        <v>0</v>
      </c>
      <c r="U90" s="341">
        <v>0.11849999999999999</v>
      </c>
      <c r="V90" s="341">
        <v>0.11849999999999999</v>
      </c>
      <c r="W90" s="341">
        <v>0.11849999999999999</v>
      </c>
      <c r="X90" s="281">
        <f t="shared" si="91"/>
        <v>0.02</v>
      </c>
      <c r="Y90" s="282">
        <f t="shared" si="97"/>
        <v>0.1</v>
      </c>
      <c r="AA90" s="391">
        <f t="shared" ca="1" si="92"/>
        <v>0</v>
      </c>
      <c r="AB90" s="400">
        <f t="shared" ca="1" si="92"/>
        <v>0</v>
      </c>
      <c r="AC90" s="258">
        <f t="shared" ca="1" si="76"/>
        <v>0</v>
      </c>
      <c r="AD90" s="258">
        <f t="shared" ca="1" si="77"/>
        <v>0</v>
      </c>
      <c r="AE90" s="402">
        <f t="shared" ca="1" si="78"/>
        <v>0</v>
      </c>
      <c r="AF90" s="402">
        <f t="shared" ca="1" si="79"/>
        <v>0</v>
      </c>
      <c r="AG90" s="404">
        <f t="shared" ca="1" si="93"/>
        <v>0</v>
      </c>
      <c r="AH90" s="415">
        <f t="shared" ca="1" si="94"/>
        <v>0</v>
      </c>
      <c r="AI90" s="415">
        <f t="shared" ca="1" si="98"/>
        <v>0</v>
      </c>
      <c r="AJ90" s="416">
        <f t="shared" ca="1" si="95"/>
        <v>0</v>
      </c>
      <c r="AK90" s="416">
        <f t="shared" ca="1" si="96"/>
        <v>0</v>
      </c>
      <c r="AL90" s="416">
        <v>0</v>
      </c>
      <c r="AM90" s="269">
        <f t="shared" ca="1" si="99"/>
        <v>0</v>
      </c>
      <c r="AN90" s="422">
        <f t="shared" ca="1" si="80"/>
        <v>18.66</v>
      </c>
      <c r="AO90" s="423">
        <f t="shared" ca="1" si="81"/>
        <v>26311205.816876858</v>
      </c>
      <c r="AP90" s="271">
        <f t="shared" ca="1" si="82"/>
        <v>0</v>
      </c>
      <c r="AQ90" s="271">
        <f t="shared" ca="1" si="83"/>
        <v>0</v>
      </c>
      <c r="AR90" s="271">
        <f t="shared" ca="1" si="84"/>
        <v>0</v>
      </c>
      <c r="AS90" s="271">
        <f t="shared" ca="1" si="85"/>
        <v>0</v>
      </c>
      <c r="AT90" s="271">
        <f t="shared" ca="1" si="86"/>
        <v>0.02</v>
      </c>
      <c r="AU90" s="278">
        <f t="shared" ca="1" si="87"/>
        <v>0.1</v>
      </c>
    </row>
    <row r="91" spans="2:47" ht="13.15" thickBot="1" x14ac:dyDescent="0.4">
      <c r="B91" s="18">
        <f t="shared" si="43"/>
        <v>72</v>
      </c>
      <c r="C91" s="85">
        <f t="shared" ca="1" si="68"/>
        <v>0</v>
      </c>
      <c r="D91" s="85">
        <f t="shared" ca="1" si="69"/>
        <v>0</v>
      </c>
      <c r="E91" s="84">
        <f t="shared" ca="1" si="70"/>
        <v>0</v>
      </c>
      <c r="F91" s="135">
        <f t="shared" ca="1" si="71"/>
        <v>0</v>
      </c>
      <c r="G91" s="409">
        <f t="shared" ca="1" si="89"/>
        <v>0</v>
      </c>
      <c r="H91" s="409">
        <f t="shared" ca="1" si="90"/>
        <v>0</v>
      </c>
      <c r="I91" s="275">
        <f t="shared" ca="1" si="72"/>
        <v>0</v>
      </c>
      <c r="J91" s="275">
        <f t="shared" ca="1" si="73"/>
        <v>0</v>
      </c>
      <c r="K91" s="137">
        <f t="shared" ca="1" si="74"/>
        <v>0</v>
      </c>
      <c r="L91" s="15" t="str">
        <f t="shared" ca="1" si="88"/>
        <v>F</v>
      </c>
      <c r="M91" s="88">
        <f t="shared" ca="1" si="88"/>
        <v>0</v>
      </c>
      <c r="N91" s="88">
        <f t="shared" ca="1" si="88"/>
        <v>0</v>
      </c>
      <c r="O91" s="432">
        <v>1000000000000000</v>
      </c>
      <c r="P91" s="69">
        <v>109575</v>
      </c>
      <c r="Q91" s="3">
        <f t="shared" si="75"/>
        <v>64597</v>
      </c>
      <c r="R91" s="107">
        <f t="shared" ca="1" si="41"/>
        <v>18.380000000000003</v>
      </c>
      <c r="S91" s="105">
        <f t="shared" ca="1" si="42"/>
        <v>25893685.458928723</v>
      </c>
      <c r="T91" s="341">
        <v>0</v>
      </c>
      <c r="U91" s="341">
        <v>0.11849999999999999</v>
      </c>
      <c r="V91" s="341">
        <v>0.11849999999999999</v>
      </c>
      <c r="W91" s="341">
        <v>0.11849999999999999</v>
      </c>
      <c r="X91" s="281">
        <f t="shared" si="91"/>
        <v>0.02</v>
      </c>
      <c r="Y91" s="282">
        <f t="shared" si="97"/>
        <v>0.1</v>
      </c>
      <c r="AA91" s="391">
        <f t="shared" ca="1" si="92"/>
        <v>0</v>
      </c>
      <c r="AB91" s="400">
        <f t="shared" ca="1" si="92"/>
        <v>0</v>
      </c>
      <c r="AC91" s="258">
        <f t="shared" ca="1" si="76"/>
        <v>0</v>
      </c>
      <c r="AD91" s="258">
        <f t="shared" ca="1" si="77"/>
        <v>0</v>
      </c>
      <c r="AE91" s="402">
        <f t="shared" ca="1" si="78"/>
        <v>0</v>
      </c>
      <c r="AF91" s="402">
        <f t="shared" ca="1" si="79"/>
        <v>0</v>
      </c>
      <c r="AG91" s="404">
        <f t="shared" ca="1" si="93"/>
        <v>0</v>
      </c>
      <c r="AH91" s="415">
        <f t="shared" ca="1" si="94"/>
        <v>0</v>
      </c>
      <c r="AI91" s="415">
        <f t="shared" ca="1" si="98"/>
        <v>0</v>
      </c>
      <c r="AJ91" s="416">
        <f t="shared" ca="1" si="95"/>
        <v>0</v>
      </c>
      <c r="AK91" s="416">
        <f t="shared" ca="1" si="96"/>
        <v>0</v>
      </c>
      <c r="AL91" s="416">
        <v>0</v>
      </c>
      <c r="AM91" s="269">
        <f t="shared" ca="1" si="99"/>
        <v>0</v>
      </c>
      <c r="AN91" s="422">
        <f t="shared" ca="1" si="80"/>
        <v>18.66</v>
      </c>
      <c r="AO91" s="423">
        <f t="shared" ca="1" si="81"/>
        <v>26311205.816876858</v>
      </c>
      <c r="AP91" s="271">
        <f t="shared" ca="1" si="82"/>
        <v>0</v>
      </c>
      <c r="AQ91" s="271">
        <f t="shared" ca="1" si="83"/>
        <v>0</v>
      </c>
      <c r="AR91" s="271">
        <f t="shared" ca="1" si="84"/>
        <v>0</v>
      </c>
      <c r="AS91" s="271">
        <f t="shared" ca="1" si="85"/>
        <v>0</v>
      </c>
      <c r="AT91" s="271">
        <f t="shared" ca="1" si="86"/>
        <v>0.02</v>
      </c>
      <c r="AU91" s="278">
        <f t="shared" ca="1" si="87"/>
        <v>0.1</v>
      </c>
    </row>
    <row r="92" spans="2:47" ht="13.15" thickBot="1" x14ac:dyDescent="0.4">
      <c r="B92" s="18">
        <f t="shared" si="43"/>
        <v>73</v>
      </c>
      <c r="C92" s="85">
        <f t="shared" ca="1" si="68"/>
        <v>0</v>
      </c>
      <c r="D92" s="85">
        <f t="shared" ca="1" si="69"/>
        <v>0</v>
      </c>
      <c r="E92" s="84">
        <f t="shared" ca="1" si="70"/>
        <v>0</v>
      </c>
      <c r="F92" s="135">
        <f t="shared" ca="1" si="71"/>
        <v>0</v>
      </c>
      <c r="G92" s="409">
        <f t="shared" ca="1" si="89"/>
        <v>0</v>
      </c>
      <c r="H92" s="409">
        <f t="shared" ca="1" si="90"/>
        <v>0</v>
      </c>
      <c r="I92" s="275">
        <f t="shared" ca="1" si="72"/>
        <v>0</v>
      </c>
      <c r="J92" s="275">
        <f t="shared" ca="1" si="73"/>
        <v>0</v>
      </c>
      <c r="K92" s="137">
        <f t="shared" ca="1" si="74"/>
        <v>0</v>
      </c>
      <c r="L92" s="15" t="str">
        <f t="shared" ca="1" si="88"/>
        <v>F</v>
      </c>
      <c r="M92" s="88">
        <f t="shared" ca="1" si="88"/>
        <v>0</v>
      </c>
      <c r="N92" s="88">
        <f t="shared" ca="1" si="88"/>
        <v>0</v>
      </c>
      <c r="O92" s="432">
        <v>1000000000000000</v>
      </c>
      <c r="P92" s="69">
        <v>109575</v>
      </c>
      <c r="Q92" s="3">
        <f t="shared" si="75"/>
        <v>64597</v>
      </c>
      <c r="R92" s="107">
        <f t="shared" ref="R92:R110" ca="1" si="100">IF(L92="D",1,$I$6)</f>
        <v>18.380000000000003</v>
      </c>
      <c r="S92" s="105">
        <f t="shared" ref="S92:S110" ca="1" si="101">IF(L92="D",1,R92*EXP(-($I$10-$I$11)*Q92/365))</f>
        <v>25893685.458928723</v>
      </c>
      <c r="T92" s="341">
        <v>0</v>
      </c>
      <c r="U92" s="341">
        <v>0.11849999999999999</v>
      </c>
      <c r="V92" s="341">
        <v>0.11849999999999999</v>
      </c>
      <c r="W92" s="341">
        <v>0.11849999999999999</v>
      </c>
      <c r="X92" s="281">
        <f t="shared" si="91"/>
        <v>0.02</v>
      </c>
      <c r="Y92" s="282">
        <f t="shared" si="97"/>
        <v>0.1</v>
      </c>
      <c r="AA92" s="391">
        <f t="shared" ca="1" si="92"/>
        <v>0</v>
      </c>
      <c r="AB92" s="400">
        <f t="shared" ca="1" si="92"/>
        <v>0</v>
      </c>
      <c r="AC92" s="258">
        <f t="shared" ca="1" si="76"/>
        <v>0</v>
      </c>
      <c r="AD92" s="258">
        <f t="shared" ca="1" si="77"/>
        <v>0</v>
      </c>
      <c r="AE92" s="402">
        <f t="shared" ca="1" si="78"/>
        <v>0</v>
      </c>
      <c r="AF92" s="402">
        <f t="shared" ca="1" si="79"/>
        <v>0</v>
      </c>
      <c r="AG92" s="404">
        <f t="shared" ca="1" si="93"/>
        <v>0</v>
      </c>
      <c r="AH92" s="415">
        <f t="shared" ca="1" si="94"/>
        <v>0</v>
      </c>
      <c r="AI92" s="415">
        <f t="shared" ca="1" si="98"/>
        <v>0</v>
      </c>
      <c r="AJ92" s="416">
        <f t="shared" ca="1" si="95"/>
        <v>0</v>
      </c>
      <c r="AK92" s="416">
        <f t="shared" ca="1" si="96"/>
        <v>0</v>
      </c>
      <c r="AL92" s="416">
        <v>0</v>
      </c>
      <c r="AM92" s="269">
        <f t="shared" ca="1" si="99"/>
        <v>0</v>
      </c>
      <c r="AN92" s="422">
        <f t="shared" ca="1" si="80"/>
        <v>18.66</v>
      </c>
      <c r="AO92" s="423">
        <f t="shared" ca="1" si="81"/>
        <v>26311205.816876858</v>
      </c>
      <c r="AP92" s="271">
        <f t="shared" ca="1" si="82"/>
        <v>0</v>
      </c>
      <c r="AQ92" s="271">
        <f t="shared" ca="1" si="83"/>
        <v>0</v>
      </c>
      <c r="AR92" s="271">
        <f t="shared" ca="1" si="84"/>
        <v>0</v>
      </c>
      <c r="AS92" s="271">
        <f t="shared" ca="1" si="85"/>
        <v>0</v>
      </c>
      <c r="AT92" s="271">
        <f t="shared" ca="1" si="86"/>
        <v>0.02</v>
      </c>
      <c r="AU92" s="278">
        <f t="shared" ca="1" si="87"/>
        <v>0.1</v>
      </c>
    </row>
    <row r="93" spans="2:47" ht="13.15" thickBot="1" x14ac:dyDescent="0.4">
      <c r="B93" s="18">
        <f t="shared" si="43"/>
        <v>74</v>
      </c>
      <c r="C93" s="85">
        <f t="shared" ca="1" si="68"/>
        <v>0</v>
      </c>
      <c r="D93" s="85">
        <f t="shared" ca="1" si="69"/>
        <v>0</v>
      </c>
      <c r="E93" s="84">
        <f t="shared" ca="1" si="70"/>
        <v>0</v>
      </c>
      <c r="F93" s="135">
        <f t="shared" ca="1" si="71"/>
        <v>0</v>
      </c>
      <c r="G93" s="409">
        <f t="shared" ca="1" si="89"/>
        <v>0</v>
      </c>
      <c r="H93" s="409">
        <f t="shared" ca="1" si="90"/>
        <v>0</v>
      </c>
      <c r="I93" s="275">
        <f t="shared" ca="1" si="72"/>
        <v>0</v>
      </c>
      <c r="J93" s="275">
        <f t="shared" ca="1" si="73"/>
        <v>0</v>
      </c>
      <c r="K93" s="137">
        <f t="shared" ca="1" si="74"/>
        <v>0</v>
      </c>
      <c r="L93" s="15" t="str">
        <f t="shared" ca="1" si="88"/>
        <v>F</v>
      </c>
      <c r="M93" s="88">
        <f t="shared" ca="1" si="88"/>
        <v>0</v>
      </c>
      <c r="N93" s="88">
        <f t="shared" ca="1" si="88"/>
        <v>0</v>
      </c>
      <c r="O93" s="432">
        <v>1000000000000000</v>
      </c>
      <c r="P93" s="69">
        <v>109575</v>
      </c>
      <c r="Q93" s="3">
        <f t="shared" si="75"/>
        <v>64597</v>
      </c>
      <c r="R93" s="107">
        <f t="shared" ca="1" si="100"/>
        <v>18.380000000000003</v>
      </c>
      <c r="S93" s="105">
        <f t="shared" ca="1" si="101"/>
        <v>25893685.458928723</v>
      </c>
      <c r="T93" s="341">
        <v>0</v>
      </c>
      <c r="U93" s="341">
        <v>0.11849999999999999</v>
      </c>
      <c r="V93" s="341">
        <v>0.11849999999999999</v>
      </c>
      <c r="W93" s="341">
        <v>0.11849999999999999</v>
      </c>
      <c r="X93" s="281">
        <f t="shared" si="91"/>
        <v>0.02</v>
      </c>
      <c r="Y93" s="282">
        <f t="shared" si="97"/>
        <v>0.1</v>
      </c>
      <c r="AA93" s="391">
        <f t="shared" ca="1" si="92"/>
        <v>0</v>
      </c>
      <c r="AB93" s="400">
        <f t="shared" ca="1" si="92"/>
        <v>0</v>
      </c>
      <c r="AC93" s="258">
        <f t="shared" ca="1" si="76"/>
        <v>0</v>
      </c>
      <c r="AD93" s="258">
        <f t="shared" ca="1" si="77"/>
        <v>0</v>
      </c>
      <c r="AE93" s="402">
        <f t="shared" ca="1" si="78"/>
        <v>0</v>
      </c>
      <c r="AF93" s="402">
        <f t="shared" ca="1" si="79"/>
        <v>0</v>
      </c>
      <c r="AG93" s="404">
        <f t="shared" ca="1" si="93"/>
        <v>0</v>
      </c>
      <c r="AH93" s="415">
        <f t="shared" ca="1" si="94"/>
        <v>0</v>
      </c>
      <c r="AI93" s="415">
        <f t="shared" ca="1" si="98"/>
        <v>0</v>
      </c>
      <c r="AJ93" s="416">
        <f t="shared" ca="1" si="95"/>
        <v>0</v>
      </c>
      <c r="AK93" s="416">
        <f t="shared" ca="1" si="96"/>
        <v>0</v>
      </c>
      <c r="AL93" s="416">
        <v>0</v>
      </c>
      <c r="AM93" s="269">
        <f t="shared" ca="1" si="99"/>
        <v>0</v>
      </c>
      <c r="AN93" s="422">
        <f t="shared" ca="1" si="80"/>
        <v>18.66</v>
      </c>
      <c r="AO93" s="423">
        <f t="shared" ca="1" si="81"/>
        <v>26311205.816876858</v>
      </c>
      <c r="AP93" s="271">
        <f t="shared" ca="1" si="82"/>
        <v>0</v>
      </c>
      <c r="AQ93" s="271">
        <f t="shared" ca="1" si="83"/>
        <v>0</v>
      </c>
      <c r="AR93" s="271">
        <f t="shared" ca="1" si="84"/>
        <v>0</v>
      </c>
      <c r="AS93" s="271">
        <f t="shared" ca="1" si="85"/>
        <v>0</v>
      </c>
      <c r="AT93" s="271">
        <f t="shared" ca="1" si="86"/>
        <v>0.02</v>
      </c>
      <c r="AU93" s="278">
        <f t="shared" ca="1" si="87"/>
        <v>0.1</v>
      </c>
    </row>
    <row r="94" spans="2:47" ht="13.15" thickBot="1" x14ac:dyDescent="0.4">
      <c r="B94" s="18">
        <f t="shared" ref="B94:B110" si="102">B93+1</f>
        <v>75</v>
      </c>
      <c r="C94" s="85">
        <f t="shared" ca="1" si="68"/>
        <v>0</v>
      </c>
      <c r="D94" s="85">
        <f t="shared" ca="1" si="69"/>
        <v>0</v>
      </c>
      <c r="E94" s="84">
        <f t="shared" ca="1" si="70"/>
        <v>0</v>
      </c>
      <c r="F94" s="135">
        <f t="shared" ca="1" si="71"/>
        <v>0</v>
      </c>
      <c r="G94" s="409">
        <f t="shared" ca="1" si="89"/>
        <v>0</v>
      </c>
      <c r="H94" s="409">
        <f t="shared" ca="1" si="90"/>
        <v>0</v>
      </c>
      <c r="I94" s="275">
        <f t="shared" ca="1" si="72"/>
        <v>0</v>
      </c>
      <c r="J94" s="275">
        <f t="shared" ca="1" si="73"/>
        <v>0</v>
      </c>
      <c r="K94" s="137">
        <f t="shared" ca="1" si="74"/>
        <v>0</v>
      </c>
      <c r="L94" s="15" t="str">
        <f t="shared" ca="1" si="88"/>
        <v>F</v>
      </c>
      <c r="M94" s="88">
        <f t="shared" ca="1" si="88"/>
        <v>0</v>
      </c>
      <c r="N94" s="88">
        <f t="shared" ca="1" si="88"/>
        <v>0</v>
      </c>
      <c r="O94" s="432">
        <v>1000000000000000</v>
      </c>
      <c r="P94" s="69">
        <v>109575</v>
      </c>
      <c r="Q94" s="3">
        <f t="shared" si="75"/>
        <v>64597</v>
      </c>
      <c r="R94" s="107">
        <f t="shared" ca="1" si="100"/>
        <v>18.380000000000003</v>
      </c>
      <c r="S94" s="105">
        <f t="shared" ca="1" si="101"/>
        <v>25893685.458928723</v>
      </c>
      <c r="T94" s="341">
        <v>0</v>
      </c>
      <c r="U94" s="341">
        <v>0.11849999999999999</v>
      </c>
      <c r="V94" s="341">
        <v>0.11849999999999999</v>
      </c>
      <c r="W94" s="341">
        <v>0.11849999999999999</v>
      </c>
      <c r="X94" s="281">
        <f t="shared" si="91"/>
        <v>0.02</v>
      </c>
      <c r="Y94" s="282">
        <f t="shared" si="97"/>
        <v>0.1</v>
      </c>
      <c r="AA94" s="391">
        <f t="shared" ca="1" si="92"/>
        <v>0</v>
      </c>
      <c r="AB94" s="400">
        <f t="shared" ca="1" si="92"/>
        <v>0</v>
      </c>
      <c r="AC94" s="258">
        <f t="shared" ca="1" si="76"/>
        <v>0</v>
      </c>
      <c r="AD94" s="258">
        <f t="shared" ca="1" si="77"/>
        <v>0</v>
      </c>
      <c r="AE94" s="402">
        <f t="shared" ca="1" si="78"/>
        <v>0</v>
      </c>
      <c r="AF94" s="402">
        <f t="shared" ca="1" si="79"/>
        <v>0</v>
      </c>
      <c r="AG94" s="404">
        <f t="shared" ca="1" si="93"/>
        <v>0</v>
      </c>
      <c r="AH94" s="415">
        <f t="shared" ca="1" si="94"/>
        <v>0</v>
      </c>
      <c r="AI94" s="415">
        <f t="shared" ca="1" si="98"/>
        <v>0</v>
      </c>
      <c r="AJ94" s="416">
        <f t="shared" ca="1" si="95"/>
        <v>0</v>
      </c>
      <c r="AK94" s="416">
        <f t="shared" ca="1" si="96"/>
        <v>0</v>
      </c>
      <c r="AL94" s="416">
        <v>0</v>
      </c>
      <c r="AM94" s="269">
        <f t="shared" ca="1" si="99"/>
        <v>0</v>
      </c>
      <c r="AN94" s="422">
        <f t="shared" ca="1" si="80"/>
        <v>18.66</v>
      </c>
      <c r="AO94" s="423">
        <f t="shared" ca="1" si="81"/>
        <v>26311205.816876858</v>
      </c>
      <c r="AP94" s="271">
        <f t="shared" ca="1" si="82"/>
        <v>0</v>
      </c>
      <c r="AQ94" s="271">
        <f t="shared" ca="1" si="83"/>
        <v>0</v>
      </c>
      <c r="AR94" s="271">
        <f t="shared" ca="1" si="84"/>
        <v>0</v>
      </c>
      <c r="AS94" s="271">
        <f t="shared" ca="1" si="85"/>
        <v>0</v>
      </c>
      <c r="AT94" s="271">
        <f t="shared" ca="1" si="86"/>
        <v>0.02</v>
      </c>
      <c r="AU94" s="278">
        <f t="shared" ca="1" si="87"/>
        <v>0.1</v>
      </c>
    </row>
    <row r="95" spans="2:47" ht="13.15" thickBot="1" x14ac:dyDescent="0.4">
      <c r="B95" s="18">
        <f t="shared" si="102"/>
        <v>76</v>
      </c>
      <c r="C95" s="85">
        <f t="shared" ca="1" si="68"/>
        <v>0</v>
      </c>
      <c r="D95" s="85">
        <f t="shared" ca="1" si="69"/>
        <v>0</v>
      </c>
      <c r="E95" s="84">
        <f t="shared" ca="1" si="70"/>
        <v>0</v>
      </c>
      <c r="F95" s="135">
        <f t="shared" ca="1" si="71"/>
        <v>0</v>
      </c>
      <c r="G95" s="409">
        <f t="shared" ca="1" si="89"/>
        <v>0</v>
      </c>
      <c r="H95" s="409">
        <f t="shared" ca="1" si="90"/>
        <v>0</v>
      </c>
      <c r="I95" s="275">
        <f t="shared" ca="1" si="72"/>
        <v>0</v>
      </c>
      <c r="J95" s="275">
        <f t="shared" ca="1" si="73"/>
        <v>0</v>
      </c>
      <c r="K95" s="137">
        <f t="shared" ca="1" si="74"/>
        <v>0</v>
      </c>
      <c r="L95" s="15" t="str">
        <f t="shared" ca="1" si="88"/>
        <v>F</v>
      </c>
      <c r="M95" s="88">
        <f t="shared" ca="1" si="88"/>
        <v>0</v>
      </c>
      <c r="N95" s="88">
        <f t="shared" ca="1" si="88"/>
        <v>0</v>
      </c>
      <c r="O95" s="432">
        <v>1000000000000000</v>
      </c>
      <c r="P95" s="69">
        <v>109575</v>
      </c>
      <c r="Q95" s="3">
        <f t="shared" si="75"/>
        <v>64597</v>
      </c>
      <c r="R95" s="107">
        <f t="shared" ca="1" si="100"/>
        <v>18.380000000000003</v>
      </c>
      <c r="S95" s="105">
        <f t="shared" ca="1" si="101"/>
        <v>25893685.458928723</v>
      </c>
      <c r="T95" s="341">
        <v>0</v>
      </c>
      <c r="U95" s="341">
        <v>0.11849999999999999</v>
      </c>
      <c r="V95" s="341">
        <v>0.11849999999999999</v>
      </c>
      <c r="W95" s="341">
        <v>0.11849999999999999</v>
      </c>
      <c r="X95" s="281">
        <f t="shared" si="91"/>
        <v>0.02</v>
      </c>
      <c r="Y95" s="282">
        <f t="shared" si="97"/>
        <v>0.1</v>
      </c>
      <c r="AA95" s="391">
        <f t="shared" ca="1" si="92"/>
        <v>0</v>
      </c>
      <c r="AB95" s="400">
        <f t="shared" ca="1" si="92"/>
        <v>0</v>
      </c>
      <c r="AC95" s="258">
        <f t="shared" ca="1" si="76"/>
        <v>0</v>
      </c>
      <c r="AD95" s="258">
        <f t="shared" ca="1" si="77"/>
        <v>0</v>
      </c>
      <c r="AE95" s="402">
        <f t="shared" ca="1" si="78"/>
        <v>0</v>
      </c>
      <c r="AF95" s="402">
        <f t="shared" ca="1" si="79"/>
        <v>0</v>
      </c>
      <c r="AG95" s="404">
        <f t="shared" ca="1" si="93"/>
        <v>0</v>
      </c>
      <c r="AH95" s="415">
        <f t="shared" ca="1" si="94"/>
        <v>0</v>
      </c>
      <c r="AI95" s="415">
        <f t="shared" ca="1" si="98"/>
        <v>0</v>
      </c>
      <c r="AJ95" s="416">
        <f t="shared" ca="1" si="95"/>
        <v>0</v>
      </c>
      <c r="AK95" s="416">
        <f t="shared" ca="1" si="96"/>
        <v>0</v>
      </c>
      <c r="AL95" s="416">
        <v>0</v>
      </c>
      <c r="AM95" s="269">
        <f t="shared" ca="1" si="99"/>
        <v>0</v>
      </c>
      <c r="AN95" s="422">
        <f t="shared" ca="1" si="80"/>
        <v>18.66</v>
      </c>
      <c r="AO95" s="423">
        <f t="shared" ca="1" si="81"/>
        <v>26311205.816876858</v>
      </c>
      <c r="AP95" s="271">
        <f t="shared" ca="1" si="82"/>
        <v>0</v>
      </c>
      <c r="AQ95" s="271">
        <f t="shared" ca="1" si="83"/>
        <v>0</v>
      </c>
      <c r="AR95" s="271">
        <f t="shared" ca="1" si="84"/>
        <v>0</v>
      </c>
      <c r="AS95" s="271">
        <f t="shared" ca="1" si="85"/>
        <v>0</v>
      </c>
      <c r="AT95" s="271">
        <f t="shared" ca="1" si="86"/>
        <v>0.02</v>
      </c>
      <c r="AU95" s="278">
        <f t="shared" ca="1" si="87"/>
        <v>0.1</v>
      </c>
    </row>
    <row r="96" spans="2:47" ht="13.15" thickBot="1" x14ac:dyDescent="0.4">
      <c r="B96" s="18">
        <f t="shared" si="102"/>
        <v>77</v>
      </c>
      <c r="C96" s="85">
        <f t="shared" ca="1" si="68"/>
        <v>0</v>
      </c>
      <c r="D96" s="85">
        <f t="shared" ca="1" si="69"/>
        <v>0</v>
      </c>
      <c r="E96" s="84">
        <f t="shared" ca="1" si="70"/>
        <v>0</v>
      </c>
      <c r="F96" s="135">
        <f t="shared" ca="1" si="71"/>
        <v>0</v>
      </c>
      <c r="G96" s="409">
        <f t="shared" ca="1" si="89"/>
        <v>0</v>
      </c>
      <c r="H96" s="409">
        <f t="shared" ca="1" si="90"/>
        <v>0</v>
      </c>
      <c r="I96" s="275">
        <f t="shared" ca="1" si="72"/>
        <v>0</v>
      </c>
      <c r="J96" s="275">
        <f t="shared" ca="1" si="73"/>
        <v>0</v>
      </c>
      <c r="K96" s="137">
        <f t="shared" ca="1" si="74"/>
        <v>0</v>
      </c>
      <c r="L96" s="15" t="str">
        <f t="shared" ca="1" si="88"/>
        <v>F</v>
      </c>
      <c r="M96" s="88">
        <f t="shared" ca="1" si="88"/>
        <v>0</v>
      </c>
      <c r="N96" s="88">
        <f t="shared" ca="1" si="88"/>
        <v>0</v>
      </c>
      <c r="O96" s="432">
        <v>1000000000000000</v>
      </c>
      <c r="P96" s="69">
        <v>109575</v>
      </c>
      <c r="Q96" s="3">
        <f t="shared" si="75"/>
        <v>64597</v>
      </c>
      <c r="R96" s="107">
        <f t="shared" ca="1" si="100"/>
        <v>18.380000000000003</v>
      </c>
      <c r="S96" s="105">
        <f t="shared" ca="1" si="101"/>
        <v>25893685.458928723</v>
      </c>
      <c r="T96" s="341">
        <v>0</v>
      </c>
      <c r="U96" s="341">
        <v>0.11849999999999999</v>
      </c>
      <c r="V96" s="341">
        <v>0.11849999999999999</v>
      </c>
      <c r="W96" s="341">
        <v>0.11849999999999999</v>
      </c>
      <c r="X96" s="281">
        <f t="shared" si="91"/>
        <v>0.02</v>
      </c>
      <c r="Y96" s="282">
        <f t="shared" si="97"/>
        <v>0.1</v>
      </c>
      <c r="AA96" s="391">
        <f t="shared" ca="1" si="92"/>
        <v>0</v>
      </c>
      <c r="AB96" s="400">
        <f t="shared" ca="1" si="92"/>
        <v>0</v>
      </c>
      <c r="AC96" s="258">
        <f t="shared" ca="1" si="76"/>
        <v>0</v>
      </c>
      <c r="AD96" s="258">
        <f t="shared" ca="1" si="77"/>
        <v>0</v>
      </c>
      <c r="AE96" s="402">
        <f t="shared" ca="1" si="78"/>
        <v>0</v>
      </c>
      <c r="AF96" s="402">
        <f t="shared" ca="1" si="79"/>
        <v>0</v>
      </c>
      <c r="AG96" s="404">
        <f t="shared" ca="1" si="93"/>
        <v>0</v>
      </c>
      <c r="AH96" s="415">
        <f t="shared" ca="1" si="94"/>
        <v>0</v>
      </c>
      <c r="AI96" s="415">
        <f t="shared" ca="1" si="98"/>
        <v>0</v>
      </c>
      <c r="AJ96" s="416">
        <f t="shared" ca="1" si="95"/>
        <v>0</v>
      </c>
      <c r="AK96" s="416">
        <f t="shared" ca="1" si="96"/>
        <v>0</v>
      </c>
      <c r="AL96" s="416">
        <v>0</v>
      </c>
      <c r="AM96" s="269">
        <f t="shared" ca="1" si="99"/>
        <v>0</v>
      </c>
      <c r="AN96" s="422">
        <f t="shared" ca="1" si="80"/>
        <v>18.66</v>
      </c>
      <c r="AO96" s="423">
        <f t="shared" ca="1" si="81"/>
        <v>26311205.816876858</v>
      </c>
      <c r="AP96" s="271">
        <f t="shared" ca="1" si="82"/>
        <v>0</v>
      </c>
      <c r="AQ96" s="271">
        <f t="shared" ca="1" si="83"/>
        <v>0</v>
      </c>
      <c r="AR96" s="271">
        <f t="shared" ca="1" si="84"/>
        <v>0</v>
      </c>
      <c r="AS96" s="271">
        <f t="shared" ca="1" si="85"/>
        <v>0</v>
      </c>
      <c r="AT96" s="271">
        <f t="shared" ca="1" si="86"/>
        <v>0.02</v>
      </c>
      <c r="AU96" s="278">
        <f t="shared" ca="1" si="87"/>
        <v>0.1</v>
      </c>
    </row>
    <row r="97" spans="2:47" ht="13.15" thickBot="1" x14ac:dyDescent="0.4">
      <c r="B97" s="18">
        <f t="shared" si="102"/>
        <v>78</v>
      </c>
      <c r="C97" s="85">
        <f t="shared" ca="1" si="68"/>
        <v>0</v>
      </c>
      <c r="D97" s="85">
        <f t="shared" ca="1" si="69"/>
        <v>0</v>
      </c>
      <c r="E97" s="84">
        <f t="shared" ca="1" si="70"/>
        <v>0</v>
      </c>
      <c r="F97" s="135">
        <f t="shared" ca="1" si="71"/>
        <v>0</v>
      </c>
      <c r="G97" s="409">
        <f t="shared" ca="1" si="89"/>
        <v>0</v>
      </c>
      <c r="H97" s="409">
        <f t="shared" ca="1" si="90"/>
        <v>0</v>
      </c>
      <c r="I97" s="275">
        <f t="shared" ca="1" si="72"/>
        <v>0</v>
      </c>
      <c r="J97" s="275">
        <f t="shared" ca="1" si="73"/>
        <v>0</v>
      </c>
      <c r="K97" s="137">
        <f t="shared" ca="1" si="74"/>
        <v>0</v>
      </c>
      <c r="L97" s="15" t="str">
        <f t="shared" ca="1" si="88"/>
        <v>F</v>
      </c>
      <c r="M97" s="88">
        <f t="shared" ca="1" si="88"/>
        <v>0</v>
      </c>
      <c r="N97" s="88">
        <f t="shared" ca="1" si="88"/>
        <v>0</v>
      </c>
      <c r="O97" s="432">
        <v>1000000000000000</v>
      </c>
      <c r="P97" s="69">
        <v>109575</v>
      </c>
      <c r="Q97" s="3">
        <f t="shared" si="75"/>
        <v>64597</v>
      </c>
      <c r="R97" s="107">
        <f t="shared" ca="1" si="100"/>
        <v>18.380000000000003</v>
      </c>
      <c r="S97" s="105">
        <f t="shared" ca="1" si="101"/>
        <v>25893685.458928723</v>
      </c>
      <c r="T97" s="341">
        <v>0</v>
      </c>
      <c r="U97" s="341">
        <v>0.11849999999999999</v>
      </c>
      <c r="V97" s="341">
        <v>0.11849999999999999</v>
      </c>
      <c r="W97" s="341">
        <v>0.11849999999999999</v>
      </c>
      <c r="X97" s="281">
        <f t="shared" si="91"/>
        <v>0.02</v>
      </c>
      <c r="Y97" s="282">
        <f t="shared" si="97"/>
        <v>0.1</v>
      </c>
      <c r="AA97" s="391">
        <f t="shared" ca="1" si="92"/>
        <v>0</v>
      </c>
      <c r="AB97" s="400">
        <f t="shared" ca="1" si="92"/>
        <v>0</v>
      </c>
      <c r="AC97" s="258">
        <f t="shared" ca="1" si="76"/>
        <v>0</v>
      </c>
      <c r="AD97" s="258">
        <f t="shared" ca="1" si="77"/>
        <v>0</v>
      </c>
      <c r="AE97" s="402">
        <f t="shared" ca="1" si="78"/>
        <v>0</v>
      </c>
      <c r="AF97" s="402">
        <f t="shared" ca="1" si="79"/>
        <v>0</v>
      </c>
      <c r="AG97" s="404">
        <f t="shared" ca="1" si="93"/>
        <v>0</v>
      </c>
      <c r="AH97" s="415">
        <f t="shared" ca="1" si="94"/>
        <v>0</v>
      </c>
      <c r="AI97" s="415">
        <f t="shared" ca="1" si="98"/>
        <v>0</v>
      </c>
      <c r="AJ97" s="416">
        <f t="shared" ca="1" si="95"/>
        <v>0</v>
      </c>
      <c r="AK97" s="416">
        <f t="shared" ca="1" si="96"/>
        <v>0</v>
      </c>
      <c r="AL97" s="416">
        <v>0</v>
      </c>
      <c r="AM97" s="269">
        <f t="shared" ca="1" si="99"/>
        <v>0</v>
      </c>
      <c r="AN97" s="422">
        <f t="shared" ca="1" si="80"/>
        <v>18.66</v>
      </c>
      <c r="AO97" s="423">
        <f t="shared" ca="1" si="81"/>
        <v>26311205.816876858</v>
      </c>
      <c r="AP97" s="271">
        <f t="shared" ca="1" si="82"/>
        <v>0</v>
      </c>
      <c r="AQ97" s="271">
        <f t="shared" ca="1" si="83"/>
        <v>0</v>
      </c>
      <c r="AR97" s="271">
        <f t="shared" ca="1" si="84"/>
        <v>0</v>
      </c>
      <c r="AS97" s="271">
        <f t="shared" ca="1" si="85"/>
        <v>0</v>
      </c>
      <c r="AT97" s="271">
        <f t="shared" ca="1" si="86"/>
        <v>0.02</v>
      </c>
      <c r="AU97" s="278">
        <f t="shared" ca="1" si="87"/>
        <v>0.1</v>
      </c>
    </row>
    <row r="98" spans="2:47" ht="13.15" thickBot="1" x14ac:dyDescent="0.4">
      <c r="B98" s="18">
        <f t="shared" si="102"/>
        <v>79</v>
      </c>
      <c r="C98" s="85">
        <f t="shared" ca="1" si="68"/>
        <v>0</v>
      </c>
      <c r="D98" s="85">
        <f t="shared" ca="1" si="69"/>
        <v>0</v>
      </c>
      <c r="E98" s="84">
        <f t="shared" ca="1" si="70"/>
        <v>0</v>
      </c>
      <c r="F98" s="135">
        <f t="shared" ca="1" si="71"/>
        <v>0</v>
      </c>
      <c r="G98" s="409">
        <f t="shared" ca="1" si="89"/>
        <v>0</v>
      </c>
      <c r="H98" s="409">
        <f t="shared" ca="1" si="90"/>
        <v>0</v>
      </c>
      <c r="I98" s="275">
        <f t="shared" ca="1" si="72"/>
        <v>0</v>
      </c>
      <c r="J98" s="275">
        <f t="shared" ca="1" si="73"/>
        <v>0</v>
      </c>
      <c r="K98" s="137">
        <f t="shared" ca="1" si="74"/>
        <v>0</v>
      </c>
      <c r="L98" s="15" t="str">
        <f t="shared" ca="1" si="88"/>
        <v>F</v>
      </c>
      <c r="M98" s="88">
        <f t="shared" ca="1" si="88"/>
        <v>0</v>
      </c>
      <c r="N98" s="88">
        <f t="shared" ca="1" si="88"/>
        <v>0</v>
      </c>
      <c r="O98" s="432">
        <v>1000000000000000</v>
      </c>
      <c r="P98" s="69">
        <v>109575</v>
      </c>
      <c r="Q98" s="3">
        <f t="shared" si="75"/>
        <v>64597</v>
      </c>
      <c r="R98" s="107">
        <f t="shared" ca="1" si="100"/>
        <v>18.380000000000003</v>
      </c>
      <c r="S98" s="105">
        <f t="shared" ca="1" si="101"/>
        <v>25893685.458928723</v>
      </c>
      <c r="T98" s="341">
        <v>0</v>
      </c>
      <c r="U98" s="341">
        <v>0.11849999999999999</v>
      </c>
      <c r="V98" s="341">
        <v>0.11849999999999999</v>
      </c>
      <c r="W98" s="341">
        <v>0.11849999999999999</v>
      </c>
      <c r="X98" s="281">
        <f t="shared" si="91"/>
        <v>0.02</v>
      </c>
      <c r="Y98" s="282">
        <f t="shared" si="97"/>
        <v>0.1</v>
      </c>
      <c r="AA98" s="391">
        <f t="shared" ca="1" si="92"/>
        <v>0</v>
      </c>
      <c r="AB98" s="400">
        <f t="shared" ca="1" si="92"/>
        <v>0</v>
      </c>
      <c r="AC98" s="258">
        <f t="shared" ca="1" si="76"/>
        <v>0</v>
      </c>
      <c r="AD98" s="258">
        <f t="shared" ca="1" si="77"/>
        <v>0</v>
      </c>
      <c r="AE98" s="402">
        <f t="shared" ca="1" si="78"/>
        <v>0</v>
      </c>
      <c r="AF98" s="402">
        <f t="shared" ca="1" si="79"/>
        <v>0</v>
      </c>
      <c r="AG98" s="404">
        <f t="shared" ca="1" si="93"/>
        <v>0</v>
      </c>
      <c r="AH98" s="415">
        <f t="shared" ca="1" si="94"/>
        <v>0</v>
      </c>
      <c r="AI98" s="415">
        <f t="shared" ca="1" si="98"/>
        <v>0</v>
      </c>
      <c r="AJ98" s="416">
        <f t="shared" ca="1" si="95"/>
        <v>0</v>
      </c>
      <c r="AK98" s="416">
        <f t="shared" ca="1" si="96"/>
        <v>0</v>
      </c>
      <c r="AL98" s="416">
        <v>0</v>
      </c>
      <c r="AM98" s="269">
        <f t="shared" ca="1" si="99"/>
        <v>0</v>
      </c>
      <c r="AN98" s="422">
        <f t="shared" ca="1" si="80"/>
        <v>18.66</v>
      </c>
      <c r="AO98" s="423">
        <f t="shared" ca="1" si="81"/>
        <v>26311205.816876858</v>
      </c>
      <c r="AP98" s="271">
        <f t="shared" ca="1" si="82"/>
        <v>0</v>
      </c>
      <c r="AQ98" s="271">
        <f t="shared" ca="1" si="83"/>
        <v>0</v>
      </c>
      <c r="AR98" s="271">
        <f t="shared" ca="1" si="84"/>
        <v>0</v>
      </c>
      <c r="AS98" s="271">
        <f t="shared" ca="1" si="85"/>
        <v>0</v>
      </c>
      <c r="AT98" s="271">
        <f t="shared" ca="1" si="86"/>
        <v>0.02</v>
      </c>
      <c r="AU98" s="278">
        <f t="shared" ca="1" si="87"/>
        <v>0.1</v>
      </c>
    </row>
    <row r="99" spans="2:47" ht="13.15" thickBot="1" x14ac:dyDescent="0.4">
      <c r="B99" s="18">
        <f t="shared" si="102"/>
        <v>80</v>
      </c>
      <c r="C99" s="85">
        <f t="shared" ca="1" si="68"/>
        <v>0</v>
      </c>
      <c r="D99" s="85">
        <f t="shared" ca="1" si="69"/>
        <v>0</v>
      </c>
      <c r="E99" s="84">
        <f t="shared" ca="1" si="70"/>
        <v>0</v>
      </c>
      <c r="F99" s="135">
        <f t="shared" ca="1" si="71"/>
        <v>0</v>
      </c>
      <c r="G99" s="409">
        <f t="shared" ca="1" si="89"/>
        <v>0</v>
      </c>
      <c r="H99" s="409">
        <f t="shared" ca="1" si="90"/>
        <v>0</v>
      </c>
      <c r="I99" s="275">
        <f t="shared" ca="1" si="72"/>
        <v>0</v>
      </c>
      <c r="J99" s="275">
        <f t="shared" ca="1" si="73"/>
        <v>0</v>
      </c>
      <c r="K99" s="137">
        <f t="shared" ca="1" si="74"/>
        <v>0</v>
      </c>
      <c r="L99" s="15" t="str">
        <f t="shared" ca="1" si="88"/>
        <v>F</v>
      </c>
      <c r="M99" s="88">
        <f t="shared" ca="1" si="88"/>
        <v>0</v>
      </c>
      <c r="N99" s="88">
        <f t="shared" ca="1" si="88"/>
        <v>0</v>
      </c>
      <c r="O99" s="432">
        <v>1000000000000000</v>
      </c>
      <c r="P99" s="69">
        <v>109575</v>
      </c>
      <c r="Q99" s="3">
        <f t="shared" si="75"/>
        <v>64597</v>
      </c>
      <c r="R99" s="107">
        <f t="shared" ca="1" si="100"/>
        <v>18.380000000000003</v>
      </c>
      <c r="S99" s="105">
        <f t="shared" ca="1" si="101"/>
        <v>25893685.458928723</v>
      </c>
      <c r="T99" s="341">
        <v>0</v>
      </c>
      <c r="U99" s="341">
        <v>0.11849999999999999</v>
      </c>
      <c r="V99" s="341">
        <v>0.11849999999999999</v>
      </c>
      <c r="W99" s="341">
        <v>0.11849999999999999</v>
      </c>
      <c r="X99" s="281">
        <f t="shared" si="91"/>
        <v>0.02</v>
      </c>
      <c r="Y99" s="282">
        <f t="shared" si="97"/>
        <v>0.1</v>
      </c>
      <c r="AA99" s="391">
        <f t="shared" ca="1" si="92"/>
        <v>0</v>
      </c>
      <c r="AB99" s="400">
        <f t="shared" ca="1" si="92"/>
        <v>0</v>
      </c>
      <c r="AC99" s="258">
        <f t="shared" ca="1" si="76"/>
        <v>0</v>
      </c>
      <c r="AD99" s="258">
        <f t="shared" ca="1" si="77"/>
        <v>0</v>
      </c>
      <c r="AE99" s="402">
        <f t="shared" ca="1" si="78"/>
        <v>0</v>
      </c>
      <c r="AF99" s="402">
        <f t="shared" ca="1" si="79"/>
        <v>0</v>
      </c>
      <c r="AG99" s="404">
        <f t="shared" ca="1" si="93"/>
        <v>0</v>
      </c>
      <c r="AH99" s="415">
        <f t="shared" ca="1" si="94"/>
        <v>0</v>
      </c>
      <c r="AI99" s="415">
        <f t="shared" ca="1" si="98"/>
        <v>0</v>
      </c>
      <c r="AJ99" s="416">
        <f t="shared" ca="1" si="95"/>
        <v>0</v>
      </c>
      <c r="AK99" s="416">
        <f t="shared" ca="1" si="96"/>
        <v>0</v>
      </c>
      <c r="AL99" s="416">
        <v>0</v>
      </c>
      <c r="AM99" s="269">
        <f t="shared" ca="1" si="99"/>
        <v>0</v>
      </c>
      <c r="AN99" s="422">
        <f t="shared" ca="1" si="80"/>
        <v>18.66</v>
      </c>
      <c r="AO99" s="423">
        <f t="shared" ca="1" si="81"/>
        <v>26311205.816876858</v>
      </c>
      <c r="AP99" s="271">
        <f t="shared" ca="1" si="82"/>
        <v>0</v>
      </c>
      <c r="AQ99" s="271">
        <f t="shared" ca="1" si="83"/>
        <v>0</v>
      </c>
      <c r="AR99" s="271">
        <f t="shared" ca="1" si="84"/>
        <v>0</v>
      </c>
      <c r="AS99" s="271">
        <f t="shared" ca="1" si="85"/>
        <v>0</v>
      </c>
      <c r="AT99" s="271">
        <f t="shared" ca="1" si="86"/>
        <v>0.02</v>
      </c>
      <c r="AU99" s="278">
        <f t="shared" ca="1" si="87"/>
        <v>0.1</v>
      </c>
    </row>
    <row r="100" spans="2:47" ht="13.15" thickBot="1" x14ac:dyDescent="0.4">
      <c r="B100" s="18">
        <f t="shared" si="102"/>
        <v>81</v>
      </c>
      <c r="C100" s="85">
        <f t="shared" ca="1" si="68"/>
        <v>0</v>
      </c>
      <c r="D100" s="85">
        <f t="shared" ca="1" si="69"/>
        <v>0</v>
      </c>
      <c r="E100" s="84">
        <f t="shared" ca="1" si="70"/>
        <v>0</v>
      </c>
      <c r="F100" s="135">
        <f t="shared" ca="1" si="71"/>
        <v>0</v>
      </c>
      <c r="G100" s="409">
        <f t="shared" ca="1" si="89"/>
        <v>0</v>
      </c>
      <c r="H100" s="409">
        <f t="shared" ca="1" si="90"/>
        <v>0</v>
      </c>
      <c r="I100" s="275">
        <f t="shared" ca="1" si="72"/>
        <v>0</v>
      </c>
      <c r="J100" s="275">
        <f t="shared" ca="1" si="73"/>
        <v>0</v>
      </c>
      <c r="K100" s="137">
        <f t="shared" ca="1" si="74"/>
        <v>0</v>
      </c>
      <c r="L100" s="15" t="str">
        <f t="shared" ca="1" si="88"/>
        <v>F</v>
      </c>
      <c r="M100" s="88">
        <f t="shared" ca="1" si="88"/>
        <v>0</v>
      </c>
      <c r="N100" s="88">
        <f t="shared" ca="1" si="88"/>
        <v>0</v>
      </c>
      <c r="O100" s="432">
        <v>1000000000000000</v>
      </c>
      <c r="P100" s="69">
        <v>109575</v>
      </c>
      <c r="Q100" s="3">
        <f t="shared" si="75"/>
        <v>64597</v>
      </c>
      <c r="R100" s="107">
        <f t="shared" ca="1" si="100"/>
        <v>18.380000000000003</v>
      </c>
      <c r="S100" s="105">
        <f t="shared" ca="1" si="101"/>
        <v>25893685.458928723</v>
      </c>
      <c r="T100" s="341">
        <v>0</v>
      </c>
      <c r="U100" s="341">
        <v>0.11849999999999999</v>
      </c>
      <c r="V100" s="341">
        <v>0.11849999999999999</v>
      </c>
      <c r="W100" s="341">
        <v>0.11849999999999999</v>
      </c>
      <c r="X100" s="281">
        <f t="shared" si="91"/>
        <v>0.02</v>
      </c>
      <c r="Y100" s="282">
        <f t="shared" si="97"/>
        <v>0.1</v>
      </c>
      <c r="AA100" s="391">
        <f t="shared" ca="1" si="92"/>
        <v>0</v>
      </c>
      <c r="AB100" s="400">
        <f t="shared" ca="1" si="92"/>
        <v>0</v>
      </c>
      <c r="AC100" s="258">
        <f t="shared" ca="1" si="76"/>
        <v>0</v>
      </c>
      <c r="AD100" s="258">
        <f t="shared" ca="1" si="77"/>
        <v>0</v>
      </c>
      <c r="AE100" s="402">
        <f t="shared" ca="1" si="78"/>
        <v>0</v>
      </c>
      <c r="AF100" s="402">
        <f t="shared" ca="1" si="79"/>
        <v>0</v>
      </c>
      <c r="AG100" s="404">
        <f t="shared" ca="1" si="93"/>
        <v>0</v>
      </c>
      <c r="AH100" s="415">
        <f t="shared" ca="1" si="94"/>
        <v>0</v>
      </c>
      <c r="AI100" s="415">
        <f t="shared" ca="1" si="98"/>
        <v>0</v>
      </c>
      <c r="AJ100" s="416">
        <f t="shared" ca="1" si="95"/>
        <v>0</v>
      </c>
      <c r="AK100" s="416">
        <f t="shared" ca="1" si="96"/>
        <v>0</v>
      </c>
      <c r="AL100" s="416">
        <v>0</v>
      </c>
      <c r="AM100" s="269">
        <f t="shared" ca="1" si="99"/>
        <v>0</v>
      </c>
      <c r="AN100" s="422">
        <f t="shared" ca="1" si="80"/>
        <v>18.66</v>
      </c>
      <c r="AO100" s="423">
        <f t="shared" ca="1" si="81"/>
        <v>26311205.816876858</v>
      </c>
      <c r="AP100" s="271">
        <f t="shared" ca="1" si="82"/>
        <v>0</v>
      </c>
      <c r="AQ100" s="271">
        <f t="shared" ca="1" si="83"/>
        <v>0</v>
      </c>
      <c r="AR100" s="271">
        <f t="shared" ca="1" si="84"/>
        <v>0</v>
      </c>
      <c r="AS100" s="271">
        <f t="shared" ca="1" si="85"/>
        <v>0</v>
      </c>
      <c r="AT100" s="271">
        <f t="shared" ca="1" si="86"/>
        <v>0.02</v>
      </c>
      <c r="AU100" s="278">
        <f t="shared" ca="1" si="87"/>
        <v>0.1</v>
      </c>
    </row>
    <row r="101" spans="2:47" ht="13.15" thickBot="1" x14ac:dyDescent="0.4">
      <c r="B101" s="18">
        <f t="shared" si="102"/>
        <v>82</v>
      </c>
      <c r="C101" s="85">
        <f t="shared" ca="1" si="68"/>
        <v>0</v>
      </c>
      <c r="D101" s="85">
        <f t="shared" ca="1" si="69"/>
        <v>0</v>
      </c>
      <c r="E101" s="84">
        <f t="shared" ca="1" si="70"/>
        <v>0</v>
      </c>
      <c r="F101" s="135">
        <f t="shared" ca="1" si="71"/>
        <v>0</v>
      </c>
      <c r="G101" s="409">
        <f t="shared" ca="1" si="89"/>
        <v>0</v>
      </c>
      <c r="H101" s="409">
        <f t="shared" ca="1" si="90"/>
        <v>0</v>
      </c>
      <c r="I101" s="275">
        <f t="shared" ca="1" si="72"/>
        <v>0</v>
      </c>
      <c r="J101" s="275">
        <f t="shared" ca="1" si="73"/>
        <v>0</v>
      </c>
      <c r="K101" s="137">
        <f t="shared" ca="1" si="74"/>
        <v>0</v>
      </c>
      <c r="L101" s="15" t="str">
        <f t="shared" ca="1" si="88"/>
        <v>F</v>
      </c>
      <c r="M101" s="88">
        <f t="shared" ca="1" si="88"/>
        <v>0</v>
      </c>
      <c r="N101" s="88">
        <f t="shared" ca="1" si="88"/>
        <v>0</v>
      </c>
      <c r="O101" s="432">
        <v>1000000000000000</v>
      </c>
      <c r="P101" s="69">
        <v>109575</v>
      </c>
      <c r="Q101" s="3">
        <f t="shared" si="75"/>
        <v>64597</v>
      </c>
      <c r="R101" s="107">
        <f t="shared" ca="1" si="100"/>
        <v>18.380000000000003</v>
      </c>
      <c r="S101" s="105">
        <f t="shared" ca="1" si="101"/>
        <v>25893685.458928723</v>
      </c>
      <c r="T101" s="341">
        <v>0</v>
      </c>
      <c r="U101" s="341">
        <v>0.11849999999999999</v>
      </c>
      <c r="V101" s="341">
        <v>0.11849999999999999</v>
      </c>
      <c r="W101" s="341">
        <v>0.11849999999999999</v>
      </c>
      <c r="X101" s="281">
        <f t="shared" si="91"/>
        <v>0.02</v>
      </c>
      <c r="Y101" s="282">
        <f t="shared" si="97"/>
        <v>0.1</v>
      </c>
      <c r="AA101" s="391">
        <f t="shared" ca="1" si="92"/>
        <v>0</v>
      </c>
      <c r="AB101" s="400">
        <f t="shared" ca="1" si="92"/>
        <v>0</v>
      </c>
      <c r="AC101" s="258">
        <f t="shared" ca="1" si="76"/>
        <v>0</v>
      </c>
      <c r="AD101" s="258">
        <f t="shared" ca="1" si="77"/>
        <v>0</v>
      </c>
      <c r="AE101" s="402">
        <f t="shared" ca="1" si="78"/>
        <v>0</v>
      </c>
      <c r="AF101" s="402">
        <f t="shared" ca="1" si="79"/>
        <v>0</v>
      </c>
      <c r="AG101" s="404">
        <f t="shared" ca="1" si="93"/>
        <v>0</v>
      </c>
      <c r="AH101" s="415">
        <f t="shared" ca="1" si="94"/>
        <v>0</v>
      </c>
      <c r="AI101" s="415">
        <f t="shared" ca="1" si="98"/>
        <v>0</v>
      </c>
      <c r="AJ101" s="416">
        <f t="shared" ca="1" si="95"/>
        <v>0</v>
      </c>
      <c r="AK101" s="416">
        <f t="shared" ca="1" si="96"/>
        <v>0</v>
      </c>
      <c r="AL101" s="416">
        <v>0</v>
      </c>
      <c r="AM101" s="269">
        <f t="shared" ca="1" si="99"/>
        <v>0</v>
      </c>
      <c r="AN101" s="422">
        <f t="shared" ca="1" si="80"/>
        <v>18.66</v>
      </c>
      <c r="AO101" s="423">
        <f t="shared" ca="1" si="81"/>
        <v>26311205.816876858</v>
      </c>
      <c r="AP101" s="271">
        <f t="shared" ca="1" si="82"/>
        <v>0</v>
      </c>
      <c r="AQ101" s="271">
        <f t="shared" ca="1" si="83"/>
        <v>0</v>
      </c>
      <c r="AR101" s="271">
        <f t="shared" ca="1" si="84"/>
        <v>0</v>
      </c>
      <c r="AS101" s="271">
        <f t="shared" ca="1" si="85"/>
        <v>0</v>
      </c>
      <c r="AT101" s="271">
        <f t="shared" ca="1" si="86"/>
        <v>0.02</v>
      </c>
      <c r="AU101" s="278">
        <f t="shared" ca="1" si="87"/>
        <v>0.1</v>
      </c>
    </row>
    <row r="102" spans="2:47" ht="13.15" thickBot="1" x14ac:dyDescent="0.4">
      <c r="B102" s="18">
        <f t="shared" si="102"/>
        <v>83</v>
      </c>
      <c r="C102" s="85">
        <f t="shared" ca="1" si="68"/>
        <v>0</v>
      </c>
      <c r="D102" s="85">
        <f t="shared" ca="1" si="69"/>
        <v>0</v>
      </c>
      <c r="E102" s="84">
        <f t="shared" ca="1" si="70"/>
        <v>0</v>
      </c>
      <c r="F102" s="135">
        <f t="shared" ca="1" si="71"/>
        <v>0</v>
      </c>
      <c r="G102" s="409">
        <f t="shared" ca="1" si="89"/>
        <v>0</v>
      </c>
      <c r="H102" s="409">
        <f t="shared" ca="1" si="90"/>
        <v>0</v>
      </c>
      <c r="I102" s="275">
        <f t="shared" ca="1" si="72"/>
        <v>0</v>
      </c>
      <c r="J102" s="275">
        <f t="shared" ca="1" si="73"/>
        <v>0</v>
      </c>
      <c r="K102" s="137">
        <f t="shared" ca="1" si="74"/>
        <v>0</v>
      </c>
      <c r="L102" s="15" t="str">
        <f t="shared" ca="1" si="88"/>
        <v>F</v>
      </c>
      <c r="M102" s="88">
        <f t="shared" ca="1" si="88"/>
        <v>0</v>
      </c>
      <c r="N102" s="88">
        <f t="shared" ca="1" si="88"/>
        <v>0</v>
      </c>
      <c r="O102" s="432">
        <v>1000000000000000</v>
      </c>
      <c r="P102" s="69">
        <v>109575</v>
      </c>
      <c r="Q102" s="3">
        <f t="shared" si="75"/>
        <v>64597</v>
      </c>
      <c r="R102" s="107">
        <f t="shared" ca="1" si="100"/>
        <v>18.380000000000003</v>
      </c>
      <c r="S102" s="105">
        <f t="shared" ca="1" si="101"/>
        <v>25893685.458928723</v>
      </c>
      <c r="T102" s="341">
        <v>0</v>
      </c>
      <c r="U102" s="341">
        <v>0.11849999999999999</v>
      </c>
      <c r="V102" s="341">
        <v>0.11849999999999999</v>
      </c>
      <c r="W102" s="341">
        <v>0.11849999999999999</v>
      </c>
      <c r="X102" s="281">
        <f t="shared" si="91"/>
        <v>0.02</v>
      </c>
      <c r="Y102" s="282">
        <f t="shared" si="97"/>
        <v>0.1</v>
      </c>
      <c r="AA102" s="391">
        <f t="shared" ca="1" si="92"/>
        <v>0</v>
      </c>
      <c r="AB102" s="400">
        <f t="shared" ca="1" si="92"/>
        <v>0</v>
      </c>
      <c r="AC102" s="258">
        <f t="shared" ca="1" si="76"/>
        <v>0</v>
      </c>
      <c r="AD102" s="258">
        <f t="shared" ca="1" si="77"/>
        <v>0</v>
      </c>
      <c r="AE102" s="402">
        <f t="shared" ca="1" si="78"/>
        <v>0</v>
      </c>
      <c r="AF102" s="402">
        <f t="shared" ca="1" si="79"/>
        <v>0</v>
      </c>
      <c r="AG102" s="404">
        <f t="shared" ca="1" si="93"/>
        <v>0</v>
      </c>
      <c r="AH102" s="415">
        <f t="shared" ca="1" si="94"/>
        <v>0</v>
      </c>
      <c r="AI102" s="415">
        <f t="shared" ca="1" si="98"/>
        <v>0</v>
      </c>
      <c r="AJ102" s="416">
        <f t="shared" ca="1" si="95"/>
        <v>0</v>
      </c>
      <c r="AK102" s="416">
        <f t="shared" ca="1" si="96"/>
        <v>0</v>
      </c>
      <c r="AL102" s="416">
        <v>0</v>
      </c>
      <c r="AM102" s="269">
        <f t="shared" ca="1" si="99"/>
        <v>0</v>
      </c>
      <c r="AN102" s="422">
        <f t="shared" ca="1" si="80"/>
        <v>18.66</v>
      </c>
      <c r="AO102" s="423">
        <f t="shared" ca="1" si="81"/>
        <v>26311205.816876858</v>
      </c>
      <c r="AP102" s="271">
        <f t="shared" ca="1" si="82"/>
        <v>0</v>
      </c>
      <c r="AQ102" s="271">
        <f t="shared" ca="1" si="83"/>
        <v>0</v>
      </c>
      <c r="AR102" s="271">
        <f t="shared" ca="1" si="84"/>
        <v>0</v>
      </c>
      <c r="AS102" s="271">
        <f t="shared" ca="1" si="85"/>
        <v>0</v>
      </c>
      <c r="AT102" s="271">
        <f t="shared" ca="1" si="86"/>
        <v>0.02</v>
      </c>
      <c r="AU102" s="278">
        <f t="shared" ca="1" si="87"/>
        <v>0.1</v>
      </c>
    </row>
    <row r="103" spans="2:47" ht="13.15" thickBot="1" x14ac:dyDescent="0.4">
      <c r="B103" s="18">
        <f t="shared" si="102"/>
        <v>84</v>
      </c>
      <c r="C103" s="85">
        <f t="shared" ca="1" si="68"/>
        <v>0</v>
      </c>
      <c r="D103" s="85">
        <f t="shared" ca="1" si="69"/>
        <v>0</v>
      </c>
      <c r="E103" s="84">
        <f t="shared" ca="1" si="70"/>
        <v>0</v>
      </c>
      <c r="F103" s="135">
        <f t="shared" ca="1" si="71"/>
        <v>0</v>
      </c>
      <c r="G103" s="409">
        <f t="shared" ca="1" si="89"/>
        <v>0</v>
      </c>
      <c r="H103" s="409">
        <f t="shared" ca="1" si="90"/>
        <v>0</v>
      </c>
      <c r="I103" s="275">
        <f t="shared" ca="1" si="72"/>
        <v>0</v>
      </c>
      <c r="J103" s="275">
        <f t="shared" ca="1" si="73"/>
        <v>0</v>
      </c>
      <c r="K103" s="137">
        <f t="shared" ca="1" si="74"/>
        <v>0</v>
      </c>
      <c r="L103" s="15" t="str">
        <f t="shared" ca="1" si="88"/>
        <v>F</v>
      </c>
      <c r="M103" s="88">
        <f t="shared" ca="1" si="88"/>
        <v>0</v>
      </c>
      <c r="N103" s="88">
        <f t="shared" ca="1" si="88"/>
        <v>0</v>
      </c>
      <c r="O103" s="432">
        <v>1000000000000000</v>
      </c>
      <c r="P103" s="69">
        <v>109575</v>
      </c>
      <c r="Q103" s="3">
        <f t="shared" si="75"/>
        <v>64597</v>
      </c>
      <c r="R103" s="107">
        <f t="shared" ca="1" si="100"/>
        <v>18.380000000000003</v>
      </c>
      <c r="S103" s="105">
        <f t="shared" ca="1" si="101"/>
        <v>25893685.458928723</v>
      </c>
      <c r="T103" s="341">
        <v>0</v>
      </c>
      <c r="U103" s="341">
        <v>0.11849999999999999</v>
      </c>
      <c r="V103" s="341">
        <v>0.11849999999999999</v>
      </c>
      <c r="W103" s="341">
        <v>0.11849999999999999</v>
      </c>
      <c r="X103" s="281">
        <f t="shared" si="91"/>
        <v>0.02</v>
      </c>
      <c r="Y103" s="282">
        <f t="shared" si="97"/>
        <v>0.1</v>
      </c>
      <c r="AA103" s="391">
        <f t="shared" ca="1" si="92"/>
        <v>0</v>
      </c>
      <c r="AB103" s="400">
        <f t="shared" ca="1" si="92"/>
        <v>0</v>
      </c>
      <c r="AC103" s="258">
        <f t="shared" ca="1" si="76"/>
        <v>0</v>
      </c>
      <c r="AD103" s="258">
        <f t="shared" ca="1" si="77"/>
        <v>0</v>
      </c>
      <c r="AE103" s="402">
        <f t="shared" ca="1" si="78"/>
        <v>0</v>
      </c>
      <c r="AF103" s="402">
        <f t="shared" ca="1" si="79"/>
        <v>0</v>
      </c>
      <c r="AG103" s="404">
        <f t="shared" ca="1" si="93"/>
        <v>0</v>
      </c>
      <c r="AH103" s="415">
        <f t="shared" ca="1" si="94"/>
        <v>0</v>
      </c>
      <c r="AI103" s="415">
        <f t="shared" ca="1" si="98"/>
        <v>0</v>
      </c>
      <c r="AJ103" s="416">
        <f t="shared" ca="1" si="95"/>
        <v>0</v>
      </c>
      <c r="AK103" s="416">
        <f t="shared" ca="1" si="96"/>
        <v>0</v>
      </c>
      <c r="AL103" s="416">
        <v>0</v>
      </c>
      <c r="AM103" s="269">
        <f t="shared" ca="1" si="99"/>
        <v>0</v>
      </c>
      <c r="AN103" s="422">
        <f t="shared" ca="1" si="80"/>
        <v>18.66</v>
      </c>
      <c r="AO103" s="423">
        <f t="shared" ca="1" si="81"/>
        <v>26311205.816876858</v>
      </c>
      <c r="AP103" s="271">
        <f t="shared" ca="1" si="82"/>
        <v>0</v>
      </c>
      <c r="AQ103" s="271">
        <f t="shared" ca="1" si="83"/>
        <v>0</v>
      </c>
      <c r="AR103" s="271">
        <f t="shared" ca="1" si="84"/>
        <v>0</v>
      </c>
      <c r="AS103" s="271">
        <f t="shared" ca="1" si="85"/>
        <v>0</v>
      </c>
      <c r="AT103" s="271">
        <f t="shared" ca="1" si="86"/>
        <v>0.02</v>
      </c>
      <c r="AU103" s="278">
        <f t="shared" ca="1" si="87"/>
        <v>0.1</v>
      </c>
    </row>
    <row r="104" spans="2:47" ht="13.15" thickBot="1" x14ac:dyDescent="0.4">
      <c r="B104" s="18">
        <f t="shared" si="102"/>
        <v>85</v>
      </c>
      <c r="C104" s="85">
        <f t="shared" ca="1" si="68"/>
        <v>0</v>
      </c>
      <c r="D104" s="85">
        <f t="shared" ca="1" si="69"/>
        <v>0</v>
      </c>
      <c r="E104" s="84">
        <f t="shared" ca="1" si="70"/>
        <v>0</v>
      </c>
      <c r="F104" s="135">
        <f t="shared" ca="1" si="71"/>
        <v>0</v>
      </c>
      <c r="G104" s="409">
        <f t="shared" ca="1" si="89"/>
        <v>0</v>
      </c>
      <c r="H104" s="409">
        <f t="shared" ca="1" si="90"/>
        <v>0</v>
      </c>
      <c r="I104" s="275">
        <f t="shared" ca="1" si="72"/>
        <v>0</v>
      </c>
      <c r="J104" s="275">
        <f t="shared" ca="1" si="73"/>
        <v>0</v>
      </c>
      <c r="K104" s="137">
        <f t="shared" ca="1" si="74"/>
        <v>0</v>
      </c>
      <c r="L104" s="15" t="str">
        <f t="shared" ca="1" si="88"/>
        <v>F</v>
      </c>
      <c r="M104" s="88">
        <f t="shared" ca="1" si="88"/>
        <v>0</v>
      </c>
      <c r="N104" s="88">
        <f t="shared" ca="1" si="88"/>
        <v>0</v>
      </c>
      <c r="O104" s="432">
        <v>1000000000000000</v>
      </c>
      <c r="P104" s="69">
        <v>109575</v>
      </c>
      <c r="Q104" s="3">
        <f t="shared" si="75"/>
        <v>64597</v>
      </c>
      <c r="R104" s="107">
        <f t="shared" ca="1" si="100"/>
        <v>18.380000000000003</v>
      </c>
      <c r="S104" s="105">
        <f t="shared" ca="1" si="101"/>
        <v>25893685.458928723</v>
      </c>
      <c r="T104" s="341">
        <v>0</v>
      </c>
      <c r="U104" s="341">
        <v>0.11849999999999999</v>
      </c>
      <c r="V104" s="341">
        <v>0.11849999999999999</v>
      </c>
      <c r="W104" s="341">
        <v>0.11849999999999999</v>
      </c>
      <c r="X104" s="281">
        <f t="shared" si="91"/>
        <v>0.02</v>
      </c>
      <c r="Y104" s="282">
        <f t="shared" si="97"/>
        <v>0.1</v>
      </c>
      <c r="AA104" s="391">
        <f t="shared" ca="1" si="92"/>
        <v>0</v>
      </c>
      <c r="AB104" s="400">
        <f t="shared" ca="1" si="92"/>
        <v>0</v>
      </c>
      <c r="AC104" s="258">
        <f t="shared" ca="1" si="76"/>
        <v>0</v>
      </c>
      <c r="AD104" s="258">
        <f t="shared" ca="1" si="77"/>
        <v>0</v>
      </c>
      <c r="AE104" s="402">
        <f t="shared" ca="1" si="78"/>
        <v>0</v>
      </c>
      <c r="AF104" s="402">
        <f t="shared" ca="1" si="79"/>
        <v>0</v>
      </c>
      <c r="AG104" s="404">
        <f t="shared" ca="1" si="93"/>
        <v>0</v>
      </c>
      <c r="AH104" s="415">
        <f t="shared" ca="1" si="94"/>
        <v>0</v>
      </c>
      <c r="AI104" s="415">
        <f t="shared" ca="1" si="98"/>
        <v>0</v>
      </c>
      <c r="AJ104" s="416">
        <f t="shared" ca="1" si="95"/>
        <v>0</v>
      </c>
      <c r="AK104" s="416">
        <f t="shared" ca="1" si="96"/>
        <v>0</v>
      </c>
      <c r="AL104" s="416">
        <v>0</v>
      </c>
      <c r="AM104" s="269">
        <f t="shared" ca="1" si="99"/>
        <v>0</v>
      </c>
      <c r="AN104" s="422">
        <f t="shared" ca="1" si="80"/>
        <v>18.66</v>
      </c>
      <c r="AO104" s="423">
        <f t="shared" ca="1" si="81"/>
        <v>26311205.816876858</v>
      </c>
      <c r="AP104" s="271">
        <f t="shared" ca="1" si="82"/>
        <v>0</v>
      </c>
      <c r="AQ104" s="271">
        <f t="shared" ca="1" si="83"/>
        <v>0</v>
      </c>
      <c r="AR104" s="271">
        <f t="shared" ca="1" si="84"/>
        <v>0</v>
      </c>
      <c r="AS104" s="271">
        <f t="shared" ca="1" si="85"/>
        <v>0</v>
      </c>
      <c r="AT104" s="271">
        <f t="shared" ca="1" si="86"/>
        <v>0.02</v>
      </c>
      <c r="AU104" s="278">
        <f t="shared" ca="1" si="87"/>
        <v>0.1</v>
      </c>
    </row>
    <row r="105" spans="2:47" ht="13.15" thickBot="1" x14ac:dyDescent="0.4">
      <c r="B105" s="18">
        <f t="shared" si="102"/>
        <v>86</v>
      </c>
      <c r="C105" s="85">
        <f t="shared" ca="1" si="68"/>
        <v>0</v>
      </c>
      <c r="D105" s="85">
        <f t="shared" ca="1" si="69"/>
        <v>0</v>
      </c>
      <c r="E105" s="84">
        <f t="shared" ca="1" si="70"/>
        <v>0</v>
      </c>
      <c r="F105" s="135">
        <f t="shared" ca="1" si="71"/>
        <v>0</v>
      </c>
      <c r="G105" s="409">
        <f t="shared" ca="1" si="89"/>
        <v>0</v>
      </c>
      <c r="H105" s="409">
        <f t="shared" ca="1" si="90"/>
        <v>0</v>
      </c>
      <c r="I105" s="275">
        <f t="shared" ca="1" si="72"/>
        <v>0</v>
      </c>
      <c r="J105" s="275">
        <f t="shared" ca="1" si="73"/>
        <v>0</v>
      </c>
      <c r="K105" s="137">
        <f t="shared" ca="1" si="74"/>
        <v>0</v>
      </c>
      <c r="L105" s="15" t="str">
        <f t="shared" ca="1" si="88"/>
        <v>F</v>
      </c>
      <c r="M105" s="88">
        <f t="shared" ca="1" si="88"/>
        <v>0</v>
      </c>
      <c r="N105" s="88">
        <f t="shared" ca="1" si="88"/>
        <v>0</v>
      </c>
      <c r="O105" s="432">
        <v>1000000000000000</v>
      </c>
      <c r="P105" s="69">
        <v>109575</v>
      </c>
      <c r="Q105" s="3">
        <f t="shared" si="75"/>
        <v>64597</v>
      </c>
      <c r="R105" s="107">
        <f t="shared" ca="1" si="100"/>
        <v>18.380000000000003</v>
      </c>
      <c r="S105" s="105">
        <f t="shared" ca="1" si="101"/>
        <v>25893685.458928723</v>
      </c>
      <c r="T105" s="341">
        <v>0</v>
      </c>
      <c r="U105" s="341">
        <v>0.11849999999999999</v>
      </c>
      <c r="V105" s="341">
        <v>0.11849999999999999</v>
      </c>
      <c r="W105" s="341">
        <v>0.11849999999999999</v>
      </c>
      <c r="X105" s="281">
        <f t="shared" si="91"/>
        <v>0.02</v>
      </c>
      <c r="Y105" s="282">
        <f t="shared" si="97"/>
        <v>0.1</v>
      </c>
      <c r="AA105" s="391">
        <f t="shared" ca="1" si="92"/>
        <v>0</v>
      </c>
      <c r="AB105" s="400">
        <f t="shared" ca="1" si="92"/>
        <v>0</v>
      </c>
      <c r="AC105" s="258">
        <f t="shared" ca="1" si="76"/>
        <v>0</v>
      </c>
      <c r="AD105" s="258">
        <f t="shared" ca="1" si="77"/>
        <v>0</v>
      </c>
      <c r="AE105" s="402">
        <f t="shared" ca="1" si="78"/>
        <v>0</v>
      </c>
      <c r="AF105" s="402">
        <f t="shared" ca="1" si="79"/>
        <v>0</v>
      </c>
      <c r="AG105" s="404">
        <f t="shared" ca="1" si="93"/>
        <v>0</v>
      </c>
      <c r="AH105" s="415">
        <f t="shared" ca="1" si="94"/>
        <v>0</v>
      </c>
      <c r="AI105" s="415">
        <f t="shared" ca="1" si="98"/>
        <v>0</v>
      </c>
      <c r="AJ105" s="416">
        <f t="shared" ca="1" si="95"/>
        <v>0</v>
      </c>
      <c r="AK105" s="416">
        <f t="shared" ca="1" si="96"/>
        <v>0</v>
      </c>
      <c r="AL105" s="416">
        <v>0</v>
      </c>
      <c r="AM105" s="269">
        <f t="shared" ca="1" si="99"/>
        <v>0</v>
      </c>
      <c r="AN105" s="422">
        <f t="shared" ca="1" si="80"/>
        <v>18.66</v>
      </c>
      <c r="AO105" s="423">
        <f t="shared" ca="1" si="81"/>
        <v>26311205.816876858</v>
      </c>
      <c r="AP105" s="271">
        <f t="shared" ca="1" si="82"/>
        <v>0</v>
      </c>
      <c r="AQ105" s="271">
        <f t="shared" ca="1" si="83"/>
        <v>0</v>
      </c>
      <c r="AR105" s="271">
        <f t="shared" ca="1" si="84"/>
        <v>0</v>
      </c>
      <c r="AS105" s="271">
        <f t="shared" ca="1" si="85"/>
        <v>0</v>
      </c>
      <c r="AT105" s="271">
        <f t="shared" ca="1" si="86"/>
        <v>0.02</v>
      </c>
      <c r="AU105" s="278">
        <f t="shared" ca="1" si="87"/>
        <v>0.1</v>
      </c>
    </row>
    <row r="106" spans="2:47" ht="13.15" thickBot="1" x14ac:dyDescent="0.4">
      <c r="B106" s="18">
        <f t="shared" si="102"/>
        <v>87</v>
      </c>
      <c r="C106" s="85">
        <f t="shared" ca="1" si="68"/>
        <v>0</v>
      </c>
      <c r="D106" s="85">
        <f t="shared" ca="1" si="69"/>
        <v>0</v>
      </c>
      <c r="E106" s="84">
        <f t="shared" ca="1" si="70"/>
        <v>0</v>
      </c>
      <c r="F106" s="135">
        <f t="shared" ca="1" si="71"/>
        <v>0</v>
      </c>
      <c r="G106" s="409">
        <f t="shared" ca="1" si="89"/>
        <v>0</v>
      </c>
      <c r="H106" s="409">
        <f t="shared" ca="1" si="90"/>
        <v>0</v>
      </c>
      <c r="I106" s="275">
        <f t="shared" ca="1" si="72"/>
        <v>0</v>
      </c>
      <c r="J106" s="275">
        <f t="shared" ca="1" si="73"/>
        <v>0</v>
      </c>
      <c r="K106" s="137">
        <f t="shared" ca="1" si="74"/>
        <v>0</v>
      </c>
      <c r="L106" s="15" t="str">
        <f t="shared" ca="1" si="88"/>
        <v>F</v>
      </c>
      <c r="M106" s="88">
        <f t="shared" ca="1" si="88"/>
        <v>0</v>
      </c>
      <c r="N106" s="88">
        <f t="shared" ca="1" si="88"/>
        <v>0</v>
      </c>
      <c r="O106" s="432">
        <v>1000000000000000</v>
      </c>
      <c r="P106" s="69">
        <v>109575</v>
      </c>
      <c r="Q106" s="3">
        <f t="shared" si="75"/>
        <v>64597</v>
      </c>
      <c r="R106" s="107">
        <f t="shared" ca="1" si="100"/>
        <v>18.380000000000003</v>
      </c>
      <c r="S106" s="105">
        <f t="shared" ca="1" si="101"/>
        <v>25893685.458928723</v>
      </c>
      <c r="T106" s="341">
        <v>0</v>
      </c>
      <c r="U106" s="341">
        <v>0.11849999999999999</v>
      </c>
      <c r="V106" s="341">
        <v>0.11849999999999999</v>
      </c>
      <c r="W106" s="341">
        <v>0.11849999999999999</v>
      </c>
      <c r="X106" s="281">
        <f t="shared" si="91"/>
        <v>0.02</v>
      </c>
      <c r="Y106" s="282">
        <f t="shared" si="97"/>
        <v>0.1</v>
      </c>
      <c r="AA106" s="391">
        <f t="shared" ca="1" si="92"/>
        <v>0</v>
      </c>
      <c r="AB106" s="400">
        <f t="shared" ca="1" si="92"/>
        <v>0</v>
      </c>
      <c r="AC106" s="258">
        <f t="shared" ca="1" si="76"/>
        <v>0</v>
      </c>
      <c r="AD106" s="258">
        <f t="shared" ca="1" si="77"/>
        <v>0</v>
      </c>
      <c r="AE106" s="402">
        <f t="shared" ca="1" si="78"/>
        <v>0</v>
      </c>
      <c r="AF106" s="402">
        <f t="shared" ca="1" si="79"/>
        <v>0</v>
      </c>
      <c r="AG106" s="404">
        <f t="shared" ca="1" si="93"/>
        <v>0</v>
      </c>
      <c r="AH106" s="415">
        <f t="shared" ca="1" si="94"/>
        <v>0</v>
      </c>
      <c r="AI106" s="415">
        <f t="shared" ca="1" si="98"/>
        <v>0</v>
      </c>
      <c r="AJ106" s="416">
        <f t="shared" ca="1" si="95"/>
        <v>0</v>
      </c>
      <c r="AK106" s="416">
        <f t="shared" ca="1" si="96"/>
        <v>0</v>
      </c>
      <c r="AL106" s="416">
        <v>0</v>
      </c>
      <c r="AM106" s="269">
        <f t="shared" ca="1" si="99"/>
        <v>0</v>
      </c>
      <c r="AN106" s="422">
        <f t="shared" ca="1" si="80"/>
        <v>18.66</v>
      </c>
      <c r="AO106" s="423">
        <f t="shared" ca="1" si="81"/>
        <v>26311205.816876858</v>
      </c>
      <c r="AP106" s="271">
        <f t="shared" ca="1" si="82"/>
        <v>0</v>
      </c>
      <c r="AQ106" s="271">
        <f t="shared" ca="1" si="83"/>
        <v>0</v>
      </c>
      <c r="AR106" s="271">
        <f t="shared" ca="1" si="84"/>
        <v>0</v>
      </c>
      <c r="AS106" s="271">
        <f t="shared" ca="1" si="85"/>
        <v>0</v>
      </c>
      <c r="AT106" s="271">
        <f t="shared" ca="1" si="86"/>
        <v>0.02</v>
      </c>
      <c r="AU106" s="278">
        <f t="shared" ca="1" si="87"/>
        <v>0.1</v>
      </c>
    </row>
    <row r="107" spans="2:47" ht="13.15" thickBot="1" x14ac:dyDescent="0.4">
      <c r="B107" s="18">
        <f t="shared" si="102"/>
        <v>88</v>
      </c>
      <c r="C107" s="85">
        <f t="shared" ca="1" si="68"/>
        <v>0</v>
      </c>
      <c r="D107" s="85">
        <f t="shared" ca="1" si="69"/>
        <v>0</v>
      </c>
      <c r="E107" s="84">
        <f t="shared" ca="1" si="70"/>
        <v>0</v>
      </c>
      <c r="F107" s="135">
        <f t="shared" ca="1" si="71"/>
        <v>0</v>
      </c>
      <c r="G107" s="409">
        <f t="shared" ca="1" si="89"/>
        <v>0</v>
      </c>
      <c r="H107" s="409">
        <f t="shared" ca="1" si="90"/>
        <v>0</v>
      </c>
      <c r="I107" s="275">
        <f t="shared" ca="1" si="72"/>
        <v>0</v>
      </c>
      <c r="J107" s="275">
        <f t="shared" ca="1" si="73"/>
        <v>0</v>
      </c>
      <c r="K107" s="137">
        <f t="shared" ca="1" si="74"/>
        <v>0</v>
      </c>
      <c r="L107" s="15" t="str">
        <f t="shared" ca="1" si="88"/>
        <v>F</v>
      </c>
      <c r="M107" s="88">
        <f t="shared" ca="1" si="88"/>
        <v>0</v>
      </c>
      <c r="N107" s="88">
        <f t="shared" ca="1" si="88"/>
        <v>0</v>
      </c>
      <c r="O107" s="432">
        <v>1000000000000000</v>
      </c>
      <c r="P107" s="69">
        <v>109575</v>
      </c>
      <c r="Q107" s="3">
        <f t="shared" si="75"/>
        <v>64597</v>
      </c>
      <c r="R107" s="107">
        <f t="shared" ca="1" si="100"/>
        <v>18.380000000000003</v>
      </c>
      <c r="S107" s="105">
        <f t="shared" ca="1" si="101"/>
        <v>25893685.458928723</v>
      </c>
      <c r="T107" s="341">
        <v>0</v>
      </c>
      <c r="U107" s="341">
        <v>0.11849999999999999</v>
      </c>
      <c r="V107" s="341">
        <v>0.11849999999999999</v>
      </c>
      <c r="W107" s="341">
        <v>0.11849999999999999</v>
      </c>
      <c r="X107" s="281">
        <f t="shared" si="91"/>
        <v>0.02</v>
      </c>
      <c r="Y107" s="282">
        <f t="shared" si="97"/>
        <v>0.1</v>
      </c>
      <c r="AA107" s="391">
        <f t="shared" ca="1" si="92"/>
        <v>0</v>
      </c>
      <c r="AB107" s="400">
        <f t="shared" ca="1" si="92"/>
        <v>0</v>
      </c>
      <c r="AC107" s="258">
        <f t="shared" ca="1" si="76"/>
        <v>0</v>
      </c>
      <c r="AD107" s="258">
        <f t="shared" ca="1" si="77"/>
        <v>0</v>
      </c>
      <c r="AE107" s="402">
        <f t="shared" ca="1" si="78"/>
        <v>0</v>
      </c>
      <c r="AF107" s="402">
        <f t="shared" ca="1" si="79"/>
        <v>0</v>
      </c>
      <c r="AG107" s="404">
        <f t="shared" ca="1" si="93"/>
        <v>0</v>
      </c>
      <c r="AH107" s="415">
        <f t="shared" ca="1" si="94"/>
        <v>0</v>
      </c>
      <c r="AI107" s="415">
        <f t="shared" ca="1" si="98"/>
        <v>0</v>
      </c>
      <c r="AJ107" s="416">
        <f t="shared" ca="1" si="95"/>
        <v>0</v>
      </c>
      <c r="AK107" s="416">
        <f t="shared" ca="1" si="96"/>
        <v>0</v>
      </c>
      <c r="AL107" s="416">
        <v>0</v>
      </c>
      <c r="AM107" s="269">
        <f t="shared" ca="1" si="99"/>
        <v>0</v>
      </c>
      <c r="AN107" s="422">
        <f t="shared" ca="1" si="80"/>
        <v>18.66</v>
      </c>
      <c r="AO107" s="423">
        <f t="shared" ca="1" si="81"/>
        <v>26311205.816876858</v>
      </c>
      <c r="AP107" s="271">
        <f t="shared" ca="1" si="82"/>
        <v>0</v>
      </c>
      <c r="AQ107" s="271">
        <f t="shared" ca="1" si="83"/>
        <v>0</v>
      </c>
      <c r="AR107" s="271">
        <f t="shared" ca="1" si="84"/>
        <v>0</v>
      </c>
      <c r="AS107" s="271">
        <f t="shared" ca="1" si="85"/>
        <v>0</v>
      </c>
      <c r="AT107" s="271">
        <f t="shared" ca="1" si="86"/>
        <v>0.02</v>
      </c>
      <c r="AU107" s="278">
        <f t="shared" ca="1" si="87"/>
        <v>0.1</v>
      </c>
    </row>
    <row r="108" spans="2:47" ht="13.15" thickBot="1" x14ac:dyDescent="0.4">
      <c r="B108" s="18">
        <f t="shared" si="102"/>
        <v>89</v>
      </c>
      <c r="C108" s="85">
        <f t="shared" ca="1" si="68"/>
        <v>0</v>
      </c>
      <c r="D108" s="85">
        <f t="shared" ca="1" si="69"/>
        <v>0</v>
      </c>
      <c r="E108" s="84">
        <f t="shared" ca="1" si="70"/>
        <v>0</v>
      </c>
      <c r="F108" s="135">
        <f t="shared" ca="1" si="71"/>
        <v>0</v>
      </c>
      <c r="G108" s="409">
        <f t="shared" ca="1" si="89"/>
        <v>0</v>
      </c>
      <c r="H108" s="409">
        <f t="shared" ca="1" si="90"/>
        <v>0</v>
      </c>
      <c r="I108" s="275">
        <f t="shared" ca="1" si="72"/>
        <v>0</v>
      </c>
      <c r="J108" s="275">
        <f t="shared" ca="1" si="73"/>
        <v>0</v>
      </c>
      <c r="K108" s="137">
        <f t="shared" ca="1" si="74"/>
        <v>0</v>
      </c>
      <c r="L108" s="15" t="str">
        <f t="shared" ca="1" si="88"/>
        <v>F</v>
      </c>
      <c r="M108" s="88">
        <f t="shared" ca="1" si="88"/>
        <v>0</v>
      </c>
      <c r="N108" s="88">
        <f t="shared" ca="1" si="88"/>
        <v>0</v>
      </c>
      <c r="O108" s="432">
        <v>1000000000000000</v>
      </c>
      <c r="P108" s="69">
        <v>109575</v>
      </c>
      <c r="Q108" s="3">
        <f t="shared" si="75"/>
        <v>64597</v>
      </c>
      <c r="R108" s="107">
        <f t="shared" ca="1" si="100"/>
        <v>18.380000000000003</v>
      </c>
      <c r="S108" s="105">
        <f t="shared" ca="1" si="101"/>
        <v>25893685.458928723</v>
      </c>
      <c r="T108" s="341">
        <v>0</v>
      </c>
      <c r="U108" s="341">
        <v>0.11849999999999999</v>
      </c>
      <c r="V108" s="341">
        <v>0.11849999999999999</v>
      </c>
      <c r="W108" s="341">
        <v>0.11849999999999999</v>
      </c>
      <c r="X108" s="281">
        <f t="shared" si="91"/>
        <v>0.02</v>
      </c>
      <c r="Y108" s="282">
        <f t="shared" si="97"/>
        <v>0.1</v>
      </c>
      <c r="AA108" s="391">
        <f t="shared" ca="1" si="92"/>
        <v>0</v>
      </c>
      <c r="AB108" s="400">
        <f t="shared" ca="1" si="92"/>
        <v>0</v>
      </c>
      <c r="AC108" s="258">
        <f t="shared" ca="1" si="76"/>
        <v>0</v>
      </c>
      <c r="AD108" s="258">
        <f t="shared" ca="1" si="77"/>
        <v>0</v>
      </c>
      <c r="AE108" s="402">
        <f t="shared" ca="1" si="78"/>
        <v>0</v>
      </c>
      <c r="AF108" s="402">
        <f t="shared" ca="1" si="79"/>
        <v>0</v>
      </c>
      <c r="AG108" s="404">
        <f t="shared" ca="1" si="93"/>
        <v>0</v>
      </c>
      <c r="AH108" s="415">
        <f t="shared" ca="1" si="94"/>
        <v>0</v>
      </c>
      <c r="AI108" s="415">
        <f t="shared" ca="1" si="98"/>
        <v>0</v>
      </c>
      <c r="AJ108" s="416">
        <f t="shared" ca="1" si="95"/>
        <v>0</v>
      </c>
      <c r="AK108" s="416">
        <f t="shared" ca="1" si="96"/>
        <v>0</v>
      </c>
      <c r="AL108" s="416">
        <v>0</v>
      </c>
      <c r="AM108" s="269">
        <f t="shared" ca="1" si="99"/>
        <v>0</v>
      </c>
      <c r="AN108" s="422">
        <f t="shared" ca="1" si="80"/>
        <v>18.66</v>
      </c>
      <c r="AO108" s="423">
        <f t="shared" ca="1" si="81"/>
        <v>26311205.816876858</v>
      </c>
      <c r="AP108" s="271">
        <f t="shared" ca="1" si="82"/>
        <v>0</v>
      </c>
      <c r="AQ108" s="271">
        <f t="shared" ca="1" si="83"/>
        <v>0</v>
      </c>
      <c r="AR108" s="271">
        <f t="shared" ca="1" si="84"/>
        <v>0</v>
      </c>
      <c r="AS108" s="271">
        <f t="shared" ca="1" si="85"/>
        <v>0</v>
      </c>
      <c r="AT108" s="271">
        <f t="shared" ca="1" si="86"/>
        <v>0.02</v>
      </c>
      <c r="AU108" s="278">
        <f t="shared" ca="1" si="87"/>
        <v>0.1</v>
      </c>
    </row>
    <row r="109" spans="2:47" ht="13.15" thickBot="1" x14ac:dyDescent="0.4">
      <c r="B109" s="18">
        <f t="shared" si="102"/>
        <v>90</v>
      </c>
      <c r="C109" s="85">
        <f t="shared" ca="1" si="68"/>
        <v>0</v>
      </c>
      <c r="D109" s="85">
        <f t="shared" ca="1" si="69"/>
        <v>0</v>
      </c>
      <c r="E109" s="84">
        <f t="shared" ca="1" si="70"/>
        <v>0</v>
      </c>
      <c r="F109" s="135">
        <f t="shared" ca="1" si="71"/>
        <v>0</v>
      </c>
      <c r="G109" s="409">
        <f t="shared" ca="1" si="89"/>
        <v>0</v>
      </c>
      <c r="H109" s="409">
        <f t="shared" ca="1" si="90"/>
        <v>0</v>
      </c>
      <c r="I109" s="275">
        <f t="shared" ca="1" si="72"/>
        <v>0</v>
      </c>
      <c r="J109" s="275">
        <f t="shared" ca="1" si="73"/>
        <v>0</v>
      </c>
      <c r="K109" s="137">
        <f t="shared" ca="1" si="74"/>
        <v>0</v>
      </c>
      <c r="L109" s="15" t="str">
        <f t="shared" ca="1" si="88"/>
        <v>F</v>
      </c>
      <c r="M109" s="88">
        <f t="shared" ca="1" si="88"/>
        <v>0</v>
      </c>
      <c r="N109" s="88">
        <f t="shared" ca="1" si="88"/>
        <v>0</v>
      </c>
      <c r="O109" s="432">
        <v>1000000000000000</v>
      </c>
      <c r="P109" s="69">
        <v>109575</v>
      </c>
      <c r="Q109" s="3">
        <f t="shared" si="75"/>
        <v>64597</v>
      </c>
      <c r="R109" s="107">
        <f t="shared" ca="1" si="100"/>
        <v>18.380000000000003</v>
      </c>
      <c r="S109" s="105">
        <f t="shared" ca="1" si="101"/>
        <v>25893685.458928723</v>
      </c>
      <c r="T109" s="341">
        <v>0</v>
      </c>
      <c r="U109" s="341">
        <v>0.11849999999999999</v>
      </c>
      <c r="V109" s="341">
        <v>0.11849999999999999</v>
      </c>
      <c r="W109" s="341">
        <v>0.11849999999999999</v>
      </c>
      <c r="X109" s="281">
        <f t="shared" si="91"/>
        <v>0.02</v>
      </c>
      <c r="Y109" s="282">
        <f t="shared" si="97"/>
        <v>0.1</v>
      </c>
      <c r="AA109" s="391">
        <f t="shared" ca="1" si="92"/>
        <v>0</v>
      </c>
      <c r="AB109" s="400">
        <f t="shared" ca="1" si="92"/>
        <v>0</v>
      </c>
      <c r="AC109" s="258">
        <f t="shared" ca="1" si="76"/>
        <v>0</v>
      </c>
      <c r="AD109" s="258">
        <f t="shared" ca="1" si="77"/>
        <v>0</v>
      </c>
      <c r="AE109" s="402">
        <f t="shared" ca="1" si="78"/>
        <v>0</v>
      </c>
      <c r="AF109" s="402">
        <f t="shared" ca="1" si="79"/>
        <v>0</v>
      </c>
      <c r="AG109" s="404">
        <f t="shared" ca="1" si="93"/>
        <v>0</v>
      </c>
      <c r="AH109" s="415">
        <f t="shared" ca="1" si="94"/>
        <v>0</v>
      </c>
      <c r="AI109" s="415">
        <f t="shared" ca="1" si="98"/>
        <v>0</v>
      </c>
      <c r="AJ109" s="416">
        <f t="shared" ca="1" si="95"/>
        <v>0</v>
      </c>
      <c r="AK109" s="416">
        <f t="shared" ca="1" si="96"/>
        <v>0</v>
      </c>
      <c r="AL109" s="416">
        <v>0</v>
      </c>
      <c r="AM109" s="269">
        <f t="shared" ca="1" si="99"/>
        <v>0</v>
      </c>
      <c r="AN109" s="422">
        <f t="shared" ca="1" si="80"/>
        <v>18.66</v>
      </c>
      <c r="AO109" s="423">
        <f t="shared" ca="1" si="81"/>
        <v>26311205.816876858</v>
      </c>
      <c r="AP109" s="271">
        <f t="shared" ca="1" si="82"/>
        <v>0</v>
      </c>
      <c r="AQ109" s="271">
        <f t="shared" ca="1" si="83"/>
        <v>0</v>
      </c>
      <c r="AR109" s="271">
        <f t="shared" ca="1" si="84"/>
        <v>0</v>
      </c>
      <c r="AS109" s="271">
        <f t="shared" ca="1" si="85"/>
        <v>0</v>
      </c>
      <c r="AT109" s="271">
        <f t="shared" ca="1" si="86"/>
        <v>0.02</v>
      </c>
      <c r="AU109" s="278">
        <f t="shared" ca="1" si="87"/>
        <v>0.1</v>
      </c>
    </row>
    <row r="110" spans="2:47" x14ac:dyDescent="0.35">
      <c r="B110" s="18">
        <f t="shared" si="102"/>
        <v>91</v>
      </c>
      <c r="C110" s="85">
        <f t="shared" ca="1" si="68"/>
        <v>0</v>
      </c>
      <c r="D110" s="85">
        <f t="shared" ca="1" si="69"/>
        <v>0</v>
      </c>
      <c r="E110" s="84">
        <f t="shared" ca="1" si="70"/>
        <v>0</v>
      </c>
      <c r="F110" s="135">
        <f t="shared" ca="1" si="71"/>
        <v>0</v>
      </c>
      <c r="G110" s="409">
        <f t="shared" ca="1" si="89"/>
        <v>0</v>
      </c>
      <c r="H110" s="409">
        <f t="shared" ca="1" si="90"/>
        <v>0</v>
      </c>
      <c r="I110" s="275">
        <f t="shared" ca="1" si="72"/>
        <v>0</v>
      </c>
      <c r="J110" s="275">
        <f t="shared" ca="1" si="73"/>
        <v>0</v>
      </c>
      <c r="K110" s="137">
        <f t="shared" ca="1" si="74"/>
        <v>0</v>
      </c>
      <c r="L110" s="15" t="str">
        <f t="shared" ca="1" si="88"/>
        <v>F</v>
      </c>
      <c r="M110" s="88">
        <f t="shared" ca="1" si="88"/>
        <v>0</v>
      </c>
      <c r="N110" s="88">
        <f t="shared" ca="1" si="88"/>
        <v>0</v>
      </c>
      <c r="O110" s="432">
        <v>1000000000000000</v>
      </c>
      <c r="P110" s="69">
        <v>109575</v>
      </c>
      <c r="Q110" s="3">
        <f t="shared" si="75"/>
        <v>64597</v>
      </c>
      <c r="R110" s="107">
        <f t="shared" ca="1" si="100"/>
        <v>18.380000000000003</v>
      </c>
      <c r="S110" s="105">
        <f t="shared" ca="1" si="101"/>
        <v>25893685.458928723</v>
      </c>
      <c r="T110" s="341">
        <v>0</v>
      </c>
      <c r="U110" s="341">
        <v>0.11849999999999999</v>
      </c>
      <c r="V110" s="341">
        <v>0.11849999999999999</v>
      </c>
      <c r="W110" s="341">
        <v>0.11849999999999999</v>
      </c>
      <c r="X110" s="281">
        <f t="shared" si="91"/>
        <v>0.02</v>
      </c>
      <c r="Y110" s="282">
        <f t="shared" si="97"/>
        <v>0.1</v>
      </c>
      <c r="AA110" s="391">
        <f t="shared" ca="1" si="92"/>
        <v>0</v>
      </c>
      <c r="AB110" s="400">
        <f t="shared" ca="1" si="92"/>
        <v>0</v>
      </c>
      <c r="AC110" s="258">
        <f t="shared" ca="1" si="76"/>
        <v>0</v>
      </c>
      <c r="AD110" s="258">
        <f t="shared" ca="1" si="77"/>
        <v>0</v>
      </c>
      <c r="AE110" s="402">
        <f t="shared" ca="1" si="78"/>
        <v>0</v>
      </c>
      <c r="AF110" s="402">
        <f t="shared" ca="1" si="79"/>
        <v>0</v>
      </c>
      <c r="AG110" s="404">
        <f t="shared" ca="1" si="93"/>
        <v>0</v>
      </c>
      <c r="AH110" s="415">
        <f t="shared" ca="1" si="94"/>
        <v>0</v>
      </c>
      <c r="AI110" s="415">
        <f t="shared" ca="1" si="98"/>
        <v>0</v>
      </c>
      <c r="AJ110" s="416">
        <f t="shared" ca="1" si="95"/>
        <v>0</v>
      </c>
      <c r="AK110" s="416">
        <f t="shared" ca="1" si="96"/>
        <v>0</v>
      </c>
      <c r="AL110" s="416">
        <v>0</v>
      </c>
      <c r="AM110" s="269">
        <f t="shared" ca="1" si="99"/>
        <v>0</v>
      </c>
      <c r="AN110" s="422">
        <f t="shared" ca="1" si="80"/>
        <v>18.66</v>
      </c>
      <c r="AO110" s="423">
        <f t="shared" ca="1" si="81"/>
        <v>26311205.816876858</v>
      </c>
      <c r="AP110" s="271">
        <f t="shared" ca="1" si="82"/>
        <v>0</v>
      </c>
      <c r="AQ110" s="271">
        <f t="shared" ca="1" si="83"/>
        <v>0</v>
      </c>
      <c r="AR110" s="271">
        <f t="shared" ca="1" si="84"/>
        <v>0</v>
      </c>
      <c r="AS110" s="271">
        <f t="shared" ca="1" si="85"/>
        <v>0</v>
      </c>
      <c r="AT110" s="271">
        <f t="shared" ca="1" si="86"/>
        <v>0.02</v>
      </c>
      <c r="AU110" s="278">
        <f t="shared" ca="1" si="87"/>
        <v>0.1</v>
      </c>
    </row>
  </sheetData>
  <mergeCells count="8">
    <mergeCell ref="R17:Y17"/>
    <mergeCell ref="F2:G2"/>
    <mergeCell ref="F3:G3"/>
    <mergeCell ref="E17:K17"/>
    <mergeCell ref="L2:M2"/>
    <mergeCell ref="L7:M7"/>
    <mergeCell ref="L12:M12"/>
    <mergeCell ref="L17:Q17"/>
  </mergeCells>
  <pageMargins left="0.75" right="0.75" top="1" bottom="1" header="0.5" footer="0.5"/>
  <pageSetup orientation="portrait" horizontalDpi="1200" verticalDpi="9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B1:AE260"/>
  <sheetViews>
    <sheetView zoomScale="71" zoomScaleNormal="207" workbookViewId="0">
      <selection activeCell="K18" sqref="K18"/>
    </sheetView>
  </sheetViews>
  <sheetFormatPr defaultRowHeight="12.75" x14ac:dyDescent="0.35"/>
  <cols>
    <col min="1" max="1" width="4.3984375" customWidth="1"/>
    <col min="2" max="5" width="14.265625" customWidth="1"/>
    <col min="6" max="25" width="10" customWidth="1"/>
    <col min="26" max="26" width="5.3984375" customWidth="1"/>
    <col min="27" max="27" width="10.86328125" bestFit="1" customWidth="1"/>
    <col min="29" max="29" width="12.59765625" customWidth="1"/>
    <col min="30" max="30" width="9" customWidth="1"/>
    <col min="31" max="31" width="14.265625" customWidth="1"/>
    <col min="32" max="32" width="12.59765625" bestFit="1" customWidth="1"/>
    <col min="33" max="33" width="12.1328125" customWidth="1"/>
    <col min="36" max="36" width="8" customWidth="1"/>
  </cols>
  <sheetData>
    <row r="1" spans="3:31" ht="13.15" thickBot="1" x14ac:dyDescent="0.4"/>
    <row r="2" spans="3:31" ht="13.15" thickBot="1" x14ac:dyDescent="0.4">
      <c r="F2" s="557" t="s">
        <v>38</v>
      </c>
      <c r="G2" s="558"/>
      <c r="H2" s="67">
        <v>44974</v>
      </c>
      <c r="K2" s="46" t="s">
        <v>57</v>
      </c>
      <c r="L2" s="559" t="s">
        <v>157</v>
      </c>
      <c r="M2" s="560"/>
      <c r="N2" s="266"/>
      <c r="O2" s="41" t="s">
        <v>54</v>
      </c>
      <c r="P2" s="41" t="s">
        <v>35</v>
      </c>
      <c r="Q2" s="41" t="s">
        <v>51</v>
      </c>
      <c r="R2" s="41" t="s">
        <v>53</v>
      </c>
      <c r="S2" s="41" t="s">
        <v>3</v>
      </c>
      <c r="T2" s="267"/>
    </row>
    <row r="3" spans="3:31" ht="13.15" thickBot="1" x14ac:dyDescent="0.4">
      <c r="F3" s="561" t="s">
        <v>61</v>
      </c>
      <c r="G3" s="562"/>
      <c r="H3" s="343" t="s">
        <v>158</v>
      </c>
      <c r="K3" s="259" t="s">
        <v>47</v>
      </c>
      <c r="L3" s="260">
        <v>0.129</v>
      </c>
      <c r="M3" s="261">
        <v>0.13100000000000001</v>
      </c>
      <c r="N3" s="266"/>
      <c r="O3" s="48" t="s">
        <v>32</v>
      </c>
      <c r="P3" s="330">
        <f>AVERAGE($L$3:$M$3)</f>
        <v>0.13</v>
      </c>
      <c r="Q3" s="331">
        <f>AVERAGE($L$4:$M$4)</f>
        <v>-1.7500000000000002E-2</v>
      </c>
      <c r="R3" s="332">
        <f>AVERAGE($L$5:$M$5)</f>
        <v>3.5000000000000003E-2</v>
      </c>
      <c r="S3" s="354">
        <f>$I$6*EXP(-($I$10-$I$11)*365/365)</f>
        <v>20.214136682814729</v>
      </c>
      <c r="T3" s="266"/>
    </row>
    <row r="4" spans="3:31" ht="13.15" thickBot="1" x14ac:dyDescent="0.4">
      <c r="K4" s="262" t="s">
        <v>48</v>
      </c>
      <c r="L4" s="263">
        <v>-0.02</v>
      </c>
      <c r="M4" s="264">
        <v>-1.4999999999999999E-2</v>
      </c>
      <c r="N4" s="266"/>
      <c r="O4" s="344" t="s">
        <v>33</v>
      </c>
      <c r="P4" s="345">
        <f>AVERAGE($L$8:$M$8)</f>
        <v>0.121</v>
      </c>
      <c r="Q4" s="346">
        <f>AVERAGE($L$9:$M$9)</f>
        <v>-7.4999999999999997E-3</v>
      </c>
      <c r="R4" s="347">
        <f>AVERAGE($L$10:$M$10)</f>
        <v>1.7500000000000002E-2</v>
      </c>
      <c r="S4" s="355">
        <f>$I$6*EXP(-($I$10-$I$11)*5*365/365)</f>
        <v>27.837448857986104</v>
      </c>
      <c r="T4" s="266"/>
    </row>
    <row r="5" spans="3:31" ht="13.15" thickBot="1" x14ac:dyDescent="0.4">
      <c r="F5" s="46" t="s">
        <v>60</v>
      </c>
      <c r="G5" s="45" t="s">
        <v>40</v>
      </c>
      <c r="H5" s="47" t="s">
        <v>41</v>
      </c>
      <c r="I5" s="48" t="s">
        <v>44</v>
      </c>
      <c r="K5" s="265" t="s">
        <v>49</v>
      </c>
      <c r="L5" s="386">
        <v>0.03</v>
      </c>
      <c r="M5" s="387">
        <v>0.04</v>
      </c>
      <c r="N5" s="266"/>
      <c r="O5" s="348" t="s">
        <v>34</v>
      </c>
      <c r="P5" s="349">
        <f>AVERAGE($L$13:$M$13)</f>
        <v>0.121</v>
      </c>
      <c r="Q5" s="350">
        <f>AVERAGE($L$10:$M$10)</f>
        <v>1.7500000000000002E-2</v>
      </c>
      <c r="R5" s="351">
        <f>AVERAGE($L$15:$M$15)</f>
        <v>1.4999999999999999E-2</v>
      </c>
      <c r="S5" s="356">
        <f>$I$6*EXP(-($I$10-$I$11)*10*365/365)</f>
        <v>41.528593725669452</v>
      </c>
      <c r="T5" s="266"/>
    </row>
    <row r="6" spans="3:31" ht="13.15" thickBot="1" x14ac:dyDescent="0.4">
      <c r="F6" s="53" t="s">
        <v>39</v>
      </c>
      <c r="G6" s="146">
        <v>18.559999999999999</v>
      </c>
      <c r="H6" s="147">
        <v>18.760000000000002</v>
      </c>
      <c r="I6" s="148">
        <f>AVERAGE(G6:H6)</f>
        <v>18.66</v>
      </c>
      <c r="K6" s="266"/>
      <c r="L6" s="266"/>
      <c r="M6" s="266"/>
      <c r="N6" s="266"/>
      <c r="O6" s="267"/>
      <c r="P6" s="267"/>
      <c r="Q6" s="267"/>
      <c r="R6" s="267"/>
      <c r="S6" s="267"/>
      <c r="T6" s="266"/>
    </row>
    <row r="7" spans="3:31" ht="13.15" thickBot="1" x14ac:dyDescent="0.4">
      <c r="F7" s="54" t="s">
        <v>45</v>
      </c>
      <c r="G7" s="336">
        <v>1.05</v>
      </c>
      <c r="H7" s="62">
        <v>1.07</v>
      </c>
      <c r="I7" s="55">
        <f>AVERAGE(G7:H7)</f>
        <v>1.06</v>
      </c>
      <c r="K7" s="46" t="s">
        <v>58</v>
      </c>
      <c r="L7" s="559" t="s">
        <v>157</v>
      </c>
      <c r="M7" s="560"/>
      <c r="N7" s="266"/>
      <c r="O7" s="41" t="s">
        <v>31</v>
      </c>
      <c r="P7" s="41" t="s">
        <v>36</v>
      </c>
      <c r="Q7" s="41" t="s">
        <v>35</v>
      </c>
      <c r="R7" s="41" t="s">
        <v>55</v>
      </c>
      <c r="S7" s="266"/>
      <c r="T7" s="266"/>
    </row>
    <row r="8" spans="3:31" ht="13.15" thickBot="1" x14ac:dyDescent="0.4">
      <c r="K8" s="259" t="s">
        <v>47</v>
      </c>
      <c r="L8" s="260">
        <v>0.12</v>
      </c>
      <c r="M8" s="261">
        <v>0.122</v>
      </c>
      <c r="N8" s="266"/>
      <c r="O8" s="48" t="str">
        <f>O3</f>
        <v>1Y</v>
      </c>
      <c r="P8" s="330">
        <f>P3-Q3/2+R3</f>
        <v>0.17375000000000002</v>
      </c>
      <c r="Q8" s="331">
        <f>P3</f>
        <v>0.13</v>
      </c>
      <c r="R8" s="335">
        <f>P3+Q3/2+R3</f>
        <v>0.15625</v>
      </c>
      <c r="S8" s="266"/>
      <c r="T8" s="266"/>
    </row>
    <row r="9" spans="3:31" ht="13.15" thickBot="1" x14ac:dyDescent="0.4">
      <c r="D9" s="23"/>
      <c r="F9" s="46" t="s">
        <v>46</v>
      </c>
      <c r="G9" s="45" t="s">
        <v>40</v>
      </c>
      <c r="H9" s="47" t="s">
        <v>41</v>
      </c>
      <c r="I9" s="48" t="s">
        <v>44</v>
      </c>
      <c r="K9" s="262" t="s">
        <v>48</v>
      </c>
      <c r="L9" s="263">
        <v>-5.0000000000000001E-3</v>
      </c>
      <c r="M9" s="264">
        <v>-0.01</v>
      </c>
      <c r="N9" s="266"/>
      <c r="O9" s="344" t="str">
        <f>O4</f>
        <v>5Y</v>
      </c>
      <c r="P9" s="345">
        <f>P4-Q4/2+R4</f>
        <v>0.14224999999999999</v>
      </c>
      <c r="Q9" s="346">
        <f>P4</f>
        <v>0.121</v>
      </c>
      <c r="R9" s="352">
        <f>P4+Q4/2+R4</f>
        <v>0.13474999999999998</v>
      </c>
      <c r="S9" s="266"/>
      <c r="T9" s="266"/>
    </row>
    <row r="10" spans="3:31" ht="13.15" thickBot="1" x14ac:dyDescent="0.4">
      <c r="D10" s="23"/>
      <c r="F10" s="56" t="s">
        <v>42</v>
      </c>
      <c r="G10" s="63">
        <v>1.9E-2</v>
      </c>
      <c r="H10" s="64">
        <v>2.1000000000000001E-2</v>
      </c>
      <c r="I10" s="57">
        <f>AVERAGE(G10:H10)</f>
        <v>0.02</v>
      </c>
      <c r="K10" s="265" t="s">
        <v>49</v>
      </c>
      <c r="L10" s="386">
        <v>1.4999999999999999E-2</v>
      </c>
      <c r="M10" s="387">
        <v>0.02</v>
      </c>
      <c r="N10" s="266"/>
      <c r="O10" s="348" t="str">
        <f>O5</f>
        <v>10Y</v>
      </c>
      <c r="P10" s="349">
        <f>P5-Q5/2+R5</f>
        <v>0.12724999999999997</v>
      </c>
      <c r="Q10" s="350">
        <f>P5</f>
        <v>0.121</v>
      </c>
      <c r="R10" s="353">
        <f>P5+Q5/2+R5</f>
        <v>0.14474999999999999</v>
      </c>
      <c r="S10" s="266"/>
      <c r="T10" s="266"/>
    </row>
    <row r="11" spans="3:31" ht="13.5" thickBot="1" x14ac:dyDescent="0.45">
      <c r="D11" s="337"/>
      <c r="F11" s="58" t="s">
        <v>43</v>
      </c>
      <c r="G11" s="65">
        <v>9.9000000000000005E-2</v>
      </c>
      <c r="H11" s="66">
        <v>0.10100000000000001</v>
      </c>
      <c r="I11" s="59">
        <f>AVERAGE(G11:H11)</f>
        <v>0.1</v>
      </c>
      <c r="K11" s="266"/>
      <c r="L11" s="266"/>
      <c r="M11" s="266"/>
      <c r="N11" s="266"/>
      <c r="O11" s="267"/>
      <c r="P11" s="267"/>
      <c r="Q11" s="267"/>
      <c r="R11" s="267"/>
      <c r="S11" s="266"/>
      <c r="T11" s="266"/>
    </row>
    <row r="12" spans="3:31" ht="13.15" thickBot="1" x14ac:dyDescent="0.4">
      <c r="F12" s="50"/>
      <c r="G12" s="51"/>
      <c r="H12" s="52"/>
      <c r="I12" s="1"/>
      <c r="K12" s="46" t="s">
        <v>59</v>
      </c>
      <c r="L12" s="559" t="s">
        <v>157</v>
      </c>
      <c r="M12" s="560"/>
      <c r="N12" s="266"/>
      <c r="O12" s="41" t="s">
        <v>56</v>
      </c>
      <c r="P12" s="41" t="s">
        <v>36</v>
      </c>
      <c r="Q12" s="41" t="s">
        <v>35</v>
      </c>
      <c r="R12" s="41" t="s">
        <v>55</v>
      </c>
      <c r="S12" s="266"/>
      <c r="T12" s="266"/>
    </row>
    <row r="13" spans="3:31" x14ac:dyDescent="0.35">
      <c r="F13" s="50"/>
      <c r="G13" s="51"/>
      <c r="H13" s="52"/>
      <c r="I13" s="1"/>
      <c r="K13" s="259" t="s">
        <v>47</v>
      </c>
      <c r="L13" s="260">
        <v>0.12</v>
      </c>
      <c r="M13" s="261">
        <v>0.122</v>
      </c>
      <c r="N13" s="266"/>
      <c r="O13" s="48" t="str">
        <f>O8</f>
        <v>1Y</v>
      </c>
      <c r="P13" s="357">
        <v>17.7961406391323</v>
      </c>
      <c r="Q13" s="358">
        <f>S3</f>
        <v>20.214136682814729</v>
      </c>
      <c r="R13" s="359">
        <v>21.571140639132299</v>
      </c>
      <c r="S13" s="266"/>
      <c r="T13" s="266"/>
    </row>
    <row r="14" spans="3:31" x14ac:dyDescent="0.35">
      <c r="F14" s="50"/>
      <c r="G14" s="51"/>
      <c r="H14" s="76"/>
      <c r="I14" s="77"/>
      <c r="K14" s="262" t="s">
        <v>48</v>
      </c>
      <c r="L14" s="263">
        <v>-0.01</v>
      </c>
      <c r="M14" s="264">
        <v>-1.4999999999999999E-2</v>
      </c>
      <c r="N14" s="266"/>
      <c r="O14" s="344" t="str">
        <f>O9</f>
        <v>5Y</v>
      </c>
      <c r="P14" s="380">
        <v>23.94</v>
      </c>
      <c r="Q14" s="381">
        <f>S4</f>
        <v>27.837448857986104</v>
      </c>
      <c r="R14" s="382">
        <v>29.786000000000001</v>
      </c>
      <c r="S14" s="266"/>
      <c r="T14" s="266"/>
    </row>
    <row r="15" spans="3:31" ht="13.15" thickBot="1" x14ac:dyDescent="0.4">
      <c r="E15" s="39"/>
      <c r="F15" s="50"/>
      <c r="G15" s="51"/>
      <c r="H15" s="157"/>
      <c r="I15" s="75"/>
      <c r="K15" s="265" t="s">
        <v>49</v>
      </c>
      <c r="L15" s="386">
        <v>0.01</v>
      </c>
      <c r="M15" s="387">
        <v>0.02</v>
      </c>
      <c r="N15" s="266"/>
      <c r="O15" s="348" t="str">
        <f>O10</f>
        <v>10Y</v>
      </c>
      <c r="P15" s="383">
        <v>35.298999999999999</v>
      </c>
      <c r="Q15" s="384">
        <f>S5</f>
        <v>41.528593725669452</v>
      </c>
      <c r="R15" s="385">
        <v>43.604999999999997</v>
      </c>
      <c r="S15" s="266"/>
      <c r="T15" s="266"/>
      <c r="AE15" s="71"/>
    </row>
    <row r="16" spans="3:31" ht="13.15" thickBot="1" x14ac:dyDescent="0.4">
      <c r="C16" s="360" t="s">
        <v>142</v>
      </c>
      <c r="D16" s="361" t="s">
        <v>143</v>
      </c>
      <c r="I16" s="110"/>
    </row>
    <row r="17" spans="2:25" ht="13.5" thickBot="1" x14ac:dyDescent="0.45">
      <c r="B17" s="1"/>
      <c r="C17" s="338">
        <f>D19-C19-D17</f>
        <v>0</v>
      </c>
      <c r="D17" s="273">
        <f>SUM(E20:E22)</f>
        <v>-531635.66491372895</v>
      </c>
      <c r="E17" s="563" t="s">
        <v>16</v>
      </c>
      <c r="F17" s="563"/>
      <c r="G17" s="563"/>
      <c r="H17" s="563"/>
      <c r="I17" s="563"/>
      <c r="J17" s="563"/>
      <c r="K17" s="564"/>
      <c r="L17" s="568" t="s">
        <v>174</v>
      </c>
      <c r="M17" s="566"/>
      <c r="N17" s="566"/>
      <c r="O17" s="566"/>
      <c r="P17" s="566"/>
      <c r="Q17" s="567"/>
      <c r="R17" s="554" t="s">
        <v>37</v>
      </c>
      <c r="S17" s="555"/>
      <c r="T17" s="555"/>
      <c r="U17" s="555"/>
      <c r="V17" s="555"/>
      <c r="W17" s="555"/>
      <c r="X17" s="555"/>
      <c r="Y17" s="556"/>
    </row>
    <row r="18" spans="2:25" ht="51.4" thickBot="1" x14ac:dyDescent="0.4">
      <c r="B18" s="362" t="s">
        <v>19</v>
      </c>
      <c r="C18" s="372" t="s">
        <v>137</v>
      </c>
      <c r="D18" s="362" t="s">
        <v>12</v>
      </c>
      <c r="E18" s="363" t="s">
        <v>4</v>
      </c>
      <c r="F18" s="373" t="s">
        <v>159</v>
      </c>
      <c r="G18" s="364" t="s">
        <v>25</v>
      </c>
      <c r="H18" s="364" t="s">
        <v>27</v>
      </c>
      <c r="I18" s="365" t="s">
        <v>140</v>
      </c>
      <c r="J18" s="365" t="s">
        <v>141</v>
      </c>
      <c r="K18" s="366" t="s">
        <v>68</v>
      </c>
      <c r="L18" s="374" t="s">
        <v>160</v>
      </c>
      <c r="M18" s="374" t="s">
        <v>176</v>
      </c>
      <c r="N18" s="374" t="s">
        <v>175</v>
      </c>
      <c r="O18" s="367" t="s">
        <v>2</v>
      </c>
      <c r="P18" s="367" t="s">
        <v>5</v>
      </c>
      <c r="Q18" s="374" t="s">
        <v>162</v>
      </c>
      <c r="R18" s="368" t="s">
        <v>13</v>
      </c>
      <c r="S18" s="369" t="s">
        <v>3</v>
      </c>
      <c r="T18" s="375" t="s">
        <v>163</v>
      </c>
      <c r="U18" s="370" t="s">
        <v>35</v>
      </c>
      <c r="V18" s="370" t="s">
        <v>51</v>
      </c>
      <c r="W18" s="370" t="s">
        <v>52</v>
      </c>
      <c r="X18" s="369" t="s">
        <v>7</v>
      </c>
      <c r="Y18" s="371" t="s">
        <v>138</v>
      </c>
    </row>
    <row r="19" spans="2:25" ht="13.5" thickBot="1" x14ac:dyDescent="0.45">
      <c r="B19" s="8"/>
      <c r="C19" s="86">
        <f>SUM(C20:C30)</f>
        <v>0</v>
      </c>
      <c r="D19" s="86">
        <f>SUM(D20:D31)</f>
        <v>-531635.66491372895</v>
      </c>
      <c r="E19" s="87">
        <f>SUM(E20:E31)</f>
        <v>-531635.66491372895</v>
      </c>
      <c r="F19" s="274">
        <f>SUM(F20:F31)</f>
        <v>-10.288582629114671</v>
      </c>
      <c r="G19" s="410">
        <f>SUM(G20:G31)</f>
        <v>0</v>
      </c>
      <c r="H19" s="410">
        <f>SUM(H20:H31)</f>
        <v>0</v>
      </c>
      <c r="I19" s="129">
        <f t="shared" ref="I19:J19" si="0">SUM(I20:I30)</f>
        <v>-2.4734169324492541</v>
      </c>
      <c r="J19" s="129">
        <f t="shared" si="0"/>
        <v>55.134342009214379</v>
      </c>
      <c r="K19" s="129">
        <f>SUM(K20:K30)</f>
        <v>-33.455710498659755</v>
      </c>
      <c r="L19" s="2"/>
      <c r="M19" s="2"/>
      <c r="N19" s="2"/>
      <c r="O19" s="2"/>
      <c r="P19" s="2"/>
      <c r="Q19" s="2"/>
      <c r="S19" s="2"/>
      <c r="T19" s="339"/>
      <c r="U19" s="339"/>
      <c r="V19" s="339"/>
      <c r="W19" s="339"/>
      <c r="X19" s="2"/>
      <c r="Y19" s="2"/>
    </row>
    <row r="20" spans="2:25" x14ac:dyDescent="0.35">
      <c r="B20" s="293">
        <v>1</v>
      </c>
      <c r="C20" s="295">
        <f>AI20</f>
        <v>0</v>
      </c>
      <c r="D20" s="295">
        <f>E20</f>
        <v>99999999.999999985</v>
      </c>
      <c r="E20" s="295">
        <f>N20*BSPrice(L20,1/S20,1/O20,Q20,X20,Y20,T20)*1000000</f>
        <v>99999999.999999985</v>
      </c>
      <c r="F20" s="296">
        <f t="shared" ref="F20" si="1">N20*BSDelta(L20,1/S20,1/O20,Q20,X20,Y20,T20)</f>
        <v>0</v>
      </c>
      <c r="G20" s="411">
        <f t="shared" ref="G20:G51" si="2">BSGamma(L20,1/S20,1/O20,Q20,X20,Y20,T20)*N20</f>
        <v>0</v>
      </c>
      <c r="H20" s="411">
        <f t="shared" ref="H20:H51" si="3">BSVega(L20,1/S20,1/O20,Q20,X20,Y20,T20)*N20*1000000</f>
        <v>0</v>
      </c>
      <c r="I20" s="297">
        <f>N20*BSDailyRhoUSD(L20,1/S20,1/O20,Q20,X20,Y20,T20)*1000000</f>
        <v>-9999.9999999999982</v>
      </c>
      <c r="J20" s="297">
        <f>N20*BSDailyRhoExt(L20,1/S20,1/O20,Q20,X20,Y20,T20)*1000000</f>
        <v>0</v>
      </c>
      <c r="K20" s="298">
        <f t="shared" ref="K20:K83" si="4">(E20-N20*EXP(-($I$10-$I$11)*1/365)*BSPrice(L20,1/(S20*EXP(-($I$10-$I$11)*1/365)),1/O20,Q20+1,X20,Y20,T20)*1000000)*(1)</f>
        <v>-16439.707336187363</v>
      </c>
      <c r="L20" s="299" t="s">
        <v>139</v>
      </c>
      <c r="M20" s="433">
        <v>100</v>
      </c>
      <c r="N20" s="426">
        <f>M20*EXP(I10*Q20/365)</f>
        <v>102.02013400267558</v>
      </c>
      <c r="O20" s="424">
        <v>1000000000000000</v>
      </c>
      <c r="P20" s="307">
        <v>45339</v>
      </c>
      <c r="Q20" s="301">
        <f t="shared" ref="Q20:Q83" si="5">(P20-$H$2)</f>
        <v>365</v>
      </c>
      <c r="R20" s="106">
        <f>IF(L20="D",1,$I$6)</f>
        <v>1</v>
      </c>
      <c r="S20" s="104">
        <f t="shared" ref="S20:S83" si="6">IF(L20="D",1,R20*EXP(-($I$10-$I$11)*Q20/365))</f>
        <v>1</v>
      </c>
      <c r="T20" s="340">
        <v>0</v>
      </c>
      <c r="U20" s="340">
        <v>0</v>
      </c>
      <c r="V20" s="340">
        <v>0</v>
      </c>
      <c r="W20" s="340">
        <v>0</v>
      </c>
      <c r="X20" s="279">
        <f t="shared" ref="X20:X83" si="7">$I$10</f>
        <v>0.02</v>
      </c>
      <c r="Y20" s="280">
        <f>$I$11</f>
        <v>0.1</v>
      </c>
    </row>
    <row r="21" spans="2:25" x14ac:dyDescent="0.35">
      <c r="B21" s="144">
        <f>B20+1</f>
        <v>2</v>
      </c>
      <c r="C21" s="92">
        <f t="shared" ref="C21:C29" si="8">AI21</f>
        <v>0</v>
      </c>
      <c r="D21" s="92">
        <f>E21</f>
        <v>-100535905.6805982</v>
      </c>
      <c r="E21" s="92">
        <f t="shared" ref="E21:E29" si="9">N21*BSPrice(L21,1/S21,1/O21,Q21,X21,Y21,T21)*1000000</f>
        <v>-100535905.6805982</v>
      </c>
      <c r="F21" s="134">
        <f>N21*BSDelta(L21,1/S21,1/O21,Q21,X21,Y21,T21)</f>
        <v>-1876.0000000000005</v>
      </c>
      <c r="G21" s="412">
        <f t="shared" si="2"/>
        <v>0</v>
      </c>
      <c r="H21" s="412">
        <f t="shared" si="3"/>
        <v>0</v>
      </c>
      <c r="I21" s="276">
        <f t="shared" ref="I21:I29" si="10">N21*BSDailyRhoUSD(L21,1/S21,1/O21,Q21,X21,Y21,T21)*1000000</f>
        <v>0</v>
      </c>
      <c r="J21" s="276">
        <f t="shared" ref="J21:J29" si="11">N21*BSDailyRhoExt(L21,1/S21,1/O21,Q21,X21,Y21,T21)*1000000</f>
        <v>10053.087905300041</v>
      </c>
      <c r="K21" s="136">
        <f t="shared" si="4"/>
        <v>-5508.6658259034157</v>
      </c>
      <c r="L21" s="72" t="s">
        <v>0</v>
      </c>
      <c r="M21" s="427">
        <f>-(M20*H6)</f>
        <v>-1876.0000000000002</v>
      </c>
      <c r="N21" s="89">
        <f>M21*EXP((I11*Q21)/365)</f>
        <v>-2073.3006423099155</v>
      </c>
      <c r="O21" s="425">
        <v>1000000000000000</v>
      </c>
      <c r="P21" s="308">
        <v>45339</v>
      </c>
      <c r="Q21" s="73">
        <f t="shared" si="5"/>
        <v>365</v>
      </c>
      <c r="R21" s="107">
        <f>IF(L21="D",1,$I$6)</f>
        <v>18.66</v>
      </c>
      <c r="S21" s="105">
        <f t="shared" si="6"/>
        <v>20.214136682814729</v>
      </c>
      <c r="T21" s="341">
        <v>0</v>
      </c>
      <c r="U21" s="341">
        <v>0</v>
      </c>
      <c r="V21" s="341">
        <v>0</v>
      </c>
      <c r="W21" s="341">
        <v>0</v>
      </c>
      <c r="X21" s="281">
        <f t="shared" si="7"/>
        <v>0.02</v>
      </c>
      <c r="Y21" s="282">
        <f>Y20</f>
        <v>0.1</v>
      </c>
    </row>
    <row r="22" spans="2:25" x14ac:dyDescent="0.35">
      <c r="B22" s="544">
        <f>B21+1</f>
        <v>3</v>
      </c>
      <c r="C22" s="309">
        <f t="shared" si="8"/>
        <v>0</v>
      </c>
      <c r="D22" s="309">
        <f>E22</f>
        <v>4270.0156844852745</v>
      </c>
      <c r="E22" s="309">
        <f>N22*BSPrice(L22,1/S22,1/O22,Q22,X22,Y22,T22)*1000000</f>
        <v>4270.0156844852745</v>
      </c>
      <c r="F22" s="310">
        <f t="shared" ref="F22:F29" si="12">N22*BSDelta(L22,1/S22,1/O22,Q22,X22,Y22,T22)</f>
        <v>1865.7114173708858</v>
      </c>
      <c r="G22" s="507">
        <f t="shared" si="2"/>
        <v>0</v>
      </c>
      <c r="H22" s="507">
        <f t="shared" si="3"/>
        <v>0</v>
      </c>
      <c r="I22" s="311">
        <f t="shared" si="10"/>
        <v>9997.5265830675489</v>
      </c>
      <c r="J22" s="311">
        <f t="shared" si="11"/>
        <v>-9997.9535632908264</v>
      </c>
      <c r="K22" s="312">
        <f t="shared" si="4"/>
        <v>21914.917451592119</v>
      </c>
      <c r="L22" s="313" t="s">
        <v>0</v>
      </c>
      <c r="M22" s="314">
        <v>102</v>
      </c>
      <c r="N22" s="314">
        <f>M22*O22</f>
        <v>2061.9299999999998</v>
      </c>
      <c r="O22" s="470">
        <f>ROUNDUP(I6*(EXP(I11*(Q22/365))/EXP(I10*(Q22/365))), 3)</f>
        <v>20.215</v>
      </c>
      <c r="P22" s="315">
        <v>45339</v>
      </c>
      <c r="Q22" s="481">
        <f t="shared" si="5"/>
        <v>365</v>
      </c>
      <c r="R22" s="303">
        <f>R21</f>
        <v>18.66</v>
      </c>
      <c r="S22" s="304">
        <f t="shared" si="6"/>
        <v>20.214136682814729</v>
      </c>
      <c r="T22" s="342">
        <v>0</v>
      </c>
      <c r="U22" s="342">
        <v>0</v>
      </c>
      <c r="V22" s="342">
        <v>0</v>
      </c>
      <c r="W22" s="342">
        <v>0</v>
      </c>
      <c r="X22" s="305">
        <f t="shared" si="7"/>
        <v>0.02</v>
      </c>
      <c r="Y22" s="306">
        <f t="shared" ref="Y22:Y85" si="13">Y21</f>
        <v>0.1</v>
      </c>
    </row>
    <row r="23" spans="2:25" x14ac:dyDescent="0.35">
      <c r="B23" s="18">
        <f t="shared" ref="B23:B86" si="14">B22+1</f>
        <v>4</v>
      </c>
      <c r="C23" s="85">
        <f t="shared" si="8"/>
        <v>0</v>
      </c>
      <c r="D23" s="85">
        <f t="shared" ref="D23:D29" si="15">E23</f>
        <v>0</v>
      </c>
      <c r="E23" s="84">
        <f t="shared" si="9"/>
        <v>0</v>
      </c>
      <c r="F23" s="135">
        <f t="shared" si="12"/>
        <v>0</v>
      </c>
      <c r="G23" s="413">
        <f t="shared" si="2"/>
        <v>0</v>
      </c>
      <c r="H23" s="413">
        <f t="shared" si="3"/>
        <v>0</v>
      </c>
      <c r="I23" s="275">
        <f t="shared" si="10"/>
        <v>0</v>
      </c>
      <c r="J23" s="275">
        <f t="shared" si="11"/>
        <v>0</v>
      </c>
      <c r="K23" s="137">
        <f t="shared" si="4"/>
        <v>0</v>
      </c>
      <c r="L23" s="15" t="s">
        <v>0</v>
      </c>
      <c r="M23" s="88">
        <v>0</v>
      </c>
      <c r="N23" s="88">
        <v>0</v>
      </c>
      <c r="O23" s="155">
        <v>1E+16</v>
      </c>
      <c r="P23" s="68">
        <v>109575</v>
      </c>
      <c r="Q23" s="3">
        <f t="shared" si="5"/>
        <v>64601</v>
      </c>
      <c r="R23" s="107">
        <f>G6</f>
        <v>18.559999999999999</v>
      </c>
      <c r="S23" s="105">
        <f t="shared" si="6"/>
        <v>26170202.570269801</v>
      </c>
      <c r="T23" s="341">
        <v>0</v>
      </c>
      <c r="U23" s="341">
        <v>0</v>
      </c>
      <c r="V23" s="341">
        <v>0</v>
      </c>
      <c r="W23" s="341">
        <v>0</v>
      </c>
      <c r="X23" s="376">
        <f t="shared" si="7"/>
        <v>0.02</v>
      </c>
      <c r="Y23" s="282">
        <f t="shared" si="13"/>
        <v>0.1</v>
      </c>
    </row>
    <row r="24" spans="2:25" x14ac:dyDescent="0.35">
      <c r="B24" s="18">
        <f t="shared" si="14"/>
        <v>5</v>
      </c>
      <c r="C24" s="85">
        <f t="shared" si="8"/>
        <v>0</v>
      </c>
      <c r="D24" s="85">
        <f t="shared" si="15"/>
        <v>0</v>
      </c>
      <c r="E24" s="84">
        <f t="shared" si="9"/>
        <v>0</v>
      </c>
      <c r="F24" s="135">
        <f t="shared" si="12"/>
        <v>0</v>
      </c>
      <c r="G24" s="413">
        <f t="shared" si="2"/>
        <v>0</v>
      </c>
      <c r="H24" s="413">
        <f t="shared" si="3"/>
        <v>0</v>
      </c>
      <c r="I24" s="275">
        <f t="shared" si="10"/>
        <v>0</v>
      </c>
      <c r="J24" s="275">
        <f t="shared" si="11"/>
        <v>0</v>
      </c>
      <c r="K24" s="137">
        <f t="shared" si="4"/>
        <v>0</v>
      </c>
      <c r="L24" s="15" t="s">
        <v>0</v>
      </c>
      <c r="M24" s="88">
        <v>0</v>
      </c>
      <c r="N24" s="88">
        <v>0</v>
      </c>
      <c r="O24" s="155">
        <v>1E+16</v>
      </c>
      <c r="P24" s="68">
        <v>109575</v>
      </c>
      <c r="Q24" s="3">
        <f t="shared" si="5"/>
        <v>64601</v>
      </c>
      <c r="R24" s="107">
        <f>IF(L24="D",1,$H$6)</f>
        <v>18.760000000000002</v>
      </c>
      <c r="S24" s="105">
        <f t="shared" si="6"/>
        <v>26452209.06348392</v>
      </c>
      <c r="T24" s="341">
        <v>0</v>
      </c>
      <c r="U24" s="341">
        <v>0</v>
      </c>
      <c r="V24" s="341">
        <v>0</v>
      </c>
      <c r="W24" s="341">
        <v>0</v>
      </c>
      <c r="X24" s="281">
        <f t="shared" si="7"/>
        <v>0.02</v>
      </c>
      <c r="Y24" s="282">
        <f t="shared" si="13"/>
        <v>0.1</v>
      </c>
    </row>
    <row r="25" spans="2:25" x14ac:dyDescent="0.35">
      <c r="B25" s="18">
        <f t="shared" si="14"/>
        <v>6</v>
      </c>
      <c r="C25" s="85">
        <f t="shared" si="8"/>
        <v>0</v>
      </c>
      <c r="D25" s="85">
        <f t="shared" si="15"/>
        <v>0</v>
      </c>
      <c r="E25" s="84">
        <f t="shared" si="9"/>
        <v>0</v>
      </c>
      <c r="F25" s="135">
        <f t="shared" si="12"/>
        <v>0</v>
      </c>
      <c r="G25" s="413">
        <f t="shared" si="2"/>
        <v>0</v>
      </c>
      <c r="H25" s="413">
        <f t="shared" si="3"/>
        <v>0</v>
      </c>
      <c r="I25" s="275">
        <f t="shared" si="10"/>
        <v>0</v>
      </c>
      <c r="J25" s="275">
        <f t="shared" si="11"/>
        <v>0</v>
      </c>
      <c r="K25" s="137">
        <f t="shared" si="4"/>
        <v>0</v>
      </c>
      <c r="L25" s="15" t="s">
        <v>0</v>
      </c>
      <c r="M25" s="88">
        <v>0</v>
      </c>
      <c r="N25" s="88">
        <v>0</v>
      </c>
      <c r="O25" s="155">
        <v>1E+16</v>
      </c>
      <c r="P25" s="68">
        <v>109575</v>
      </c>
      <c r="Q25" s="3">
        <f t="shared" si="5"/>
        <v>64601</v>
      </c>
      <c r="R25" s="107">
        <f t="shared" ref="R25:R88" si="16">IF(L25="D",1,$I$6)</f>
        <v>18.66</v>
      </c>
      <c r="S25" s="105">
        <f t="shared" si="6"/>
        <v>26311205.816876858</v>
      </c>
      <c r="T25" s="341">
        <v>0</v>
      </c>
      <c r="U25" s="341">
        <v>0</v>
      </c>
      <c r="V25" s="341">
        <v>0</v>
      </c>
      <c r="W25" s="341">
        <v>0</v>
      </c>
      <c r="X25" s="281">
        <f t="shared" si="7"/>
        <v>0.02</v>
      </c>
      <c r="Y25" s="282">
        <f t="shared" si="13"/>
        <v>0.1</v>
      </c>
    </row>
    <row r="26" spans="2:25" x14ac:dyDescent="0.35">
      <c r="B26" s="18">
        <f t="shared" si="14"/>
        <v>7</v>
      </c>
      <c r="C26" s="85">
        <f t="shared" si="8"/>
        <v>0</v>
      </c>
      <c r="D26" s="85">
        <f t="shared" si="15"/>
        <v>0</v>
      </c>
      <c r="E26" s="84">
        <f t="shared" si="9"/>
        <v>0</v>
      </c>
      <c r="F26" s="135">
        <f t="shared" si="12"/>
        <v>0</v>
      </c>
      <c r="G26" s="413">
        <f t="shared" si="2"/>
        <v>0</v>
      </c>
      <c r="H26" s="413">
        <f t="shared" si="3"/>
        <v>0</v>
      </c>
      <c r="I26" s="275">
        <f t="shared" si="10"/>
        <v>0</v>
      </c>
      <c r="J26" s="275">
        <f t="shared" si="11"/>
        <v>0</v>
      </c>
      <c r="K26" s="137">
        <f t="shared" si="4"/>
        <v>0</v>
      </c>
      <c r="L26" s="15" t="s">
        <v>0</v>
      </c>
      <c r="M26" s="88">
        <v>0</v>
      </c>
      <c r="N26" s="88">
        <v>0</v>
      </c>
      <c r="O26" s="155">
        <v>1E+16</v>
      </c>
      <c r="P26" s="68">
        <v>109575</v>
      </c>
      <c r="Q26" s="3">
        <f t="shared" si="5"/>
        <v>64601</v>
      </c>
      <c r="R26" s="107">
        <f t="shared" si="16"/>
        <v>18.66</v>
      </c>
      <c r="S26" s="105">
        <f t="shared" si="6"/>
        <v>26311205.816876858</v>
      </c>
      <c r="T26" s="341">
        <v>0</v>
      </c>
      <c r="U26" s="341">
        <v>0</v>
      </c>
      <c r="V26" s="341">
        <v>0</v>
      </c>
      <c r="W26" s="341">
        <v>0</v>
      </c>
      <c r="X26" s="281">
        <f t="shared" si="7"/>
        <v>0.02</v>
      </c>
      <c r="Y26" s="282">
        <f t="shared" si="13"/>
        <v>0.1</v>
      </c>
    </row>
    <row r="27" spans="2:25" x14ac:dyDescent="0.35">
      <c r="B27" s="18">
        <f t="shared" si="14"/>
        <v>8</v>
      </c>
      <c r="C27" s="85">
        <f t="shared" si="8"/>
        <v>0</v>
      </c>
      <c r="D27" s="85">
        <f t="shared" si="15"/>
        <v>0</v>
      </c>
      <c r="E27" s="84">
        <f t="shared" si="9"/>
        <v>0</v>
      </c>
      <c r="F27" s="135">
        <f t="shared" si="12"/>
        <v>0</v>
      </c>
      <c r="G27" s="413">
        <f t="shared" si="2"/>
        <v>0</v>
      </c>
      <c r="H27" s="413">
        <f t="shared" si="3"/>
        <v>0</v>
      </c>
      <c r="I27" s="275">
        <f t="shared" si="10"/>
        <v>0</v>
      </c>
      <c r="J27" s="275">
        <f t="shared" si="11"/>
        <v>0</v>
      </c>
      <c r="K27" s="137">
        <f t="shared" si="4"/>
        <v>0</v>
      </c>
      <c r="L27" s="15" t="s">
        <v>0</v>
      </c>
      <c r="M27" s="88">
        <v>0</v>
      </c>
      <c r="N27" s="88">
        <v>0</v>
      </c>
      <c r="O27" s="155">
        <v>1E+16</v>
      </c>
      <c r="P27" s="68">
        <v>109575</v>
      </c>
      <c r="Q27" s="3">
        <f t="shared" si="5"/>
        <v>64601</v>
      </c>
      <c r="R27" s="107">
        <f t="shared" si="16"/>
        <v>18.66</v>
      </c>
      <c r="S27" s="105">
        <f t="shared" si="6"/>
        <v>26311205.816876858</v>
      </c>
      <c r="T27" s="341">
        <v>0</v>
      </c>
      <c r="U27" s="341">
        <v>0</v>
      </c>
      <c r="V27" s="341">
        <v>0</v>
      </c>
      <c r="W27" s="341">
        <v>0</v>
      </c>
      <c r="X27" s="281">
        <f t="shared" si="7"/>
        <v>0.02</v>
      </c>
      <c r="Y27" s="282">
        <f t="shared" si="13"/>
        <v>0.1</v>
      </c>
    </row>
    <row r="28" spans="2:25" x14ac:dyDescent="0.35">
      <c r="B28" s="18">
        <f t="shared" si="14"/>
        <v>9</v>
      </c>
      <c r="C28" s="85">
        <f t="shared" si="8"/>
        <v>0</v>
      </c>
      <c r="D28" s="85">
        <f t="shared" si="15"/>
        <v>0</v>
      </c>
      <c r="E28" s="84">
        <f t="shared" si="9"/>
        <v>0</v>
      </c>
      <c r="F28" s="135">
        <f t="shared" si="12"/>
        <v>0</v>
      </c>
      <c r="G28" s="413">
        <f t="shared" si="2"/>
        <v>0</v>
      </c>
      <c r="H28" s="413">
        <f t="shared" si="3"/>
        <v>0</v>
      </c>
      <c r="I28" s="275">
        <f t="shared" si="10"/>
        <v>0</v>
      </c>
      <c r="J28" s="275">
        <f t="shared" si="11"/>
        <v>0</v>
      </c>
      <c r="K28" s="137">
        <f t="shared" si="4"/>
        <v>0</v>
      </c>
      <c r="L28" s="15" t="s">
        <v>0</v>
      </c>
      <c r="M28" s="88">
        <v>0</v>
      </c>
      <c r="N28" s="88">
        <v>0</v>
      </c>
      <c r="O28" s="155">
        <v>1E+16</v>
      </c>
      <c r="P28" s="68">
        <v>109575</v>
      </c>
      <c r="Q28" s="3">
        <f t="shared" si="5"/>
        <v>64601</v>
      </c>
      <c r="R28" s="107">
        <f t="shared" si="16"/>
        <v>18.66</v>
      </c>
      <c r="S28" s="105">
        <f t="shared" si="6"/>
        <v>26311205.816876858</v>
      </c>
      <c r="T28" s="341">
        <v>0</v>
      </c>
      <c r="U28" s="341">
        <v>0</v>
      </c>
      <c r="V28" s="341">
        <v>0</v>
      </c>
      <c r="W28" s="341">
        <v>0</v>
      </c>
      <c r="X28" s="281">
        <f t="shared" si="7"/>
        <v>0.02</v>
      </c>
      <c r="Y28" s="282">
        <f t="shared" si="13"/>
        <v>0.1</v>
      </c>
    </row>
    <row r="29" spans="2:25" x14ac:dyDescent="0.35">
      <c r="B29" s="18">
        <f t="shared" si="14"/>
        <v>10</v>
      </c>
      <c r="C29" s="85">
        <f t="shared" si="8"/>
        <v>0</v>
      </c>
      <c r="D29" s="85">
        <f t="shared" si="15"/>
        <v>0</v>
      </c>
      <c r="E29" s="84">
        <f t="shared" si="9"/>
        <v>0</v>
      </c>
      <c r="F29" s="135">
        <f t="shared" si="12"/>
        <v>0</v>
      </c>
      <c r="G29" s="413">
        <f t="shared" si="2"/>
        <v>0</v>
      </c>
      <c r="H29" s="413">
        <f t="shared" si="3"/>
        <v>0</v>
      </c>
      <c r="I29" s="275">
        <f t="shared" si="10"/>
        <v>0</v>
      </c>
      <c r="J29" s="275">
        <f t="shared" si="11"/>
        <v>0</v>
      </c>
      <c r="K29" s="137">
        <f t="shared" si="4"/>
        <v>0</v>
      </c>
      <c r="L29" s="15" t="s">
        <v>0</v>
      </c>
      <c r="M29" s="88">
        <v>0</v>
      </c>
      <c r="N29" s="88">
        <v>0</v>
      </c>
      <c r="O29" s="155">
        <v>1E+16</v>
      </c>
      <c r="P29" s="68">
        <v>109575</v>
      </c>
      <c r="Q29" s="3">
        <f t="shared" si="5"/>
        <v>64601</v>
      </c>
      <c r="R29" s="107">
        <f t="shared" si="16"/>
        <v>18.66</v>
      </c>
      <c r="S29" s="105">
        <f t="shared" si="6"/>
        <v>26311205.816876858</v>
      </c>
      <c r="T29" s="341">
        <v>0</v>
      </c>
      <c r="U29" s="341">
        <v>0</v>
      </c>
      <c r="V29" s="341">
        <v>0</v>
      </c>
      <c r="W29" s="341">
        <v>0</v>
      </c>
      <c r="X29" s="281">
        <f t="shared" si="7"/>
        <v>0.02</v>
      </c>
      <c r="Y29" s="282">
        <f t="shared" si="13"/>
        <v>0.1</v>
      </c>
    </row>
    <row r="30" spans="2:25" x14ac:dyDescent="0.35">
      <c r="B30" s="18">
        <f t="shared" si="14"/>
        <v>11</v>
      </c>
      <c r="C30" s="85">
        <f t="shared" ref="C30:C93" si="17">AI30</f>
        <v>0</v>
      </c>
      <c r="D30" s="85">
        <f t="shared" ref="D30:D93" si="18">E30</f>
        <v>0</v>
      </c>
      <c r="E30" s="84">
        <f t="shared" ref="E30:E93" si="19">N30*BSPrice(L30,1/S30,1/O30,Q30,X30,Y30,T30)*1000000</f>
        <v>0</v>
      </c>
      <c r="F30" s="135">
        <f t="shared" ref="F30:F93" si="20">N30*BSDelta(L30,1/S30,1/O30,Q30,X30,Y30,T30)</f>
        <v>0</v>
      </c>
      <c r="G30" s="413">
        <f t="shared" si="2"/>
        <v>0</v>
      </c>
      <c r="H30" s="413">
        <f t="shared" si="3"/>
        <v>0</v>
      </c>
      <c r="I30" s="275">
        <f t="shared" ref="I30:I93" si="21">N30*BSDailyRhoUSD(L30,1/S30,1/O30,Q30,X30,Y30,T30)*1000000</f>
        <v>0</v>
      </c>
      <c r="J30" s="275">
        <f t="shared" ref="J30:J93" si="22">N30*BSDailyRhoExt(L30,1/S30,1/O30,Q30,X30,Y30,T30)*1000000</f>
        <v>0</v>
      </c>
      <c r="K30" s="137">
        <f t="shared" si="4"/>
        <v>0</v>
      </c>
      <c r="L30" s="15" t="s">
        <v>0</v>
      </c>
      <c r="M30" s="88">
        <v>0</v>
      </c>
      <c r="N30" s="88">
        <v>0</v>
      </c>
      <c r="O30" s="155">
        <v>1E+16</v>
      </c>
      <c r="P30" s="68">
        <v>109575</v>
      </c>
      <c r="Q30" s="3">
        <f t="shared" si="5"/>
        <v>64601</v>
      </c>
      <c r="R30" s="107">
        <f t="shared" si="16"/>
        <v>18.66</v>
      </c>
      <c r="S30" s="105">
        <f t="shared" si="6"/>
        <v>26311205.816876858</v>
      </c>
      <c r="T30" s="341">
        <v>0</v>
      </c>
      <c r="U30" s="341">
        <v>0</v>
      </c>
      <c r="V30" s="341">
        <v>0</v>
      </c>
      <c r="W30" s="341">
        <v>0</v>
      </c>
      <c r="X30" s="281">
        <f t="shared" si="7"/>
        <v>0.02</v>
      </c>
      <c r="Y30" s="282">
        <f t="shared" si="13"/>
        <v>0.1</v>
      </c>
    </row>
    <row r="31" spans="2:25" x14ac:dyDescent="0.35">
      <c r="B31" s="18">
        <f t="shared" si="14"/>
        <v>12</v>
      </c>
      <c r="C31" s="85">
        <f t="shared" si="17"/>
        <v>0</v>
      </c>
      <c r="D31" s="85">
        <f t="shared" si="18"/>
        <v>0</v>
      </c>
      <c r="E31" s="84">
        <f t="shared" si="19"/>
        <v>0</v>
      </c>
      <c r="F31" s="135">
        <f t="shared" si="20"/>
        <v>0</v>
      </c>
      <c r="G31" s="413">
        <f t="shared" si="2"/>
        <v>0</v>
      </c>
      <c r="H31" s="413">
        <f t="shared" si="3"/>
        <v>0</v>
      </c>
      <c r="I31" s="275">
        <f t="shared" si="21"/>
        <v>0</v>
      </c>
      <c r="J31" s="275">
        <f t="shared" si="22"/>
        <v>0</v>
      </c>
      <c r="K31" s="137">
        <f t="shared" si="4"/>
        <v>0</v>
      </c>
      <c r="L31" s="15" t="s">
        <v>0</v>
      </c>
      <c r="M31" s="88">
        <v>0</v>
      </c>
      <c r="N31" s="88">
        <v>0</v>
      </c>
      <c r="O31" s="155">
        <v>1E+16</v>
      </c>
      <c r="P31" s="68">
        <v>109575</v>
      </c>
      <c r="Q31" s="3">
        <f t="shared" si="5"/>
        <v>64601</v>
      </c>
      <c r="R31" s="107">
        <f t="shared" si="16"/>
        <v>18.66</v>
      </c>
      <c r="S31" s="105">
        <f t="shared" si="6"/>
        <v>26311205.816876858</v>
      </c>
      <c r="T31" s="341">
        <v>0</v>
      </c>
      <c r="U31" s="341">
        <v>0</v>
      </c>
      <c r="V31" s="341">
        <v>0</v>
      </c>
      <c r="W31" s="341">
        <v>0</v>
      </c>
      <c r="X31" s="281">
        <f t="shared" si="7"/>
        <v>0.02</v>
      </c>
      <c r="Y31" s="282">
        <f t="shared" si="13"/>
        <v>0.1</v>
      </c>
    </row>
    <row r="32" spans="2:25" x14ac:dyDescent="0.35">
      <c r="B32" s="18">
        <f t="shared" si="14"/>
        <v>13</v>
      </c>
      <c r="C32" s="85">
        <f t="shared" si="17"/>
        <v>0</v>
      </c>
      <c r="D32" s="85">
        <f t="shared" si="18"/>
        <v>0</v>
      </c>
      <c r="E32" s="84">
        <f t="shared" si="19"/>
        <v>0</v>
      </c>
      <c r="F32" s="135">
        <f t="shared" si="20"/>
        <v>0</v>
      </c>
      <c r="G32" s="413">
        <f t="shared" si="2"/>
        <v>0</v>
      </c>
      <c r="H32" s="413">
        <f t="shared" si="3"/>
        <v>0</v>
      </c>
      <c r="I32" s="275">
        <f t="shared" si="21"/>
        <v>0</v>
      </c>
      <c r="J32" s="275">
        <f t="shared" si="22"/>
        <v>0</v>
      </c>
      <c r="K32" s="137">
        <f t="shared" si="4"/>
        <v>0</v>
      </c>
      <c r="L32" s="15" t="s">
        <v>0</v>
      </c>
      <c r="M32" s="88">
        <v>0</v>
      </c>
      <c r="N32" s="88">
        <v>0</v>
      </c>
      <c r="O32" s="155">
        <v>1E+16</v>
      </c>
      <c r="P32" s="68">
        <v>109575</v>
      </c>
      <c r="Q32" s="3">
        <f t="shared" si="5"/>
        <v>64601</v>
      </c>
      <c r="R32" s="107">
        <f t="shared" si="16"/>
        <v>18.66</v>
      </c>
      <c r="S32" s="105">
        <f t="shared" si="6"/>
        <v>26311205.816876858</v>
      </c>
      <c r="T32" s="341">
        <v>0</v>
      </c>
      <c r="U32" s="341">
        <v>0</v>
      </c>
      <c r="V32" s="341">
        <v>0</v>
      </c>
      <c r="W32" s="341">
        <v>0</v>
      </c>
      <c r="X32" s="281">
        <f t="shared" si="7"/>
        <v>0.02</v>
      </c>
      <c r="Y32" s="282">
        <f t="shared" si="13"/>
        <v>0.1</v>
      </c>
    </row>
    <row r="33" spans="2:25" x14ac:dyDescent="0.35">
      <c r="B33" s="18">
        <f t="shared" si="14"/>
        <v>14</v>
      </c>
      <c r="C33" s="85">
        <f t="shared" si="17"/>
        <v>0</v>
      </c>
      <c r="D33" s="85">
        <f t="shared" si="18"/>
        <v>0</v>
      </c>
      <c r="E33" s="84">
        <f t="shared" si="19"/>
        <v>0</v>
      </c>
      <c r="F33" s="135">
        <f t="shared" si="20"/>
        <v>0</v>
      </c>
      <c r="G33" s="413">
        <f t="shared" si="2"/>
        <v>0</v>
      </c>
      <c r="H33" s="413">
        <f t="shared" si="3"/>
        <v>0</v>
      </c>
      <c r="I33" s="275">
        <f t="shared" si="21"/>
        <v>0</v>
      </c>
      <c r="J33" s="275">
        <f t="shared" si="22"/>
        <v>0</v>
      </c>
      <c r="K33" s="137">
        <f t="shared" si="4"/>
        <v>0</v>
      </c>
      <c r="L33" s="15" t="s">
        <v>0</v>
      </c>
      <c r="M33" s="88">
        <v>0</v>
      </c>
      <c r="N33" s="88">
        <v>0</v>
      </c>
      <c r="O33" s="155">
        <v>1E+16</v>
      </c>
      <c r="P33" s="68">
        <v>109575</v>
      </c>
      <c r="Q33" s="3">
        <f t="shared" si="5"/>
        <v>64601</v>
      </c>
      <c r="R33" s="107">
        <f t="shared" si="16"/>
        <v>18.66</v>
      </c>
      <c r="S33" s="105">
        <f t="shared" si="6"/>
        <v>26311205.816876858</v>
      </c>
      <c r="T33" s="341">
        <v>0</v>
      </c>
      <c r="U33" s="341">
        <v>0</v>
      </c>
      <c r="V33" s="341">
        <v>0</v>
      </c>
      <c r="W33" s="341">
        <v>0</v>
      </c>
      <c r="X33" s="281">
        <f t="shared" si="7"/>
        <v>0.02</v>
      </c>
      <c r="Y33" s="282">
        <f t="shared" si="13"/>
        <v>0.1</v>
      </c>
    </row>
    <row r="34" spans="2:25" x14ac:dyDescent="0.35">
      <c r="B34" s="18">
        <f t="shared" si="14"/>
        <v>15</v>
      </c>
      <c r="C34" s="85">
        <f t="shared" si="17"/>
        <v>0</v>
      </c>
      <c r="D34" s="85">
        <f t="shared" si="18"/>
        <v>0</v>
      </c>
      <c r="E34" s="84">
        <f t="shared" si="19"/>
        <v>0</v>
      </c>
      <c r="F34" s="135">
        <f t="shared" si="20"/>
        <v>0</v>
      </c>
      <c r="G34" s="413">
        <f t="shared" si="2"/>
        <v>0</v>
      </c>
      <c r="H34" s="413">
        <f t="shared" si="3"/>
        <v>0</v>
      </c>
      <c r="I34" s="275">
        <f t="shared" si="21"/>
        <v>0</v>
      </c>
      <c r="J34" s="275">
        <f t="shared" si="22"/>
        <v>0</v>
      </c>
      <c r="K34" s="137">
        <f t="shared" si="4"/>
        <v>0</v>
      </c>
      <c r="L34" s="15" t="s">
        <v>0</v>
      </c>
      <c r="M34" s="88">
        <v>0</v>
      </c>
      <c r="N34" s="88">
        <v>0</v>
      </c>
      <c r="O34" s="155">
        <v>1E+16</v>
      </c>
      <c r="P34" s="68">
        <v>109575</v>
      </c>
      <c r="Q34" s="3">
        <f t="shared" si="5"/>
        <v>64601</v>
      </c>
      <c r="R34" s="107">
        <f t="shared" si="16"/>
        <v>18.66</v>
      </c>
      <c r="S34" s="105">
        <f t="shared" si="6"/>
        <v>26311205.816876858</v>
      </c>
      <c r="T34" s="341">
        <v>0</v>
      </c>
      <c r="U34" s="341">
        <v>0</v>
      </c>
      <c r="V34" s="341">
        <v>0</v>
      </c>
      <c r="W34" s="341">
        <v>0</v>
      </c>
      <c r="X34" s="281">
        <f t="shared" si="7"/>
        <v>0.02</v>
      </c>
      <c r="Y34" s="282">
        <f t="shared" si="13"/>
        <v>0.1</v>
      </c>
    </row>
    <row r="35" spans="2:25" x14ac:dyDescent="0.35">
      <c r="B35" s="18">
        <f t="shared" si="14"/>
        <v>16</v>
      </c>
      <c r="C35" s="85">
        <f t="shared" si="17"/>
        <v>0</v>
      </c>
      <c r="D35" s="85">
        <f t="shared" si="18"/>
        <v>0</v>
      </c>
      <c r="E35" s="84">
        <f t="shared" si="19"/>
        <v>0</v>
      </c>
      <c r="F35" s="135">
        <f t="shared" si="20"/>
        <v>0</v>
      </c>
      <c r="G35" s="413">
        <f t="shared" si="2"/>
        <v>0</v>
      </c>
      <c r="H35" s="413">
        <f t="shared" si="3"/>
        <v>0</v>
      </c>
      <c r="I35" s="275">
        <f t="shared" si="21"/>
        <v>0</v>
      </c>
      <c r="J35" s="275">
        <f t="shared" si="22"/>
        <v>0</v>
      </c>
      <c r="K35" s="137">
        <f t="shared" si="4"/>
        <v>0</v>
      </c>
      <c r="L35" s="15" t="s">
        <v>0</v>
      </c>
      <c r="M35" s="88">
        <v>0</v>
      </c>
      <c r="N35" s="88">
        <v>0</v>
      </c>
      <c r="O35" s="155">
        <v>1E+16</v>
      </c>
      <c r="P35" s="68">
        <v>109575</v>
      </c>
      <c r="Q35" s="3">
        <f t="shared" si="5"/>
        <v>64601</v>
      </c>
      <c r="R35" s="107">
        <f t="shared" si="16"/>
        <v>18.66</v>
      </c>
      <c r="S35" s="105">
        <f t="shared" si="6"/>
        <v>26311205.816876858</v>
      </c>
      <c r="T35" s="341">
        <v>0</v>
      </c>
      <c r="U35" s="341">
        <v>0</v>
      </c>
      <c r="V35" s="341">
        <v>0</v>
      </c>
      <c r="W35" s="341">
        <v>0</v>
      </c>
      <c r="X35" s="281">
        <f t="shared" si="7"/>
        <v>0.02</v>
      </c>
      <c r="Y35" s="282">
        <f t="shared" si="13"/>
        <v>0.1</v>
      </c>
    </row>
    <row r="36" spans="2:25" x14ac:dyDescent="0.35">
      <c r="B36" s="18">
        <f t="shared" si="14"/>
        <v>17</v>
      </c>
      <c r="C36" s="85">
        <f t="shared" si="17"/>
        <v>0</v>
      </c>
      <c r="D36" s="85">
        <f t="shared" si="18"/>
        <v>0</v>
      </c>
      <c r="E36" s="84">
        <f t="shared" si="19"/>
        <v>0</v>
      </c>
      <c r="F36" s="135">
        <f t="shared" si="20"/>
        <v>0</v>
      </c>
      <c r="G36" s="413">
        <f t="shared" si="2"/>
        <v>0</v>
      </c>
      <c r="H36" s="413">
        <f t="shared" si="3"/>
        <v>0</v>
      </c>
      <c r="I36" s="275">
        <f t="shared" si="21"/>
        <v>0</v>
      </c>
      <c r="J36" s="275">
        <f t="shared" si="22"/>
        <v>0</v>
      </c>
      <c r="K36" s="137">
        <f t="shared" si="4"/>
        <v>0</v>
      </c>
      <c r="L36" s="15" t="s">
        <v>0</v>
      </c>
      <c r="M36" s="88">
        <v>0</v>
      </c>
      <c r="N36" s="88">
        <v>0</v>
      </c>
      <c r="O36" s="155">
        <v>1E+16</v>
      </c>
      <c r="P36" s="68">
        <v>109575</v>
      </c>
      <c r="Q36" s="3">
        <f t="shared" si="5"/>
        <v>64601</v>
      </c>
      <c r="R36" s="107">
        <f t="shared" si="16"/>
        <v>18.66</v>
      </c>
      <c r="S36" s="105">
        <f t="shared" si="6"/>
        <v>26311205.816876858</v>
      </c>
      <c r="T36" s="341">
        <v>0</v>
      </c>
      <c r="U36" s="341">
        <v>0</v>
      </c>
      <c r="V36" s="341">
        <v>0</v>
      </c>
      <c r="W36" s="341">
        <v>0</v>
      </c>
      <c r="X36" s="281">
        <f t="shared" si="7"/>
        <v>0.02</v>
      </c>
      <c r="Y36" s="282">
        <f t="shared" si="13"/>
        <v>0.1</v>
      </c>
    </row>
    <row r="37" spans="2:25" x14ac:dyDescent="0.35">
      <c r="B37" s="18">
        <f t="shared" si="14"/>
        <v>18</v>
      </c>
      <c r="C37" s="85">
        <f t="shared" si="17"/>
        <v>0</v>
      </c>
      <c r="D37" s="85">
        <f t="shared" si="18"/>
        <v>0</v>
      </c>
      <c r="E37" s="84">
        <f t="shared" si="19"/>
        <v>0</v>
      </c>
      <c r="F37" s="135">
        <f t="shared" si="20"/>
        <v>0</v>
      </c>
      <c r="G37" s="413">
        <f t="shared" si="2"/>
        <v>0</v>
      </c>
      <c r="H37" s="413">
        <f t="shared" si="3"/>
        <v>0</v>
      </c>
      <c r="I37" s="275">
        <f t="shared" si="21"/>
        <v>0</v>
      </c>
      <c r="J37" s="275">
        <f t="shared" si="22"/>
        <v>0</v>
      </c>
      <c r="K37" s="137">
        <f t="shared" si="4"/>
        <v>0</v>
      </c>
      <c r="L37" s="15" t="s">
        <v>0</v>
      </c>
      <c r="M37" s="88">
        <v>0</v>
      </c>
      <c r="N37" s="88">
        <v>0</v>
      </c>
      <c r="O37" s="155">
        <v>1E+16</v>
      </c>
      <c r="P37" s="68">
        <v>109575</v>
      </c>
      <c r="Q37" s="3">
        <f t="shared" si="5"/>
        <v>64601</v>
      </c>
      <c r="R37" s="107">
        <f t="shared" si="16"/>
        <v>18.66</v>
      </c>
      <c r="S37" s="105">
        <f t="shared" si="6"/>
        <v>26311205.816876858</v>
      </c>
      <c r="T37" s="341">
        <v>0</v>
      </c>
      <c r="U37" s="341">
        <v>0</v>
      </c>
      <c r="V37" s="341">
        <v>0</v>
      </c>
      <c r="W37" s="341">
        <v>0</v>
      </c>
      <c r="X37" s="281">
        <f t="shared" si="7"/>
        <v>0.02</v>
      </c>
      <c r="Y37" s="282">
        <f t="shared" si="13"/>
        <v>0.1</v>
      </c>
    </row>
    <row r="38" spans="2:25" x14ac:dyDescent="0.35">
      <c r="B38" s="18">
        <f t="shared" si="14"/>
        <v>19</v>
      </c>
      <c r="C38" s="85">
        <f t="shared" si="17"/>
        <v>0</v>
      </c>
      <c r="D38" s="85">
        <f t="shared" si="18"/>
        <v>0</v>
      </c>
      <c r="E38" s="84">
        <f t="shared" si="19"/>
        <v>0</v>
      </c>
      <c r="F38" s="135">
        <f t="shared" si="20"/>
        <v>0</v>
      </c>
      <c r="G38" s="413">
        <f t="shared" si="2"/>
        <v>0</v>
      </c>
      <c r="H38" s="413">
        <f t="shared" si="3"/>
        <v>0</v>
      </c>
      <c r="I38" s="275">
        <f t="shared" si="21"/>
        <v>0</v>
      </c>
      <c r="J38" s="275">
        <f t="shared" si="22"/>
        <v>0</v>
      </c>
      <c r="K38" s="137">
        <f t="shared" si="4"/>
        <v>0</v>
      </c>
      <c r="L38" s="15" t="s">
        <v>0</v>
      </c>
      <c r="M38" s="88">
        <v>0</v>
      </c>
      <c r="N38" s="88">
        <v>0</v>
      </c>
      <c r="O38" s="155">
        <v>1E+16</v>
      </c>
      <c r="P38" s="68">
        <v>109575</v>
      </c>
      <c r="Q38" s="3">
        <f t="shared" si="5"/>
        <v>64601</v>
      </c>
      <c r="R38" s="107">
        <f t="shared" si="16"/>
        <v>18.66</v>
      </c>
      <c r="S38" s="105">
        <f t="shared" si="6"/>
        <v>26311205.816876858</v>
      </c>
      <c r="T38" s="341">
        <v>0</v>
      </c>
      <c r="U38" s="341">
        <v>0</v>
      </c>
      <c r="V38" s="341">
        <v>0</v>
      </c>
      <c r="W38" s="341">
        <v>0</v>
      </c>
      <c r="X38" s="281">
        <f t="shared" si="7"/>
        <v>0.02</v>
      </c>
      <c r="Y38" s="282">
        <f t="shared" si="13"/>
        <v>0.1</v>
      </c>
    </row>
    <row r="39" spans="2:25" x14ac:dyDescent="0.35">
      <c r="B39" s="18">
        <f t="shared" si="14"/>
        <v>20</v>
      </c>
      <c r="C39" s="85">
        <f t="shared" si="17"/>
        <v>0</v>
      </c>
      <c r="D39" s="85">
        <f t="shared" si="18"/>
        <v>0</v>
      </c>
      <c r="E39" s="84">
        <f t="shared" si="19"/>
        <v>0</v>
      </c>
      <c r="F39" s="135">
        <f t="shared" si="20"/>
        <v>0</v>
      </c>
      <c r="G39" s="413">
        <f t="shared" si="2"/>
        <v>0</v>
      </c>
      <c r="H39" s="413">
        <f t="shared" si="3"/>
        <v>0</v>
      </c>
      <c r="I39" s="275">
        <f t="shared" si="21"/>
        <v>0</v>
      </c>
      <c r="J39" s="275">
        <f t="shared" si="22"/>
        <v>0</v>
      </c>
      <c r="K39" s="137">
        <f t="shared" si="4"/>
        <v>0</v>
      </c>
      <c r="L39" s="15" t="s">
        <v>0</v>
      </c>
      <c r="M39" s="88">
        <v>0</v>
      </c>
      <c r="N39" s="88">
        <v>0</v>
      </c>
      <c r="O39" s="155">
        <v>1E+16</v>
      </c>
      <c r="P39" s="68">
        <v>109575</v>
      </c>
      <c r="Q39" s="3">
        <f t="shared" si="5"/>
        <v>64601</v>
      </c>
      <c r="R39" s="107">
        <f t="shared" si="16"/>
        <v>18.66</v>
      </c>
      <c r="S39" s="105">
        <f t="shared" si="6"/>
        <v>26311205.816876858</v>
      </c>
      <c r="T39" s="341">
        <v>0</v>
      </c>
      <c r="U39" s="341">
        <v>0</v>
      </c>
      <c r="V39" s="341">
        <v>0</v>
      </c>
      <c r="W39" s="341">
        <v>0</v>
      </c>
      <c r="X39" s="281">
        <f t="shared" si="7"/>
        <v>0.02</v>
      </c>
      <c r="Y39" s="282">
        <f t="shared" si="13"/>
        <v>0.1</v>
      </c>
    </row>
    <row r="40" spans="2:25" x14ac:dyDescent="0.35">
      <c r="B40" s="18">
        <f t="shared" si="14"/>
        <v>21</v>
      </c>
      <c r="C40" s="85">
        <f t="shared" si="17"/>
        <v>0</v>
      </c>
      <c r="D40" s="85">
        <f t="shared" si="18"/>
        <v>0</v>
      </c>
      <c r="E40" s="84">
        <f t="shared" si="19"/>
        <v>0</v>
      </c>
      <c r="F40" s="135">
        <f t="shared" si="20"/>
        <v>0</v>
      </c>
      <c r="G40" s="413">
        <f t="shared" si="2"/>
        <v>0</v>
      </c>
      <c r="H40" s="413">
        <f t="shared" si="3"/>
        <v>0</v>
      </c>
      <c r="I40" s="275">
        <f t="shared" si="21"/>
        <v>0</v>
      </c>
      <c r="J40" s="275">
        <f t="shared" si="22"/>
        <v>0</v>
      </c>
      <c r="K40" s="137">
        <f t="shared" si="4"/>
        <v>0</v>
      </c>
      <c r="L40" s="15" t="s">
        <v>0</v>
      </c>
      <c r="M40" s="88">
        <v>0</v>
      </c>
      <c r="N40" s="88">
        <v>0</v>
      </c>
      <c r="O40" s="155">
        <v>1E+16</v>
      </c>
      <c r="P40" s="68">
        <v>109575</v>
      </c>
      <c r="Q40" s="3">
        <f t="shared" si="5"/>
        <v>64601</v>
      </c>
      <c r="R40" s="107">
        <f t="shared" si="16"/>
        <v>18.66</v>
      </c>
      <c r="S40" s="105">
        <f t="shared" si="6"/>
        <v>26311205.816876858</v>
      </c>
      <c r="T40" s="341">
        <v>0</v>
      </c>
      <c r="U40" s="341">
        <v>0</v>
      </c>
      <c r="V40" s="341">
        <v>0</v>
      </c>
      <c r="W40" s="341">
        <v>0</v>
      </c>
      <c r="X40" s="281">
        <f t="shared" si="7"/>
        <v>0.02</v>
      </c>
      <c r="Y40" s="282">
        <f t="shared" si="13"/>
        <v>0.1</v>
      </c>
    </row>
    <row r="41" spans="2:25" x14ac:dyDescent="0.35">
      <c r="B41" s="18">
        <f t="shared" si="14"/>
        <v>22</v>
      </c>
      <c r="C41" s="85">
        <f t="shared" si="17"/>
        <v>0</v>
      </c>
      <c r="D41" s="85">
        <f t="shared" si="18"/>
        <v>0</v>
      </c>
      <c r="E41" s="84">
        <f t="shared" si="19"/>
        <v>0</v>
      </c>
      <c r="F41" s="135">
        <f t="shared" si="20"/>
        <v>0</v>
      </c>
      <c r="G41" s="413">
        <f t="shared" si="2"/>
        <v>0</v>
      </c>
      <c r="H41" s="413">
        <f t="shared" si="3"/>
        <v>0</v>
      </c>
      <c r="I41" s="275">
        <f t="shared" si="21"/>
        <v>0</v>
      </c>
      <c r="J41" s="275">
        <f t="shared" si="22"/>
        <v>0</v>
      </c>
      <c r="K41" s="137">
        <f t="shared" si="4"/>
        <v>0</v>
      </c>
      <c r="L41" s="15" t="s">
        <v>0</v>
      </c>
      <c r="M41" s="88">
        <v>0</v>
      </c>
      <c r="N41" s="88">
        <v>0</v>
      </c>
      <c r="O41" s="155">
        <v>1E+16</v>
      </c>
      <c r="P41" s="68">
        <v>109575</v>
      </c>
      <c r="Q41" s="3">
        <f t="shared" si="5"/>
        <v>64601</v>
      </c>
      <c r="R41" s="107">
        <f t="shared" si="16"/>
        <v>18.66</v>
      </c>
      <c r="S41" s="105">
        <f t="shared" si="6"/>
        <v>26311205.816876858</v>
      </c>
      <c r="T41" s="341">
        <v>0</v>
      </c>
      <c r="U41" s="341">
        <v>0</v>
      </c>
      <c r="V41" s="341">
        <v>0</v>
      </c>
      <c r="W41" s="341">
        <v>0</v>
      </c>
      <c r="X41" s="281">
        <f t="shared" si="7"/>
        <v>0.02</v>
      </c>
      <c r="Y41" s="282">
        <f t="shared" si="13"/>
        <v>0.1</v>
      </c>
    </row>
    <row r="42" spans="2:25" x14ac:dyDescent="0.35">
      <c r="B42" s="18">
        <f t="shared" si="14"/>
        <v>23</v>
      </c>
      <c r="C42" s="85">
        <f t="shared" si="17"/>
        <v>0</v>
      </c>
      <c r="D42" s="85">
        <f t="shared" si="18"/>
        <v>0</v>
      </c>
      <c r="E42" s="84">
        <f t="shared" si="19"/>
        <v>0</v>
      </c>
      <c r="F42" s="135">
        <f t="shared" si="20"/>
        <v>0</v>
      </c>
      <c r="G42" s="413">
        <f t="shared" si="2"/>
        <v>0</v>
      </c>
      <c r="H42" s="413">
        <f t="shared" si="3"/>
        <v>0</v>
      </c>
      <c r="I42" s="275">
        <f t="shared" si="21"/>
        <v>0</v>
      </c>
      <c r="J42" s="275">
        <f t="shared" si="22"/>
        <v>0</v>
      </c>
      <c r="K42" s="137">
        <f t="shared" si="4"/>
        <v>0</v>
      </c>
      <c r="L42" s="15" t="s">
        <v>0</v>
      </c>
      <c r="M42" s="88">
        <v>0</v>
      </c>
      <c r="N42" s="88">
        <v>0</v>
      </c>
      <c r="O42" s="155">
        <v>1E+16</v>
      </c>
      <c r="P42" s="68">
        <v>109575</v>
      </c>
      <c r="Q42" s="3">
        <f t="shared" si="5"/>
        <v>64601</v>
      </c>
      <c r="R42" s="107">
        <f t="shared" si="16"/>
        <v>18.66</v>
      </c>
      <c r="S42" s="105">
        <f t="shared" si="6"/>
        <v>26311205.816876858</v>
      </c>
      <c r="T42" s="341">
        <v>0</v>
      </c>
      <c r="U42" s="341">
        <v>0</v>
      </c>
      <c r="V42" s="341">
        <v>0</v>
      </c>
      <c r="W42" s="341">
        <v>0</v>
      </c>
      <c r="X42" s="281">
        <f t="shared" si="7"/>
        <v>0.02</v>
      </c>
      <c r="Y42" s="282">
        <f t="shared" si="13"/>
        <v>0.1</v>
      </c>
    </row>
    <row r="43" spans="2:25" x14ac:dyDescent="0.35">
      <c r="B43" s="18">
        <f t="shared" si="14"/>
        <v>24</v>
      </c>
      <c r="C43" s="85">
        <f t="shared" si="17"/>
        <v>0</v>
      </c>
      <c r="D43" s="85">
        <f t="shared" si="18"/>
        <v>0</v>
      </c>
      <c r="E43" s="84">
        <f t="shared" si="19"/>
        <v>0</v>
      </c>
      <c r="F43" s="135">
        <f t="shared" si="20"/>
        <v>0</v>
      </c>
      <c r="G43" s="413">
        <f t="shared" si="2"/>
        <v>0</v>
      </c>
      <c r="H43" s="413">
        <f t="shared" si="3"/>
        <v>0</v>
      </c>
      <c r="I43" s="275">
        <f t="shared" si="21"/>
        <v>0</v>
      </c>
      <c r="J43" s="275">
        <f t="shared" si="22"/>
        <v>0</v>
      </c>
      <c r="K43" s="137">
        <f t="shared" si="4"/>
        <v>0</v>
      </c>
      <c r="L43" s="15" t="s">
        <v>0</v>
      </c>
      <c r="M43" s="88">
        <v>0</v>
      </c>
      <c r="N43" s="88">
        <v>0</v>
      </c>
      <c r="O43" s="155">
        <v>1E+16</v>
      </c>
      <c r="P43" s="68">
        <v>109575</v>
      </c>
      <c r="Q43" s="3">
        <f t="shared" si="5"/>
        <v>64601</v>
      </c>
      <c r="R43" s="107">
        <f t="shared" si="16"/>
        <v>18.66</v>
      </c>
      <c r="S43" s="105">
        <f t="shared" si="6"/>
        <v>26311205.816876858</v>
      </c>
      <c r="T43" s="341">
        <v>0</v>
      </c>
      <c r="U43" s="341">
        <v>0</v>
      </c>
      <c r="V43" s="341">
        <v>0</v>
      </c>
      <c r="W43" s="341">
        <v>0</v>
      </c>
      <c r="X43" s="281">
        <f t="shared" si="7"/>
        <v>0.02</v>
      </c>
      <c r="Y43" s="282">
        <f t="shared" si="13"/>
        <v>0.1</v>
      </c>
    </row>
    <row r="44" spans="2:25" x14ac:dyDescent="0.35">
      <c r="B44" s="18">
        <f t="shared" si="14"/>
        <v>25</v>
      </c>
      <c r="C44" s="85">
        <f t="shared" si="17"/>
        <v>0</v>
      </c>
      <c r="D44" s="85">
        <f t="shared" si="18"/>
        <v>0</v>
      </c>
      <c r="E44" s="84">
        <f t="shared" si="19"/>
        <v>0</v>
      </c>
      <c r="F44" s="135">
        <f t="shared" si="20"/>
        <v>0</v>
      </c>
      <c r="G44" s="413">
        <f t="shared" si="2"/>
        <v>0</v>
      </c>
      <c r="H44" s="413">
        <f t="shared" si="3"/>
        <v>0</v>
      </c>
      <c r="I44" s="275">
        <f t="shared" si="21"/>
        <v>0</v>
      </c>
      <c r="J44" s="275">
        <f t="shared" si="22"/>
        <v>0</v>
      </c>
      <c r="K44" s="137">
        <f t="shared" si="4"/>
        <v>0</v>
      </c>
      <c r="L44" s="15" t="s">
        <v>0</v>
      </c>
      <c r="M44" s="88">
        <v>0</v>
      </c>
      <c r="N44" s="88">
        <v>0</v>
      </c>
      <c r="O44" s="155">
        <v>1E+16</v>
      </c>
      <c r="P44" s="68">
        <v>109575</v>
      </c>
      <c r="Q44" s="3">
        <f t="shared" si="5"/>
        <v>64601</v>
      </c>
      <c r="R44" s="107">
        <f t="shared" si="16"/>
        <v>18.66</v>
      </c>
      <c r="S44" s="105">
        <f t="shared" si="6"/>
        <v>26311205.816876858</v>
      </c>
      <c r="T44" s="341">
        <v>0</v>
      </c>
      <c r="U44" s="341">
        <v>0</v>
      </c>
      <c r="V44" s="341">
        <v>0</v>
      </c>
      <c r="W44" s="341">
        <v>0</v>
      </c>
      <c r="X44" s="281">
        <f t="shared" si="7"/>
        <v>0.02</v>
      </c>
      <c r="Y44" s="282">
        <f t="shared" si="13"/>
        <v>0.1</v>
      </c>
    </row>
    <row r="45" spans="2:25" x14ac:dyDescent="0.35">
      <c r="B45" s="18">
        <f t="shared" si="14"/>
        <v>26</v>
      </c>
      <c r="C45" s="85">
        <f t="shared" si="17"/>
        <v>0</v>
      </c>
      <c r="D45" s="85">
        <f t="shared" si="18"/>
        <v>0</v>
      </c>
      <c r="E45" s="84">
        <f t="shared" si="19"/>
        <v>0</v>
      </c>
      <c r="F45" s="135">
        <f t="shared" si="20"/>
        <v>0</v>
      </c>
      <c r="G45" s="413">
        <f t="shared" si="2"/>
        <v>0</v>
      </c>
      <c r="H45" s="413">
        <f t="shared" si="3"/>
        <v>0</v>
      </c>
      <c r="I45" s="275">
        <f t="shared" si="21"/>
        <v>0</v>
      </c>
      <c r="J45" s="275">
        <f t="shared" si="22"/>
        <v>0</v>
      </c>
      <c r="K45" s="137">
        <f t="shared" si="4"/>
        <v>0</v>
      </c>
      <c r="L45" s="15" t="s">
        <v>0</v>
      </c>
      <c r="M45" s="88">
        <v>0</v>
      </c>
      <c r="N45" s="88">
        <v>0</v>
      </c>
      <c r="O45" s="155">
        <v>1E+16</v>
      </c>
      <c r="P45" s="68">
        <v>109575</v>
      </c>
      <c r="Q45" s="3">
        <f t="shared" si="5"/>
        <v>64601</v>
      </c>
      <c r="R45" s="107">
        <f t="shared" si="16"/>
        <v>18.66</v>
      </c>
      <c r="S45" s="105">
        <f t="shared" si="6"/>
        <v>26311205.816876858</v>
      </c>
      <c r="T45" s="341">
        <v>0</v>
      </c>
      <c r="U45" s="341">
        <v>0</v>
      </c>
      <c r="V45" s="341">
        <v>0</v>
      </c>
      <c r="W45" s="341">
        <v>0</v>
      </c>
      <c r="X45" s="281">
        <f t="shared" si="7"/>
        <v>0.02</v>
      </c>
      <c r="Y45" s="282">
        <f t="shared" si="13"/>
        <v>0.1</v>
      </c>
    </row>
    <row r="46" spans="2:25" x14ac:dyDescent="0.35">
      <c r="B46" s="18">
        <f t="shared" si="14"/>
        <v>27</v>
      </c>
      <c r="C46" s="85">
        <f t="shared" si="17"/>
        <v>0</v>
      </c>
      <c r="D46" s="85">
        <f t="shared" si="18"/>
        <v>0</v>
      </c>
      <c r="E46" s="84">
        <f t="shared" si="19"/>
        <v>0</v>
      </c>
      <c r="F46" s="135">
        <f t="shared" si="20"/>
        <v>0</v>
      </c>
      <c r="G46" s="413">
        <f t="shared" si="2"/>
        <v>0</v>
      </c>
      <c r="H46" s="413">
        <f t="shared" si="3"/>
        <v>0</v>
      </c>
      <c r="I46" s="275">
        <f t="shared" si="21"/>
        <v>0</v>
      </c>
      <c r="J46" s="275">
        <f t="shared" si="22"/>
        <v>0</v>
      </c>
      <c r="K46" s="137">
        <f t="shared" si="4"/>
        <v>0</v>
      </c>
      <c r="L46" s="15" t="s">
        <v>0</v>
      </c>
      <c r="M46" s="88">
        <v>0</v>
      </c>
      <c r="N46" s="88">
        <v>0</v>
      </c>
      <c r="O46" s="155">
        <v>1E+16</v>
      </c>
      <c r="P46" s="68">
        <v>109575</v>
      </c>
      <c r="Q46" s="3">
        <f t="shared" si="5"/>
        <v>64601</v>
      </c>
      <c r="R46" s="107">
        <f t="shared" si="16"/>
        <v>18.66</v>
      </c>
      <c r="S46" s="105">
        <f t="shared" si="6"/>
        <v>26311205.816876858</v>
      </c>
      <c r="T46" s="341">
        <v>0</v>
      </c>
      <c r="U46" s="341">
        <v>0</v>
      </c>
      <c r="V46" s="341">
        <v>0</v>
      </c>
      <c r="W46" s="341">
        <v>0</v>
      </c>
      <c r="X46" s="281">
        <f t="shared" si="7"/>
        <v>0.02</v>
      </c>
      <c r="Y46" s="282">
        <f t="shared" si="13"/>
        <v>0.1</v>
      </c>
    </row>
    <row r="47" spans="2:25" x14ac:dyDescent="0.35">
      <c r="B47" s="18">
        <f t="shared" si="14"/>
        <v>28</v>
      </c>
      <c r="C47" s="85">
        <f t="shared" si="17"/>
        <v>0</v>
      </c>
      <c r="D47" s="85">
        <f t="shared" si="18"/>
        <v>0</v>
      </c>
      <c r="E47" s="84">
        <f t="shared" si="19"/>
        <v>0</v>
      </c>
      <c r="F47" s="135">
        <f t="shared" si="20"/>
        <v>0</v>
      </c>
      <c r="G47" s="413">
        <f t="shared" si="2"/>
        <v>0</v>
      </c>
      <c r="H47" s="413">
        <f t="shared" si="3"/>
        <v>0</v>
      </c>
      <c r="I47" s="275">
        <f t="shared" si="21"/>
        <v>0</v>
      </c>
      <c r="J47" s="275">
        <f t="shared" si="22"/>
        <v>0</v>
      </c>
      <c r="K47" s="137">
        <f t="shared" si="4"/>
        <v>0</v>
      </c>
      <c r="L47" s="15" t="s">
        <v>0</v>
      </c>
      <c r="M47" s="88">
        <v>0</v>
      </c>
      <c r="N47" s="88">
        <v>0</v>
      </c>
      <c r="O47" s="155">
        <v>1E+16</v>
      </c>
      <c r="P47" s="68">
        <v>109575</v>
      </c>
      <c r="Q47" s="3">
        <f t="shared" si="5"/>
        <v>64601</v>
      </c>
      <c r="R47" s="107">
        <f t="shared" si="16"/>
        <v>18.66</v>
      </c>
      <c r="S47" s="105">
        <f t="shared" si="6"/>
        <v>26311205.816876858</v>
      </c>
      <c r="T47" s="341">
        <v>0</v>
      </c>
      <c r="U47" s="341">
        <v>0</v>
      </c>
      <c r="V47" s="341">
        <v>0</v>
      </c>
      <c r="W47" s="341">
        <v>0</v>
      </c>
      <c r="X47" s="281">
        <f t="shared" si="7"/>
        <v>0.02</v>
      </c>
      <c r="Y47" s="282">
        <f t="shared" si="13"/>
        <v>0.1</v>
      </c>
    </row>
    <row r="48" spans="2:25" x14ac:dyDescent="0.35">
      <c r="B48" s="18">
        <f t="shared" si="14"/>
        <v>29</v>
      </c>
      <c r="C48" s="85">
        <f t="shared" si="17"/>
        <v>0</v>
      </c>
      <c r="D48" s="85">
        <f t="shared" si="18"/>
        <v>0</v>
      </c>
      <c r="E48" s="84">
        <f t="shared" si="19"/>
        <v>0</v>
      </c>
      <c r="F48" s="135">
        <f t="shared" si="20"/>
        <v>0</v>
      </c>
      <c r="G48" s="413">
        <f t="shared" si="2"/>
        <v>0</v>
      </c>
      <c r="H48" s="413">
        <f t="shared" si="3"/>
        <v>0</v>
      </c>
      <c r="I48" s="275">
        <f t="shared" si="21"/>
        <v>0</v>
      </c>
      <c r="J48" s="275">
        <f t="shared" si="22"/>
        <v>0</v>
      </c>
      <c r="K48" s="137">
        <f t="shared" si="4"/>
        <v>0</v>
      </c>
      <c r="L48" s="15" t="s">
        <v>0</v>
      </c>
      <c r="M48" s="88">
        <v>0</v>
      </c>
      <c r="N48" s="88">
        <v>0</v>
      </c>
      <c r="O48" s="155">
        <v>1E+16</v>
      </c>
      <c r="P48" s="68">
        <v>109575</v>
      </c>
      <c r="Q48" s="3">
        <f t="shared" si="5"/>
        <v>64601</v>
      </c>
      <c r="R48" s="107">
        <f t="shared" si="16"/>
        <v>18.66</v>
      </c>
      <c r="S48" s="105">
        <f t="shared" si="6"/>
        <v>26311205.816876858</v>
      </c>
      <c r="T48" s="341">
        <v>0</v>
      </c>
      <c r="U48" s="341">
        <v>0</v>
      </c>
      <c r="V48" s="341">
        <v>0</v>
      </c>
      <c r="W48" s="341">
        <v>0</v>
      </c>
      <c r="X48" s="281">
        <f t="shared" si="7"/>
        <v>0.02</v>
      </c>
      <c r="Y48" s="282">
        <f t="shared" si="13"/>
        <v>0.1</v>
      </c>
    </row>
    <row r="49" spans="2:25" x14ac:dyDescent="0.35">
      <c r="B49" s="18">
        <f t="shared" si="14"/>
        <v>30</v>
      </c>
      <c r="C49" s="85">
        <f t="shared" si="17"/>
        <v>0</v>
      </c>
      <c r="D49" s="85">
        <f t="shared" si="18"/>
        <v>0</v>
      </c>
      <c r="E49" s="84">
        <f t="shared" si="19"/>
        <v>0</v>
      </c>
      <c r="F49" s="135">
        <f t="shared" si="20"/>
        <v>0</v>
      </c>
      <c r="G49" s="413">
        <f t="shared" si="2"/>
        <v>0</v>
      </c>
      <c r="H49" s="413">
        <f t="shared" si="3"/>
        <v>0</v>
      </c>
      <c r="I49" s="275">
        <f t="shared" si="21"/>
        <v>0</v>
      </c>
      <c r="J49" s="275">
        <f t="shared" si="22"/>
        <v>0</v>
      </c>
      <c r="K49" s="137">
        <f t="shared" si="4"/>
        <v>0</v>
      </c>
      <c r="L49" s="15" t="s">
        <v>0</v>
      </c>
      <c r="M49" s="88">
        <v>0</v>
      </c>
      <c r="N49" s="88">
        <v>0</v>
      </c>
      <c r="O49" s="155">
        <v>1E+16</v>
      </c>
      <c r="P49" s="68">
        <v>109575</v>
      </c>
      <c r="Q49" s="3">
        <f t="shared" si="5"/>
        <v>64601</v>
      </c>
      <c r="R49" s="107">
        <f t="shared" si="16"/>
        <v>18.66</v>
      </c>
      <c r="S49" s="105">
        <f t="shared" si="6"/>
        <v>26311205.816876858</v>
      </c>
      <c r="T49" s="341">
        <v>0</v>
      </c>
      <c r="U49" s="341">
        <v>0</v>
      </c>
      <c r="V49" s="341">
        <v>0</v>
      </c>
      <c r="W49" s="341">
        <v>0</v>
      </c>
      <c r="X49" s="281">
        <f t="shared" si="7"/>
        <v>0.02</v>
      </c>
      <c r="Y49" s="282">
        <f t="shared" si="13"/>
        <v>0.1</v>
      </c>
    </row>
    <row r="50" spans="2:25" x14ac:dyDescent="0.35">
      <c r="B50" s="18">
        <f t="shared" si="14"/>
        <v>31</v>
      </c>
      <c r="C50" s="85">
        <f t="shared" si="17"/>
        <v>0</v>
      </c>
      <c r="D50" s="85">
        <f t="shared" si="18"/>
        <v>0</v>
      </c>
      <c r="E50" s="84">
        <f t="shared" si="19"/>
        <v>0</v>
      </c>
      <c r="F50" s="135">
        <f t="shared" si="20"/>
        <v>0</v>
      </c>
      <c r="G50" s="413">
        <f t="shared" si="2"/>
        <v>0</v>
      </c>
      <c r="H50" s="413">
        <f t="shared" si="3"/>
        <v>0</v>
      </c>
      <c r="I50" s="275">
        <f t="shared" si="21"/>
        <v>0</v>
      </c>
      <c r="J50" s="275">
        <f t="shared" si="22"/>
        <v>0</v>
      </c>
      <c r="K50" s="137">
        <f t="shared" si="4"/>
        <v>0</v>
      </c>
      <c r="L50" s="15" t="s">
        <v>0</v>
      </c>
      <c r="M50" s="88">
        <v>0</v>
      </c>
      <c r="N50" s="88">
        <v>0</v>
      </c>
      <c r="O50" s="155">
        <v>1E+16</v>
      </c>
      <c r="P50" s="68">
        <v>109575</v>
      </c>
      <c r="Q50" s="3">
        <f t="shared" si="5"/>
        <v>64601</v>
      </c>
      <c r="R50" s="107">
        <f t="shared" si="16"/>
        <v>18.66</v>
      </c>
      <c r="S50" s="105">
        <f t="shared" si="6"/>
        <v>26311205.816876858</v>
      </c>
      <c r="T50" s="341">
        <v>0</v>
      </c>
      <c r="U50" s="341">
        <v>0</v>
      </c>
      <c r="V50" s="341">
        <v>0</v>
      </c>
      <c r="W50" s="341">
        <v>0</v>
      </c>
      <c r="X50" s="281">
        <f t="shared" si="7"/>
        <v>0.02</v>
      </c>
      <c r="Y50" s="282">
        <f t="shared" si="13"/>
        <v>0.1</v>
      </c>
    </row>
    <row r="51" spans="2:25" x14ac:dyDescent="0.35">
      <c r="B51" s="18">
        <f t="shared" si="14"/>
        <v>32</v>
      </c>
      <c r="C51" s="85">
        <f t="shared" si="17"/>
        <v>0</v>
      </c>
      <c r="D51" s="85">
        <f t="shared" si="18"/>
        <v>0</v>
      </c>
      <c r="E51" s="84">
        <f t="shared" si="19"/>
        <v>0</v>
      </c>
      <c r="F51" s="135">
        <f t="shared" si="20"/>
        <v>0</v>
      </c>
      <c r="G51" s="413">
        <f t="shared" si="2"/>
        <v>0</v>
      </c>
      <c r="H51" s="413">
        <f t="shared" si="3"/>
        <v>0</v>
      </c>
      <c r="I51" s="275">
        <f t="shared" si="21"/>
        <v>0</v>
      </c>
      <c r="J51" s="275">
        <f t="shared" si="22"/>
        <v>0</v>
      </c>
      <c r="K51" s="137">
        <f t="shared" si="4"/>
        <v>0</v>
      </c>
      <c r="L51" s="15" t="s">
        <v>0</v>
      </c>
      <c r="M51" s="88">
        <v>0</v>
      </c>
      <c r="N51" s="88">
        <v>0</v>
      </c>
      <c r="O51" s="155">
        <v>1E+16</v>
      </c>
      <c r="P51" s="68">
        <v>109575</v>
      </c>
      <c r="Q51" s="3">
        <f t="shared" si="5"/>
        <v>64601</v>
      </c>
      <c r="R51" s="107">
        <f t="shared" si="16"/>
        <v>18.66</v>
      </c>
      <c r="S51" s="105">
        <f t="shared" si="6"/>
        <v>26311205.816876858</v>
      </c>
      <c r="T51" s="341">
        <v>0</v>
      </c>
      <c r="U51" s="341">
        <v>0</v>
      </c>
      <c r="V51" s="341">
        <v>0</v>
      </c>
      <c r="W51" s="341">
        <v>0</v>
      </c>
      <c r="X51" s="281">
        <f t="shared" si="7"/>
        <v>0.02</v>
      </c>
      <c r="Y51" s="282">
        <f t="shared" si="13"/>
        <v>0.1</v>
      </c>
    </row>
    <row r="52" spans="2:25" x14ac:dyDescent="0.35">
      <c r="B52" s="18">
        <f t="shared" si="14"/>
        <v>33</v>
      </c>
      <c r="C52" s="85">
        <f t="shared" si="17"/>
        <v>0</v>
      </c>
      <c r="D52" s="85">
        <f t="shared" si="18"/>
        <v>0</v>
      </c>
      <c r="E52" s="84">
        <f t="shared" si="19"/>
        <v>0</v>
      </c>
      <c r="F52" s="135">
        <f t="shared" si="20"/>
        <v>0</v>
      </c>
      <c r="G52" s="413">
        <f t="shared" ref="G52:G83" si="23">BSGamma(L52,1/S52,1/O52,Q52,X52,Y52,T52)*N52</f>
        <v>0</v>
      </c>
      <c r="H52" s="413">
        <f t="shared" ref="H52:H83" si="24">BSVega(L52,1/S52,1/O52,Q52,X52,Y52,T52)*N52*1000000</f>
        <v>0</v>
      </c>
      <c r="I52" s="275">
        <f t="shared" si="21"/>
        <v>0</v>
      </c>
      <c r="J52" s="275">
        <f t="shared" si="22"/>
        <v>0</v>
      </c>
      <c r="K52" s="137">
        <f t="shared" si="4"/>
        <v>0</v>
      </c>
      <c r="L52" s="15" t="s">
        <v>0</v>
      </c>
      <c r="M52" s="88">
        <v>0</v>
      </c>
      <c r="N52" s="88">
        <v>0</v>
      </c>
      <c r="O52" s="155">
        <v>1E+16</v>
      </c>
      <c r="P52" s="68">
        <v>109575</v>
      </c>
      <c r="Q52" s="3">
        <f t="shared" si="5"/>
        <v>64601</v>
      </c>
      <c r="R52" s="107">
        <f t="shared" si="16"/>
        <v>18.66</v>
      </c>
      <c r="S52" s="105">
        <f t="shared" si="6"/>
        <v>26311205.816876858</v>
      </c>
      <c r="T52" s="341">
        <v>0</v>
      </c>
      <c r="U52" s="341">
        <v>0</v>
      </c>
      <c r="V52" s="341">
        <v>0</v>
      </c>
      <c r="W52" s="341">
        <v>0</v>
      </c>
      <c r="X52" s="281">
        <f t="shared" si="7"/>
        <v>0.02</v>
      </c>
      <c r="Y52" s="282">
        <f t="shared" si="13"/>
        <v>0.1</v>
      </c>
    </row>
    <row r="53" spans="2:25" x14ac:dyDescent="0.35">
      <c r="B53" s="18">
        <f t="shared" si="14"/>
        <v>34</v>
      </c>
      <c r="C53" s="85">
        <f t="shared" si="17"/>
        <v>0</v>
      </c>
      <c r="D53" s="85">
        <f t="shared" si="18"/>
        <v>0</v>
      </c>
      <c r="E53" s="84">
        <f t="shared" si="19"/>
        <v>0</v>
      </c>
      <c r="F53" s="135">
        <f t="shared" si="20"/>
        <v>0</v>
      </c>
      <c r="G53" s="413">
        <f t="shared" si="23"/>
        <v>0</v>
      </c>
      <c r="H53" s="413">
        <f t="shared" si="24"/>
        <v>0</v>
      </c>
      <c r="I53" s="275">
        <f t="shared" si="21"/>
        <v>0</v>
      </c>
      <c r="J53" s="275">
        <f t="shared" si="22"/>
        <v>0</v>
      </c>
      <c r="K53" s="137">
        <f t="shared" si="4"/>
        <v>0</v>
      </c>
      <c r="L53" s="15" t="s">
        <v>0</v>
      </c>
      <c r="M53" s="88">
        <v>0</v>
      </c>
      <c r="N53" s="88">
        <v>0</v>
      </c>
      <c r="O53" s="155">
        <v>1E+16</v>
      </c>
      <c r="P53" s="68">
        <v>109575</v>
      </c>
      <c r="Q53" s="3">
        <f t="shared" si="5"/>
        <v>64601</v>
      </c>
      <c r="R53" s="107">
        <f t="shared" si="16"/>
        <v>18.66</v>
      </c>
      <c r="S53" s="105">
        <f t="shared" si="6"/>
        <v>26311205.816876858</v>
      </c>
      <c r="T53" s="341">
        <v>0</v>
      </c>
      <c r="U53" s="341">
        <v>0</v>
      </c>
      <c r="V53" s="341">
        <v>0</v>
      </c>
      <c r="W53" s="341">
        <v>0</v>
      </c>
      <c r="X53" s="281">
        <f t="shared" si="7"/>
        <v>0.02</v>
      </c>
      <c r="Y53" s="282">
        <f t="shared" si="13"/>
        <v>0.1</v>
      </c>
    </row>
    <row r="54" spans="2:25" x14ac:dyDescent="0.35">
      <c r="B54" s="18">
        <f t="shared" si="14"/>
        <v>35</v>
      </c>
      <c r="C54" s="85">
        <f t="shared" si="17"/>
        <v>0</v>
      </c>
      <c r="D54" s="85">
        <f t="shared" si="18"/>
        <v>0</v>
      </c>
      <c r="E54" s="84">
        <f t="shared" si="19"/>
        <v>0</v>
      </c>
      <c r="F54" s="135">
        <f t="shared" si="20"/>
        <v>0</v>
      </c>
      <c r="G54" s="413">
        <f t="shared" si="23"/>
        <v>0</v>
      </c>
      <c r="H54" s="413">
        <f t="shared" si="24"/>
        <v>0</v>
      </c>
      <c r="I54" s="275">
        <f t="shared" si="21"/>
        <v>0</v>
      </c>
      <c r="J54" s="275">
        <f t="shared" si="22"/>
        <v>0</v>
      </c>
      <c r="K54" s="137">
        <f t="shared" si="4"/>
        <v>0</v>
      </c>
      <c r="L54" s="15" t="s">
        <v>0</v>
      </c>
      <c r="M54" s="88">
        <v>0</v>
      </c>
      <c r="N54" s="88">
        <v>0</v>
      </c>
      <c r="O54" s="155">
        <v>1E+16</v>
      </c>
      <c r="P54" s="68">
        <v>109575</v>
      </c>
      <c r="Q54" s="3">
        <f t="shared" si="5"/>
        <v>64601</v>
      </c>
      <c r="R54" s="107">
        <f t="shared" si="16"/>
        <v>18.66</v>
      </c>
      <c r="S54" s="105">
        <f t="shared" si="6"/>
        <v>26311205.816876858</v>
      </c>
      <c r="T54" s="341">
        <v>0</v>
      </c>
      <c r="U54" s="341">
        <v>0</v>
      </c>
      <c r="V54" s="341">
        <v>0</v>
      </c>
      <c r="W54" s="341">
        <v>0</v>
      </c>
      <c r="X54" s="281">
        <f t="shared" si="7"/>
        <v>0.02</v>
      </c>
      <c r="Y54" s="282">
        <f t="shared" si="13"/>
        <v>0.1</v>
      </c>
    </row>
    <row r="55" spans="2:25" x14ac:dyDescent="0.35">
      <c r="B55" s="18">
        <f t="shared" si="14"/>
        <v>36</v>
      </c>
      <c r="C55" s="85">
        <f t="shared" si="17"/>
        <v>0</v>
      </c>
      <c r="D55" s="85">
        <f t="shared" si="18"/>
        <v>0</v>
      </c>
      <c r="E55" s="84">
        <f t="shared" si="19"/>
        <v>0</v>
      </c>
      <c r="F55" s="135">
        <f t="shared" si="20"/>
        <v>0</v>
      </c>
      <c r="G55" s="413">
        <f t="shared" si="23"/>
        <v>0</v>
      </c>
      <c r="H55" s="413">
        <f t="shared" si="24"/>
        <v>0</v>
      </c>
      <c r="I55" s="275">
        <f t="shared" si="21"/>
        <v>0</v>
      </c>
      <c r="J55" s="275">
        <f t="shared" si="22"/>
        <v>0</v>
      </c>
      <c r="K55" s="137">
        <f t="shared" si="4"/>
        <v>0</v>
      </c>
      <c r="L55" s="15" t="s">
        <v>0</v>
      </c>
      <c r="M55" s="88">
        <v>0</v>
      </c>
      <c r="N55" s="88">
        <v>0</v>
      </c>
      <c r="O55" s="155">
        <v>1E+16</v>
      </c>
      <c r="P55" s="68">
        <v>109575</v>
      </c>
      <c r="Q55" s="3">
        <f t="shared" si="5"/>
        <v>64601</v>
      </c>
      <c r="R55" s="107">
        <f t="shared" si="16"/>
        <v>18.66</v>
      </c>
      <c r="S55" s="105">
        <f t="shared" si="6"/>
        <v>26311205.816876858</v>
      </c>
      <c r="T55" s="341">
        <v>0</v>
      </c>
      <c r="U55" s="341">
        <v>0</v>
      </c>
      <c r="V55" s="341">
        <v>0</v>
      </c>
      <c r="W55" s="341">
        <v>0</v>
      </c>
      <c r="X55" s="281">
        <f t="shared" si="7"/>
        <v>0.02</v>
      </c>
      <c r="Y55" s="282">
        <f t="shared" si="13"/>
        <v>0.1</v>
      </c>
    </row>
    <row r="56" spans="2:25" x14ac:dyDescent="0.35">
      <c r="B56" s="18">
        <f t="shared" si="14"/>
        <v>37</v>
      </c>
      <c r="C56" s="85">
        <f t="shared" si="17"/>
        <v>0</v>
      </c>
      <c r="D56" s="85">
        <f t="shared" si="18"/>
        <v>0</v>
      </c>
      <c r="E56" s="84">
        <f t="shared" si="19"/>
        <v>0</v>
      </c>
      <c r="F56" s="135">
        <f t="shared" si="20"/>
        <v>0</v>
      </c>
      <c r="G56" s="413">
        <f t="shared" si="23"/>
        <v>0</v>
      </c>
      <c r="H56" s="413">
        <f t="shared" si="24"/>
        <v>0</v>
      </c>
      <c r="I56" s="275">
        <f t="shared" si="21"/>
        <v>0</v>
      </c>
      <c r="J56" s="275">
        <f t="shared" si="22"/>
        <v>0</v>
      </c>
      <c r="K56" s="137">
        <f t="shared" si="4"/>
        <v>0</v>
      </c>
      <c r="L56" s="15" t="s">
        <v>0</v>
      </c>
      <c r="M56" s="88">
        <v>0</v>
      </c>
      <c r="N56" s="88">
        <v>0</v>
      </c>
      <c r="O56" s="155">
        <v>1E+16</v>
      </c>
      <c r="P56" s="68">
        <v>109575</v>
      </c>
      <c r="Q56" s="3">
        <f t="shared" si="5"/>
        <v>64601</v>
      </c>
      <c r="R56" s="107">
        <f t="shared" si="16"/>
        <v>18.66</v>
      </c>
      <c r="S56" s="105">
        <f t="shared" si="6"/>
        <v>26311205.816876858</v>
      </c>
      <c r="T56" s="341">
        <v>0</v>
      </c>
      <c r="U56" s="341">
        <v>0</v>
      </c>
      <c r="V56" s="341">
        <v>0</v>
      </c>
      <c r="W56" s="341">
        <v>0</v>
      </c>
      <c r="X56" s="281">
        <f t="shared" si="7"/>
        <v>0.02</v>
      </c>
      <c r="Y56" s="282">
        <f t="shared" si="13"/>
        <v>0.1</v>
      </c>
    </row>
    <row r="57" spans="2:25" x14ac:dyDescent="0.35">
      <c r="B57" s="18">
        <f t="shared" si="14"/>
        <v>38</v>
      </c>
      <c r="C57" s="85">
        <f t="shared" si="17"/>
        <v>0</v>
      </c>
      <c r="D57" s="85">
        <f t="shared" si="18"/>
        <v>0</v>
      </c>
      <c r="E57" s="84">
        <f t="shared" si="19"/>
        <v>0</v>
      </c>
      <c r="F57" s="135">
        <f t="shared" si="20"/>
        <v>0</v>
      </c>
      <c r="G57" s="413">
        <f t="shared" si="23"/>
        <v>0</v>
      </c>
      <c r="H57" s="413">
        <f t="shared" si="24"/>
        <v>0</v>
      </c>
      <c r="I57" s="275">
        <f t="shared" si="21"/>
        <v>0</v>
      </c>
      <c r="J57" s="275">
        <f t="shared" si="22"/>
        <v>0</v>
      </c>
      <c r="K57" s="137">
        <f t="shared" si="4"/>
        <v>0</v>
      </c>
      <c r="L57" s="15" t="s">
        <v>0</v>
      </c>
      <c r="M57" s="88">
        <v>0</v>
      </c>
      <c r="N57" s="88">
        <v>0</v>
      </c>
      <c r="O57" s="155">
        <v>1E+16</v>
      </c>
      <c r="P57" s="68">
        <v>109575</v>
      </c>
      <c r="Q57" s="3">
        <f t="shared" si="5"/>
        <v>64601</v>
      </c>
      <c r="R57" s="107">
        <f t="shared" si="16"/>
        <v>18.66</v>
      </c>
      <c r="S57" s="105">
        <f t="shared" si="6"/>
        <v>26311205.816876858</v>
      </c>
      <c r="T57" s="341">
        <v>0</v>
      </c>
      <c r="U57" s="341">
        <v>0</v>
      </c>
      <c r="V57" s="341">
        <v>0</v>
      </c>
      <c r="W57" s="341">
        <v>0</v>
      </c>
      <c r="X57" s="281">
        <f t="shared" si="7"/>
        <v>0.02</v>
      </c>
      <c r="Y57" s="282">
        <f t="shared" si="13"/>
        <v>0.1</v>
      </c>
    </row>
    <row r="58" spans="2:25" x14ac:dyDescent="0.35">
      <c r="B58" s="18">
        <f t="shared" si="14"/>
        <v>39</v>
      </c>
      <c r="C58" s="85">
        <f t="shared" si="17"/>
        <v>0</v>
      </c>
      <c r="D58" s="85">
        <f t="shared" si="18"/>
        <v>0</v>
      </c>
      <c r="E58" s="84">
        <f t="shared" si="19"/>
        <v>0</v>
      </c>
      <c r="F58" s="135">
        <f t="shared" si="20"/>
        <v>0</v>
      </c>
      <c r="G58" s="413">
        <f t="shared" si="23"/>
        <v>0</v>
      </c>
      <c r="H58" s="413">
        <f t="shared" si="24"/>
        <v>0</v>
      </c>
      <c r="I58" s="275">
        <f t="shared" si="21"/>
        <v>0</v>
      </c>
      <c r="J58" s="275">
        <f t="shared" si="22"/>
        <v>0</v>
      </c>
      <c r="K58" s="137">
        <f t="shared" si="4"/>
        <v>0</v>
      </c>
      <c r="L58" s="15" t="s">
        <v>0</v>
      </c>
      <c r="M58" s="88">
        <v>0</v>
      </c>
      <c r="N58" s="88">
        <v>0</v>
      </c>
      <c r="O58" s="155">
        <v>1E+16</v>
      </c>
      <c r="P58" s="68">
        <v>109575</v>
      </c>
      <c r="Q58" s="3">
        <f t="shared" si="5"/>
        <v>64601</v>
      </c>
      <c r="R58" s="107">
        <f t="shared" si="16"/>
        <v>18.66</v>
      </c>
      <c r="S58" s="105">
        <f t="shared" si="6"/>
        <v>26311205.816876858</v>
      </c>
      <c r="T58" s="341">
        <v>0</v>
      </c>
      <c r="U58" s="341">
        <v>0</v>
      </c>
      <c r="V58" s="341">
        <v>0</v>
      </c>
      <c r="W58" s="341">
        <v>0</v>
      </c>
      <c r="X58" s="281">
        <f t="shared" si="7"/>
        <v>0.02</v>
      </c>
      <c r="Y58" s="282">
        <f t="shared" si="13"/>
        <v>0.1</v>
      </c>
    </row>
    <row r="59" spans="2:25" x14ac:dyDescent="0.35">
      <c r="B59" s="18">
        <f t="shared" si="14"/>
        <v>40</v>
      </c>
      <c r="C59" s="85">
        <f t="shared" si="17"/>
        <v>0</v>
      </c>
      <c r="D59" s="85">
        <f t="shared" si="18"/>
        <v>0</v>
      </c>
      <c r="E59" s="84">
        <f t="shared" si="19"/>
        <v>0</v>
      </c>
      <c r="F59" s="135">
        <f t="shared" si="20"/>
        <v>0</v>
      </c>
      <c r="G59" s="413">
        <f t="shared" si="23"/>
        <v>0</v>
      </c>
      <c r="H59" s="413">
        <f t="shared" si="24"/>
        <v>0</v>
      </c>
      <c r="I59" s="275">
        <f t="shared" si="21"/>
        <v>0</v>
      </c>
      <c r="J59" s="275">
        <f t="shared" si="22"/>
        <v>0</v>
      </c>
      <c r="K59" s="137">
        <f t="shared" si="4"/>
        <v>0</v>
      </c>
      <c r="L59" s="15" t="s">
        <v>0</v>
      </c>
      <c r="M59" s="88">
        <v>0</v>
      </c>
      <c r="N59" s="88">
        <v>0</v>
      </c>
      <c r="O59" s="155">
        <v>1E+16</v>
      </c>
      <c r="P59" s="68">
        <v>109575</v>
      </c>
      <c r="Q59" s="3">
        <f t="shared" si="5"/>
        <v>64601</v>
      </c>
      <c r="R59" s="107">
        <f t="shared" si="16"/>
        <v>18.66</v>
      </c>
      <c r="S59" s="105">
        <f t="shared" si="6"/>
        <v>26311205.816876858</v>
      </c>
      <c r="T59" s="341">
        <v>0</v>
      </c>
      <c r="U59" s="341">
        <v>0</v>
      </c>
      <c r="V59" s="341">
        <v>0</v>
      </c>
      <c r="W59" s="341">
        <v>0</v>
      </c>
      <c r="X59" s="281">
        <f t="shared" si="7"/>
        <v>0.02</v>
      </c>
      <c r="Y59" s="282">
        <f t="shared" si="13"/>
        <v>0.1</v>
      </c>
    </row>
    <row r="60" spans="2:25" x14ac:dyDescent="0.35">
      <c r="B60" s="18">
        <f t="shared" si="14"/>
        <v>41</v>
      </c>
      <c r="C60" s="85">
        <f t="shared" si="17"/>
        <v>0</v>
      </c>
      <c r="D60" s="85">
        <f t="shared" si="18"/>
        <v>0</v>
      </c>
      <c r="E60" s="84">
        <f t="shared" si="19"/>
        <v>0</v>
      </c>
      <c r="F60" s="135">
        <f t="shared" si="20"/>
        <v>0</v>
      </c>
      <c r="G60" s="413">
        <f t="shared" si="23"/>
        <v>0</v>
      </c>
      <c r="H60" s="413">
        <f t="shared" si="24"/>
        <v>0</v>
      </c>
      <c r="I60" s="275">
        <f t="shared" si="21"/>
        <v>0</v>
      </c>
      <c r="J60" s="275">
        <f t="shared" si="22"/>
        <v>0</v>
      </c>
      <c r="K60" s="137">
        <f t="shared" si="4"/>
        <v>0</v>
      </c>
      <c r="L60" s="15" t="s">
        <v>0</v>
      </c>
      <c r="M60" s="88">
        <v>0</v>
      </c>
      <c r="N60" s="88">
        <v>0</v>
      </c>
      <c r="O60" s="155">
        <v>1E+16</v>
      </c>
      <c r="P60" s="68">
        <v>109575</v>
      </c>
      <c r="Q60" s="3">
        <f t="shared" si="5"/>
        <v>64601</v>
      </c>
      <c r="R60" s="107">
        <f t="shared" si="16"/>
        <v>18.66</v>
      </c>
      <c r="S60" s="105">
        <f t="shared" si="6"/>
        <v>26311205.816876858</v>
      </c>
      <c r="T60" s="341">
        <v>0</v>
      </c>
      <c r="U60" s="341">
        <v>0</v>
      </c>
      <c r="V60" s="341">
        <v>0</v>
      </c>
      <c r="W60" s="341">
        <v>0</v>
      </c>
      <c r="X60" s="281">
        <f t="shared" si="7"/>
        <v>0.02</v>
      </c>
      <c r="Y60" s="282">
        <f t="shared" si="13"/>
        <v>0.1</v>
      </c>
    </row>
    <row r="61" spans="2:25" x14ac:dyDescent="0.35">
      <c r="B61" s="18">
        <f t="shared" si="14"/>
        <v>42</v>
      </c>
      <c r="C61" s="85">
        <f t="shared" si="17"/>
        <v>0</v>
      </c>
      <c r="D61" s="85">
        <f t="shared" si="18"/>
        <v>0</v>
      </c>
      <c r="E61" s="84">
        <f t="shared" si="19"/>
        <v>0</v>
      </c>
      <c r="F61" s="135">
        <f t="shared" si="20"/>
        <v>0</v>
      </c>
      <c r="G61" s="413">
        <f t="shared" si="23"/>
        <v>0</v>
      </c>
      <c r="H61" s="413">
        <f t="shared" si="24"/>
        <v>0</v>
      </c>
      <c r="I61" s="275">
        <f t="shared" si="21"/>
        <v>0</v>
      </c>
      <c r="J61" s="275">
        <f t="shared" si="22"/>
        <v>0</v>
      </c>
      <c r="K61" s="137">
        <f t="shared" si="4"/>
        <v>0</v>
      </c>
      <c r="L61" s="15" t="s">
        <v>0</v>
      </c>
      <c r="M61" s="88">
        <v>0</v>
      </c>
      <c r="N61" s="88">
        <v>0</v>
      </c>
      <c r="O61" s="155">
        <v>1E+16</v>
      </c>
      <c r="P61" s="68">
        <v>109575</v>
      </c>
      <c r="Q61" s="3">
        <f t="shared" si="5"/>
        <v>64601</v>
      </c>
      <c r="R61" s="107">
        <f t="shared" si="16"/>
        <v>18.66</v>
      </c>
      <c r="S61" s="105">
        <f t="shared" si="6"/>
        <v>26311205.816876858</v>
      </c>
      <c r="T61" s="341">
        <v>0</v>
      </c>
      <c r="U61" s="341">
        <v>0</v>
      </c>
      <c r="V61" s="341">
        <v>0</v>
      </c>
      <c r="W61" s="341">
        <v>0</v>
      </c>
      <c r="X61" s="281">
        <f t="shared" si="7"/>
        <v>0.02</v>
      </c>
      <c r="Y61" s="282">
        <f t="shared" si="13"/>
        <v>0.1</v>
      </c>
    </row>
    <row r="62" spans="2:25" x14ac:dyDescent="0.35">
      <c r="B62" s="18">
        <f t="shared" si="14"/>
        <v>43</v>
      </c>
      <c r="C62" s="85">
        <f t="shared" si="17"/>
        <v>0</v>
      </c>
      <c r="D62" s="85">
        <f t="shared" si="18"/>
        <v>0</v>
      </c>
      <c r="E62" s="84">
        <f t="shared" si="19"/>
        <v>0</v>
      </c>
      <c r="F62" s="135">
        <f t="shared" si="20"/>
        <v>0</v>
      </c>
      <c r="G62" s="413">
        <f t="shared" si="23"/>
        <v>0</v>
      </c>
      <c r="H62" s="413">
        <f t="shared" si="24"/>
        <v>0</v>
      </c>
      <c r="I62" s="275">
        <f t="shared" si="21"/>
        <v>0</v>
      </c>
      <c r="J62" s="275">
        <f t="shared" si="22"/>
        <v>0</v>
      </c>
      <c r="K62" s="137">
        <f t="shared" si="4"/>
        <v>0</v>
      </c>
      <c r="L62" s="15" t="s">
        <v>0</v>
      </c>
      <c r="M62" s="88">
        <v>0</v>
      </c>
      <c r="N62" s="88">
        <v>0</v>
      </c>
      <c r="O62" s="155">
        <v>1E+16</v>
      </c>
      <c r="P62" s="68">
        <v>109575</v>
      </c>
      <c r="Q62" s="3">
        <f t="shared" si="5"/>
        <v>64601</v>
      </c>
      <c r="R62" s="107">
        <f t="shared" si="16"/>
        <v>18.66</v>
      </c>
      <c r="S62" s="105">
        <f t="shared" si="6"/>
        <v>26311205.816876858</v>
      </c>
      <c r="T62" s="341">
        <v>0</v>
      </c>
      <c r="U62" s="341">
        <v>0</v>
      </c>
      <c r="V62" s="341">
        <v>0</v>
      </c>
      <c r="W62" s="341">
        <v>0</v>
      </c>
      <c r="X62" s="281">
        <f t="shared" si="7"/>
        <v>0.02</v>
      </c>
      <c r="Y62" s="282">
        <f t="shared" si="13"/>
        <v>0.1</v>
      </c>
    </row>
    <row r="63" spans="2:25" x14ac:dyDescent="0.35">
      <c r="B63" s="18">
        <f t="shared" si="14"/>
        <v>44</v>
      </c>
      <c r="C63" s="85">
        <f t="shared" si="17"/>
        <v>0</v>
      </c>
      <c r="D63" s="85">
        <f t="shared" si="18"/>
        <v>0</v>
      </c>
      <c r="E63" s="84">
        <f t="shared" si="19"/>
        <v>0</v>
      </c>
      <c r="F63" s="135">
        <f t="shared" si="20"/>
        <v>0</v>
      </c>
      <c r="G63" s="413">
        <f t="shared" si="23"/>
        <v>0</v>
      </c>
      <c r="H63" s="413">
        <f t="shared" si="24"/>
        <v>0</v>
      </c>
      <c r="I63" s="275">
        <f t="shared" si="21"/>
        <v>0</v>
      </c>
      <c r="J63" s="275">
        <f t="shared" si="22"/>
        <v>0</v>
      </c>
      <c r="K63" s="137">
        <f t="shared" si="4"/>
        <v>0</v>
      </c>
      <c r="L63" s="15" t="s">
        <v>0</v>
      </c>
      <c r="M63" s="88">
        <v>0</v>
      </c>
      <c r="N63" s="88">
        <v>0</v>
      </c>
      <c r="O63" s="155">
        <v>1E+16</v>
      </c>
      <c r="P63" s="68">
        <v>109575</v>
      </c>
      <c r="Q63" s="3">
        <f t="shared" si="5"/>
        <v>64601</v>
      </c>
      <c r="R63" s="107">
        <f t="shared" si="16"/>
        <v>18.66</v>
      </c>
      <c r="S63" s="105">
        <f t="shared" si="6"/>
        <v>26311205.816876858</v>
      </c>
      <c r="T63" s="341">
        <v>0</v>
      </c>
      <c r="U63" s="341">
        <v>0</v>
      </c>
      <c r="V63" s="341">
        <v>0</v>
      </c>
      <c r="W63" s="341">
        <v>0</v>
      </c>
      <c r="X63" s="281">
        <f t="shared" si="7"/>
        <v>0.02</v>
      </c>
      <c r="Y63" s="282">
        <f t="shared" si="13"/>
        <v>0.1</v>
      </c>
    </row>
    <row r="64" spans="2:25" x14ac:dyDescent="0.35">
      <c r="B64" s="18">
        <f t="shared" si="14"/>
        <v>45</v>
      </c>
      <c r="C64" s="85">
        <f t="shared" si="17"/>
        <v>0</v>
      </c>
      <c r="D64" s="85">
        <f t="shared" si="18"/>
        <v>0</v>
      </c>
      <c r="E64" s="84">
        <f t="shared" si="19"/>
        <v>0</v>
      </c>
      <c r="F64" s="135">
        <f t="shared" si="20"/>
        <v>0</v>
      </c>
      <c r="G64" s="413">
        <f t="shared" si="23"/>
        <v>0</v>
      </c>
      <c r="H64" s="413">
        <f t="shared" si="24"/>
        <v>0</v>
      </c>
      <c r="I64" s="275">
        <f t="shared" si="21"/>
        <v>0</v>
      </c>
      <c r="J64" s="275">
        <f t="shared" si="22"/>
        <v>0</v>
      </c>
      <c r="K64" s="137">
        <f t="shared" si="4"/>
        <v>0</v>
      </c>
      <c r="L64" s="15" t="s">
        <v>0</v>
      </c>
      <c r="M64" s="88">
        <v>0</v>
      </c>
      <c r="N64" s="88">
        <v>0</v>
      </c>
      <c r="O64" s="155">
        <v>1E+16</v>
      </c>
      <c r="P64" s="68">
        <v>109575</v>
      </c>
      <c r="Q64" s="3">
        <f t="shared" si="5"/>
        <v>64601</v>
      </c>
      <c r="R64" s="107">
        <f t="shared" si="16"/>
        <v>18.66</v>
      </c>
      <c r="S64" s="105">
        <f t="shared" si="6"/>
        <v>26311205.816876858</v>
      </c>
      <c r="T64" s="341">
        <v>0</v>
      </c>
      <c r="U64" s="341">
        <v>0</v>
      </c>
      <c r="V64" s="341">
        <v>0</v>
      </c>
      <c r="W64" s="341">
        <v>0</v>
      </c>
      <c r="X64" s="281">
        <f t="shared" si="7"/>
        <v>0.02</v>
      </c>
      <c r="Y64" s="282">
        <f t="shared" si="13"/>
        <v>0.1</v>
      </c>
    </row>
    <row r="65" spans="2:25" x14ac:dyDescent="0.35">
      <c r="B65" s="18">
        <f t="shared" si="14"/>
        <v>46</v>
      </c>
      <c r="C65" s="85">
        <f t="shared" si="17"/>
        <v>0</v>
      </c>
      <c r="D65" s="85">
        <f t="shared" si="18"/>
        <v>0</v>
      </c>
      <c r="E65" s="84">
        <f t="shared" si="19"/>
        <v>0</v>
      </c>
      <c r="F65" s="135">
        <f t="shared" si="20"/>
        <v>0</v>
      </c>
      <c r="G65" s="413">
        <f t="shared" si="23"/>
        <v>0</v>
      </c>
      <c r="H65" s="413">
        <f t="shared" si="24"/>
        <v>0</v>
      </c>
      <c r="I65" s="275">
        <f t="shared" si="21"/>
        <v>0</v>
      </c>
      <c r="J65" s="275">
        <f t="shared" si="22"/>
        <v>0</v>
      </c>
      <c r="K65" s="137">
        <f t="shared" si="4"/>
        <v>0</v>
      </c>
      <c r="L65" s="15" t="s">
        <v>0</v>
      </c>
      <c r="M65" s="88">
        <v>0</v>
      </c>
      <c r="N65" s="88">
        <v>0</v>
      </c>
      <c r="O65" s="155">
        <v>1E+16</v>
      </c>
      <c r="P65" s="68">
        <v>109575</v>
      </c>
      <c r="Q65" s="3">
        <f t="shared" si="5"/>
        <v>64601</v>
      </c>
      <c r="R65" s="107">
        <f t="shared" si="16"/>
        <v>18.66</v>
      </c>
      <c r="S65" s="105">
        <f t="shared" si="6"/>
        <v>26311205.816876858</v>
      </c>
      <c r="T65" s="341">
        <v>0</v>
      </c>
      <c r="U65" s="341">
        <v>0</v>
      </c>
      <c r="V65" s="341">
        <v>0</v>
      </c>
      <c r="W65" s="341">
        <v>0</v>
      </c>
      <c r="X65" s="281">
        <f t="shared" si="7"/>
        <v>0.02</v>
      </c>
      <c r="Y65" s="282">
        <f t="shared" si="13"/>
        <v>0.1</v>
      </c>
    </row>
    <row r="66" spans="2:25" x14ac:dyDescent="0.35">
      <c r="B66" s="18">
        <f t="shared" si="14"/>
        <v>47</v>
      </c>
      <c r="C66" s="85">
        <f t="shared" si="17"/>
        <v>0</v>
      </c>
      <c r="D66" s="85">
        <f t="shared" si="18"/>
        <v>0</v>
      </c>
      <c r="E66" s="84">
        <f t="shared" si="19"/>
        <v>0</v>
      </c>
      <c r="F66" s="135">
        <f t="shared" si="20"/>
        <v>0</v>
      </c>
      <c r="G66" s="413">
        <f t="shared" si="23"/>
        <v>0</v>
      </c>
      <c r="H66" s="413">
        <f t="shared" si="24"/>
        <v>0</v>
      </c>
      <c r="I66" s="275">
        <f t="shared" si="21"/>
        <v>0</v>
      </c>
      <c r="J66" s="275">
        <f t="shared" si="22"/>
        <v>0</v>
      </c>
      <c r="K66" s="137">
        <f t="shared" si="4"/>
        <v>0</v>
      </c>
      <c r="L66" s="15" t="s">
        <v>0</v>
      </c>
      <c r="M66" s="88">
        <v>0</v>
      </c>
      <c r="N66" s="88">
        <v>0</v>
      </c>
      <c r="O66" s="155">
        <v>1E+16</v>
      </c>
      <c r="P66" s="68">
        <v>109575</v>
      </c>
      <c r="Q66" s="3">
        <f t="shared" si="5"/>
        <v>64601</v>
      </c>
      <c r="R66" s="107">
        <f t="shared" si="16"/>
        <v>18.66</v>
      </c>
      <c r="S66" s="105">
        <f t="shared" si="6"/>
        <v>26311205.816876858</v>
      </c>
      <c r="T66" s="341">
        <v>0</v>
      </c>
      <c r="U66" s="341">
        <v>0</v>
      </c>
      <c r="V66" s="341">
        <v>0</v>
      </c>
      <c r="W66" s="341">
        <v>0</v>
      </c>
      <c r="X66" s="281">
        <f t="shared" si="7"/>
        <v>0.02</v>
      </c>
      <c r="Y66" s="282">
        <f t="shared" si="13"/>
        <v>0.1</v>
      </c>
    </row>
    <row r="67" spans="2:25" x14ac:dyDescent="0.35">
      <c r="B67" s="18">
        <f t="shared" si="14"/>
        <v>48</v>
      </c>
      <c r="C67" s="85">
        <f t="shared" si="17"/>
        <v>0</v>
      </c>
      <c r="D67" s="85">
        <f t="shared" si="18"/>
        <v>0</v>
      </c>
      <c r="E67" s="84">
        <f t="shared" si="19"/>
        <v>0</v>
      </c>
      <c r="F67" s="135">
        <f t="shared" si="20"/>
        <v>0</v>
      </c>
      <c r="G67" s="413">
        <f t="shared" si="23"/>
        <v>0</v>
      </c>
      <c r="H67" s="413">
        <f t="shared" si="24"/>
        <v>0</v>
      </c>
      <c r="I67" s="275">
        <f t="shared" si="21"/>
        <v>0</v>
      </c>
      <c r="J67" s="275">
        <f t="shared" si="22"/>
        <v>0</v>
      </c>
      <c r="K67" s="137">
        <f t="shared" si="4"/>
        <v>0</v>
      </c>
      <c r="L67" s="15" t="s">
        <v>0</v>
      </c>
      <c r="M67" s="88">
        <v>0</v>
      </c>
      <c r="N67" s="88">
        <v>0</v>
      </c>
      <c r="O67" s="155">
        <v>1E+16</v>
      </c>
      <c r="P67" s="68">
        <v>109575</v>
      </c>
      <c r="Q67" s="3">
        <f t="shared" si="5"/>
        <v>64601</v>
      </c>
      <c r="R67" s="107">
        <f t="shared" si="16"/>
        <v>18.66</v>
      </c>
      <c r="S67" s="105">
        <f t="shared" si="6"/>
        <v>26311205.816876858</v>
      </c>
      <c r="T67" s="341">
        <v>0</v>
      </c>
      <c r="U67" s="341">
        <v>0</v>
      </c>
      <c r="V67" s="341">
        <v>0</v>
      </c>
      <c r="W67" s="341">
        <v>0</v>
      </c>
      <c r="X67" s="281">
        <f t="shared" si="7"/>
        <v>0.02</v>
      </c>
      <c r="Y67" s="282">
        <f t="shared" si="13"/>
        <v>0.1</v>
      </c>
    </row>
    <row r="68" spans="2:25" x14ac:dyDescent="0.35">
      <c r="B68" s="18">
        <f t="shared" si="14"/>
        <v>49</v>
      </c>
      <c r="C68" s="85">
        <f t="shared" si="17"/>
        <v>0</v>
      </c>
      <c r="D68" s="85">
        <f t="shared" si="18"/>
        <v>0</v>
      </c>
      <c r="E68" s="84">
        <f t="shared" si="19"/>
        <v>0</v>
      </c>
      <c r="F68" s="135">
        <f t="shared" si="20"/>
        <v>0</v>
      </c>
      <c r="G68" s="413">
        <f t="shared" si="23"/>
        <v>0</v>
      </c>
      <c r="H68" s="413">
        <f t="shared" si="24"/>
        <v>0</v>
      </c>
      <c r="I68" s="275">
        <f t="shared" si="21"/>
        <v>0</v>
      </c>
      <c r="J68" s="275">
        <f t="shared" si="22"/>
        <v>0</v>
      </c>
      <c r="K68" s="137">
        <f t="shared" si="4"/>
        <v>0</v>
      </c>
      <c r="L68" s="15" t="s">
        <v>0</v>
      </c>
      <c r="M68" s="88">
        <v>0</v>
      </c>
      <c r="N68" s="88">
        <v>0</v>
      </c>
      <c r="O68" s="155">
        <v>1E+16</v>
      </c>
      <c r="P68" s="68">
        <v>109575</v>
      </c>
      <c r="Q68" s="3">
        <f t="shared" si="5"/>
        <v>64601</v>
      </c>
      <c r="R68" s="107">
        <f t="shared" si="16"/>
        <v>18.66</v>
      </c>
      <c r="S68" s="105">
        <f t="shared" si="6"/>
        <v>26311205.816876858</v>
      </c>
      <c r="T68" s="341">
        <v>0</v>
      </c>
      <c r="U68" s="341">
        <v>0</v>
      </c>
      <c r="V68" s="341">
        <v>0</v>
      </c>
      <c r="W68" s="341">
        <v>0</v>
      </c>
      <c r="X68" s="281">
        <f t="shared" si="7"/>
        <v>0.02</v>
      </c>
      <c r="Y68" s="282">
        <f t="shared" si="13"/>
        <v>0.1</v>
      </c>
    </row>
    <row r="69" spans="2:25" x14ac:dyDescent="0.35">
      <c r="B69" s="18">
        <f t="shared" si="14"/>
        <v>50</v>
      </c>
      <c r="C69" s="85">
        <f t="shared" si="17"/>
        <v>0</v>
      </c>
      <c r="D69" s="85">
        <f t="shared" si="18"/>
        <v>0</v>
      </c>
      <c r="E69" s="84">
        <f t="shared" si="19"/>
        <v>0</v>
      </c>
      <c r="F69" s="135">
        <f t="shared" si="20"/>
        <v>0</v>
      </c>
      <c r="G69" s="413">
        <f t="shared" si="23"/>
        <v>0</v>
      </c>
      <c r="H69" s="413">
        <f t="shared" si="24"/>
        <v>0</v>
      </c>
      <c r="I69" s="275">
        <f t="shared" si="21"/>
        <v>0</v>
      </c>
      <c r="J69" s="275">
        <f t="shared" si="22"/>
        <v>0</v>
      </c>
      <c r="K69" s="137">
        <f t="shared" si="4"/>
        <v>0</v>
      </c>
      <c r="L69" s="15" t="s">
        <v>0</v>
      </c>
      <c r="M69" s="88">
        <v>0</v>
      </c>
      <c r="N69" s="88">
        <v>0</v>
      </c>
      <c r="O69" s="155">
        <v>1E+16</v>
      </c>
      <c r="P69" s="68">
        <v>109575</v>
      </c>
      <c r="Q69" s="3">
        <f t="shared" si="5"/>
        <v>64601</v>
      </c>
      <c r="R69" s="107">
        <f t="shared" si="16"/>
        <v>18.66</v>
      </c>
      <c r="S69" s="105">
        <f t="shared" si="6"/>
        <v>26311205.816876858</v>
      </c>
      <c r="T69" s="341">
        <v>0</v>
      </c>
      <c r="U69" s="341">
        <v>0</v>
      </c>
      <c r="V69" s="341">
        <v>0</v>
      </c>
      <c r="W69" s="341">
        <v>0</v>
      </c>
      <c r="X69" s="281">
        <f t="shared" si="7"/>
        <v>0.02</v>
      </c>
      <c r="Y69" s="282">
        <f t="shared" si="13"/>
        <v>0.1</v>
      </c>
    </row>
    <row r="70" spans="2:25" x14ac:dyDescent="0.35">
      <c r="B70" s="18">
        <f t="shared" si="14"/>
        <v>51</v>
      </c>
      <c r="C70" s="85">
        <f t="shared" si="17"/>
        <v>0</v>
      </c>
      <c r="D70" s="85">
        <f t="shared" si="18"/>
        <v>0</v>
      </c>
      <c r="E70" s="84">
        <f t="shared" si="19"/>
        <v>0</v>
      </c>
      <c r="F70" s="135">
        <f t="shared" si="20"/>
        <v>0</v>
      </c>
      <c r="G70" s="413">
        <f t="shared" si="23"/>
        <v>0</v>
      </c>
      <c r="H70" s="413">
        <f t="shared" si="24"/>
        <v>0</v>
      </c>
      <c r="I70" s="275">
        <f t="shared" si="21"/>
        <v>0</v>
      </c>
      <c r="J70" s="275">
        <f t="shared" si="22"/>
        <v>0</v>
      </c>
      <c r="K70" s="137">
        <f t="shared" si="4"/>
        <v>0</v>
      </c>
      <c r="L70" s="15" t="s">
        <v>0</v>
      </c>
      <c r="M70" s="88">
        <v>0</v>
      </c>
      <c r="N70" s="88">
        <v>0</v>
      </c>
      <c r="O70" s="155">
        <v>1E+16</v>
      </c>
      <c r="P70" s="68">
        <v>109575</v>
      </c>
      <c r="Q70" s="3">
        <f t="shared" si="5"/>
        <v>64601</v>
      </c>
      <c r="R70" s="107">
        <f t="shared" si="16"/>
        <v>18.66</v>
      </c>
      <c r="S70" s="105">
        <f t="shared" si="6"/>
        <v>26311205.816876858</v>
      </c>
      <c r="T70" s="341">
        <v>0</v>
      </c>
      <c r="U70" s="341">
        <v>0</v>
      </c>
      <c r="V70" s="341">
        <v>0</v>
      </c>
      <c r="W70" s="341">
        <v>0</v>
      </c>
      <c r="X70" s="281">
        <f t="shared" si="7"/>
        <v>0.02</v>
      </c>
      <c r="Y70" s="282">
        <f t="shared" si="13"/>
        <v>0.1</v>
      </c>
    </row>
    <row r="71" spans="2:25" x14ac:dyDescent="0.35">
      <c r="B71" s="18">
        <f t="shared" si="14"/>
        <v>52</v>
      </c>
      <c r="C71" s="85">
        <f t="shared" si="17"/>
        <v>0</v>
      </c>
      <c r="D71" s="85">
        <f t="shared" si="18"/>
        <v>0</v>
      </c>
      <c r="E71" s="84">
        <f t="shared" si="19"/>
        <v>0</v>
      </c>
      <c r="F71" s="135">
        <f t="shared" si="20"/>
        <v>0</v>
      </c>
      <c r="G71" s="413">
        <f t="shared" si="23"/>
        <v>0</v>
      </c>
      <c r="H71" s="413">
        <f t="shared" si="24"/>
        <v>0</v>
      </c>
      <c r="I71" s="275">
        <f t="shared" si="21"/>
        <v>0</v>
      </c>
      <c r="J71" s="275">
        <f t="shared" si="22"/>
        <v>0</v>
      </c>
      <c r="K71" s="137">
        <f t="shared" si="4"/>
        <v>0</v>
      </c>
      <c r="L71" s="15" t="s">
        <v>0</v>
      </c>
      <c r="M71" s="88">
        <v>0</v>
      </c>
      <c r="N71" s="88">
        <v>0</v>
      </c>
      <c r="O71" s="155">
        <v>1E+16</v>
      </c>
      <c r="P71" s="68">
        <v>109575</v>
      </c>
      <c r="Q71" s="3">
        <f t="shared" si="5"/>
        <v>64601</v>
      </c>
      <c r="R71" s="107">
        <f t="shared" si="16"/>
        <v>18.66</v>
      </c>
      <c r="S71" s="105">
        <f t="shared" si="6"/>
        <v>26311205.816876858</v>
      </c>
      <c r="T71" s="341">
        <v>0</v>
      </c>
      <c r="U71" s="341">
        <v>0</v>
      </c>
      <c r="V71" s="341">
        <v>0</v>
      </c>
      <c r="W71" s="341">
        <v>0</v>
      </c>
      <c r="X71" s="281">
        <f t="shared" si="7"/>
        <v>0.02</v>
      </c>
      <c r="Y71" s="282">
        <f t="shared" si="13"/>
        <v>0.1</v>
      </c>
    </row>
    <row r="72" spans="2:25" x14ac:dyDescent="0.35">
      <c r="B72" s="18">
        <f t="shared" si="14"/>
        <v>53</v>
      </c>
      <c r="C72" s="85">
        <f t="shared" si="17"/>
        <v>0</v>
      </c>
      <c r="D72" s="85">
        <f t="shared" si="18"/>
        <v>0</v>
      </c>
      <c r="E72" s="84">
        <f t="shared" si="19"/>
        <v>0</v>
      </c>
      <c r="F72" s="135">
        <f t="shared" si="20"/>
        <v>0</v>
      </c>
      <c r="G72" s="413">
        <f t="shared" si="23"/>
        <v>0</v>
      </c>
      <c r="H72" s="413">
        <f t="shared" si="24"/>
        <v>0</v>
      </c>
      <c r="I72" s="275">
        <f t="shared" si="21"/>
        <v>0</v>
      </c>
      <c r="J72" s="275">
        <f t="shared" si="22"/>
        <v>0</v>
      </c>
      <c r="K72" s="137">
        <f t="shared" si="4"/>
        <v>0</v>
      </c>
      <c r="L72" s="15" t="s">
        <v>0</v>
      </c>
      <c r="M72" s="88">
        <v>0</v>
      </c>
      <c r="N72" s="88">
        <v>0</v>
      </c>
      <c r="O72" s="155">
        <v>1E+16</v>
      </c>
      <c r="P72" s="68">
        <v>109575</v>
      </c>
      <c r="Q72" s="3">
        <f t="shared" si="5"/>
        <v>64601</v>
      </c>
      <c r="R72" s="107">
        <f t="shared" si="16"/>
        <v>18.66</v>
      </c>
      <c r="S72" s="105">
        <f t="shared" si="6"/>
        <v>26311205.816876858</v>
      </c>
      <c r="T72" s="341">
        <v>0</v>
      </c>
      <c r="U72" s="341">
        <v>0</v>
      </c>
      <c r="V72" s="341">
        <v>0</v>
      </c>
      <c r="W72" s="341">
        <v>0</v>
      </c>
      <c r="X72" s="281">
        <f t="shared" si="7"/>
        <v>0.02</v>
      </c>
      <c r="Y72" s="282">
        <f t="shared" si="13"/>
        <v>0.1</v>
      </c>
    </row>
    <row r="73" spans="2:25" x14ac:dyDescent="0.35">
      <c r="B73" s="18">
        <f t="shared" si="14"/>
        <v>54</v>
      </c>
      <c r="C73" s="85">
        <f t="shared" si="17"/>
        <v>0</v>
      </c>
      <c r="D73" s="85">
        <f t="shared" si="18"/>
        <v>0</v>
      </c>
      <c r="E73" s="84">
        <f t="shared" si="19"/>
        <v>0</v>
      </c>
      <c r="F73" s="135">
        <f t="shared" si="20"/>
        <v>0</v>
      </c>
      <c r="G73" s="413">
        <f t="shared" si="23"/>
        <v>0</v>
      </c>
      <c r="H73" s="413">
        <f t="shared" si="24"/>
        <v>0</v>
      </c>
      <c r="I73" s="275">
        <f t="shared" si="21"/>
        <v>0</v>
      </c>
      <c r="J73" s="275">
        <f t="shared" si="22"/>
        <v>0</v>
      </c>
      <c r="K73" s="137">
        <f t="shared" si="4"/>
        <v>0</v>
      </c>
      <c r="L73" s="15" t="s">
        <v>0</v>
      </c>
      <c r="M73" s="88">
        <v>0</v>
      </c>
      <c r="N73" s="88">
        <v>0</v>
      </c>
      <c r="O73" s="155">
        <v>1E+16</v>
      </c>
      <c r="P73" s="68">
        <v>109575</v>
      </c>
      <c r="Q73" s="3">
        <f t="shared" si="5"/>
        <v>64601</v>
      </c>
      <c r="R73" s="107">
        <f t="shared" si="16"/>
        <v>18.66</v>
      </c>
      <c r="S73" s="105">
        <f t="shared" si="6"/>
        <v>26311205.816876858</v>
      </c>
      <c r="T73" s="341">
        <v>0</v>
      </c>
      <c r="U73" s="341">
        <v>0</v>
      </c>
      <c r="V73" s="341">
        <v>0</v>
      </c>
      <c r="W73" s="341">
        <v>0</v>
      </c>
      <c r="X73" s="281">
        <f t="shared" si="7"/>
        <v>0.02</v>
      </c>
      <c r="Y73" s="282">
        <f t="shared" si="13"/>
        <v>0.1</v>
      </c>
    </row>
    <row r="74" spans="2:25" x14ac:dyDescent="0.35">
      <c r="B74" s="18">
        <f t="shared" si="14"/>
        <v>55</v>
      </c>
      <c r="C74" s="85">
        <f t="shared" si="17"/>
        <v>0</v>
      </c>
      <c r="D74" s="85">
        <f t="shared" si="18"/>
        <v>0</v>
      </c>
      <c r="E74" s="84">
        <f t="shared" si="19"/>
        <v>0</v>
      </c>
      <c r="F74" s="135">
        <f t="shared" si="20"/>
        <v>0</v>
      </c>
      <c r="G74" s="413">
        <f t="shared" si="23"/>
        <v>0</v>
      </c>
      <c r="H74" s="413">
        <f t="shared" si="24"/>
        <v>0</v>
      </c>
      <c r="I74" s="275">
        <f t="shared" si="21"/>
        <v>0</v>
      </c>
      <c r="J74" s="275">
        <f t="shared" si="22"/>
        <v>0</v>
      </c>
      <c r="K74" s="137">
        <f t="shared" si="4"/>
        <v>0</v>
      </c>
      <c r="L74" s="15" t="s">
        <v>0</v>
      </c>
      <c r="M74" s="88">
        <v>0</v>
      </c>
      <c r="N74" s="88">
        <v>0</v>
      </c>
      <c r="O74" s="155">
        <v>1E+16</v>
      </c>
      <c r="P74" s="68">
        <v>109575</v>
      </c>
      <c r="Q74" s="3">
        <f t="shared" si="5"/>
        <v>64601</v>
      </c>
      <c r="R74" s="107">
        <f t="shared" si="16"/>
        <v>18.66</v>
      </c>
      <c r="S74" s="105">
        <f t="shared" si="6"/>
        <v>26311205.816876858</v>
      </c>
      <c r="T74" s="341">
        <v>0</v>
      </c>
      <c r="U74" s="341">
        <v>0</v>
      </c>
      <c r="V74" s="341">
        <v>0</v>
      </c>
      <c r="W74" s="341">
        <v>0</v>
      </c>
      <c r="X74" s="281">
        <f t="shared" si="7"/>
        <v>0.02</v>
      </c>
      <c r="Y74" s="282">
        <f t="shared" si="13"/>
        <v>0.1</v>
      </c>
    </row>
    <row r="75" spans="2:25" x14ac:dyDescent="0.35">
      <c r="B75" s="18">
        <f t="shared" si="14"/>
        <v>56</v>
      </c>
      <c r="C75" s="85">
        <f t="shared" si="17"/>
        <v>0</v>
      </c>
      <c r="D75" s="85">
        <f t="shared" si="18"/>
        <v>0</v>
      </c>
      <c r="E75" s="84">
        <f t="shared" si="19"/>
        <v>0</v>
      </c>
      <c r="F75" s="135">
        <f t="shared" si="20"/>
        <v>0</v>
      </c>
      <c r="G75" s="413">
        <f t="shared" si="23"/>
        <v>0</v>
      </c>
      <c r="H75" s="413">
        <f t="shared" si="24"/>
        <v>0</v>
      </c>
      <c r="I75" s="275">
        <f t="shared" si="21"/>
        <v>0</v>
      </c>
      <c r="J75" s="275">
        <f t="shared" si="22"/>
        <v>0</v>
      </c>
      <c r="K75" s="137">
        <f t="shared" si="4"/>
        <v>0</v>
      </c>
      <c r="L75" s="15" t="s">
        <v>0</v>
      </c>
      <c r="M75" s="88">
        <v>0</v>
      </c>
      <c r="N75" s="88">
        <v>0</v>
      </c>
      <c r="O75" s="155">
        <v>1E+16</v>
      </c>
      <c r="P75" s="68">
        <v>109575</v>
      </c>
      <c r="Q75" s="3">
        <f t="shared" si="5"/>
        <v>64601</v>
      </c>
      <c r="R75" s="107">
        <f t="shared" si="16"/>
        <v>18.66</v>
      </c>
      <c r="S75" s="105">
        <f t="shared" si="6"/>
        <v>26311205.816876858</v>
      </c>
      <c r="T75" s="341">
        <v>0</v>
      </c>
      <c r="U75" s="341">
        <v>0</v>
      </c>
      <c r="V75" s="341">
        <v>0</v>
      </c>
      <c r="W75" s="341">
        <v>0</v>
      </c>
      <c r="X75" s="281">
        <f t="shared" si="7"/>
        <v>0.02</v>
      </c>
      <c r="Y75" s="282">
        <f t="shared" si="13"/>
        <v>0.1</v>
      </c>
    </row>
    <row r="76" spans="2:25" x14ac:dyDescent="0.35">
      <c r="B76" s="18">
        <f t="shared" si="14"/>
        <v>57</v>
      </c>
      <c r="C76" s="85">
        <f t="shared" si="17"/>
        <v>0</v>
      </c>
      <c r="D76" s="85">
        <f t="shared" si="18"/>
        <v>0</v>
      </c>
      <c r="E76" s="84">
        <f t="shared" si="19"/>
        <v>0</v>
      </c>
      <c r="F76" s="135">
        <f t="shared" si="20"/>
        <v>0</v>
      </c>
      <c r="G76" s="413">
        <f t="shared" si="23"/>
        <v>0</v>
      </c>
      <c r="H76" s="413">
        <f t="shared" si="24"/>
        <v>0</v>
      </c>
      <c r="I76" s="275">
        <f t="shared" si="21"/>
        <v>0</v>
      </c>
      <c r="J76" s="275">
        <f t="shared" si="22"/>
        <v>0</v>
      </c>
      <c r="K76" s="137">
        <f t="shared" si="4"/>
        <v>0</v>
      </c>
      <c r="L76" s="15" t="s">
        <v>0</v>
      </c>
      <c r="M76" s="88">
        <v>0</v>
      </c>
      <c r="N76" s="88">
        <v>0</v>
      </c>
      <c r="O76" s="155">
        <v>1E+16</v>
      </c>
      <c r="P76" s="68">
        <v>109575</v>
      </c>
      <c r="Q76" s="3">
        <f t="shared" si="5"/>
        <v>64601</v>
      </c>
      <c r="R76" s="107">
        <f t="shared" si="16"/>
        <v>18.66</v>
      </c>
      <c r="S76" s="105">
        <f t="shared" si="6"/>
        <v>26311205.816876858</v>
      </c>
      <c r="T76" s="341">
        <v>0</v>
      </c>
      <c r="U76" s="341">
        <v>0</v>
      </c>
      <c r="V76" s="341">
        <v>0</v>
      </c>
      <c r="W76" s="341">
        <v>0</v>
      </c>
      <c r="X76" s="281">
        <f t="shared" si="7"/>
        <v>0.02</v>
      </c>
      <c r="Y76" s="282">
        <f t="shared" si="13"/>
        <v>0.1</v>
      </c>
    </row>
    <row r="77" spans="2:25" x14ac:dyDescent="0.35">
      <c r="B77" s="18">
        <f t="shared" si="14"/>
        <v>58</v>
      </c>
      <c r="C77" s="85">
        <f t="shared" si="17"/>
        <v>0</v>
      </c>
      <c r="D77" s="85">
        <f t="shared" si="18"/>
        <v>0</v>
      </c>
      <c r="E77" s="84">
        <f t="shared" si="19"/>
        <v>0</v>
      </c>
      <c r="F77" s="135">
        <f t="shared" si="20"/>
        <v>0</v>
      </c>
      <c r="G77" s="413">
        <f t="shared" si="23"/>
        <v>0</v>
      </c>
      <c r="H77" s="413">
        <f t="shared" si="24"/>
        <v>0</v>
      </c>
      <c r="I77" s="275">
        <f t="shared" si="21"/>
        <v>0</v>
      </c>
      <c r="J77" s="275">
        <f t="shared" si="22"/>
        <v>0</v>
      </c>
      <c r="K77" s="137">
        <f t="shared" si="4"/>
        <v>0</v>
      </c>
      <c r="L77" s="15" t="s">
        <v>0</v>
      </c>
      <c r="M77" s="88">
        <v>0</v>
      </c>
      <c r="N77" s="88">
        <v>0</v>
      </c>
      <c r="O77" s="155">
        <v>1E+16</v>
      </c>
      <c r="P77" s="68">
        <v>109575</v>
      </c>
      <c r="Q77" s="3">
        <f t="shared" si="5"/>
        <v>64601</v>
      </c>
      <c r="R77" s="107">
        <f t="shared" si="16"/>
        <v>18.66</v>
      </c>
      <c r="S77" s="105">
        <f t="shared" si="6"/>
        <v>26311205.816876858</v>
      </c>
      <c r="T77" s="341">
        <v>0</v>
      </c>
      <c r="U77" s="341">
        <v>0</v>
      </c>
      <c r="V77" s="341">
        <v>0</v>
      </c>
      <c r="W77" s="341">
        <v>0</v>
      </c>
      <c r="X77" s="281">
        <f t="shared" si="7"/>
        <v>0.02</v>
      </c>
      <c r="Y77" s="282">
        <f t="shared" si="13"/>
        <v>0.1</v>
      </c>
    </row>
    <row r="78" spans="2:25" x14ac:dyDescent="0.35">
      <c r="B78" s="18">
        <f t="shared" si="14"/>
        <v>59</v>
      </c>
      <c r="C78" s="85">
        <f t="shared" si="17"/>
        <v>0</v>
      </c>
      <c r="D78" s="85">
        <f t="shared" si="18"/>
        <v>0</v>
      </c>
      <c r="E78" s="84">
        <f t="shared" si="19"/>
        <v>0</v>
      </c>
      <c r="F78" s="135">
        <f t="shared" si="20"/>
        <v>0</v>
      </c>
      <c r="G78" s="413">
        <f t="shared" si="23"/>
        <v>0</v>
      </c>
      <c r="H78" s="413">
        <f t="shared" si="24"/>
        <v>0</v>
      </c>
      <c r="I78" s="275">
        <f t="shared" si="21"/>
        <v>0</v>
      </c>
      <c r="J78" s="275">
        <f t="shared" si="22"/>
        <v>0</v>
      </c>
      <c r="K78" s="137">
        <f t="shared" si="4"/>
        <v>0</v>
      </c>
      <c r="L78" s="15" t="s">
        <v>0</v>
      </c>
      <c r="M78" s="88">
        <v>0</v>
      </c>
      <c r="N78" s="88">
        <v>0</v>
      </c>
      <c r="O78" s="155">
        <v>1E+16</v>
      </c>
      <c r="P78" s="68">
        <v>109575</v>
      </c>
      <c r="Q78" s="3">
        <f t="shared" si="5"/>
        <v>64601</v>
      </c>
      <c r="R78" s="107">
        <f t="shared" si="16"/>
        <v>18.66</v>
      </c>
      <c r="S78" s="105">
        <f t="shared" si="6"/>
        <v>26311205.816876858</v>
      </c>
      <c r="T78" s="341">
        <v>0</v>
      </c>
      <c r="U78" s="341">
        <v>0</v>
      </c>
      <c r="V78" s="341">
        <v>0</v>
      </c>
      <c r="W78" s="341">
        <v>0</v>
      </c>
      <c r="X78" s="281">
        <f t="shared" si="7"/>
        <v>0.02</v>
      </c>
      <c r="Y78" s="282">
        <f t="shared" si="13"/>
        <v>0.1</v>
      </c>
    </row>
    <row r="79" spans="2:25" x14ac:dyDescent="0.35">
      <c r="B79" s="18">
        <f t="shared" si="14"/>
        <v>60</v>
      </c>
      <c r="C79" s="85">
        <f t="shared" si="17"/>
        <v>0</v>
      </c>
      <c r="D79" s="85">
        <f t="shared" si="18"/>
        <v>0</v>
      </c>
      <c r="E79" s="84">
        <f t="shared" si="19"/>
        <v>0</v>
      </c>
      <c r="F79" s="135">
        <f t="shared" si="20"/>
        <v>0</v>
      </c>
      <c r="G79" s="413">
        <f t="shared" si="23"/>
        <v>0</v>
      </c>
      <c r="H79" s="413">
        <f t="shared" si="24"/>
        <v>0</v>
      </c>
      <c r="I79" s="275">
        <f t="shared" si="21"/>
        <v>0</v>
      </c>
      <c r="J79" s="275">
        <f t="shared" si="22"/>
        <v>0</v>
      </c>
      <c r="K79" s="137">
        <f t="shared" si="4"/>
        <v>0</v>
      </c>
      <c r="L79" s="15" t="s">
        <v>0</v>
      </c>
      <c r="M79" s="88">
        <v>0</v>
      </c>
      <c r="N79" s="88">
        <v>0</v>
      </c>
      <c r="O79" s="155">
        <v>1E+16</v>
      </c>
      <c r="P79" s="68">
        <v>109575</v>
      </c>
      <c r="Q79" s="3">
        <f t="shared" si="5"/>
        <v>64601</v>
      </c>
      <c r="R79" s="107">
        <f t="shared" si="16"/>
        <v>18.66</v>
      </c>
      <c r="S79" s="105">
        <f t="shared" si="6"/>
        <v>26311205.816876858</v>
      </c>
      <c r="T79" s="341">
        <v>0</v>
      </c>
      <c r="U79" s="341">
        <v>0</v>
      </c>
      <c r="V79" s="341">
        <v>0</v>
      </c>
      <c r="W79" s="341">
        <v>0</v>
      </c>
      <c r="X79" s="281">
        <f t="shared" si="7"/>
        <v>0.02</v>
      </c>
      <c r="Y79" s="282">
        <f t="shared" si="13"/>
        <v>0.1</v>
      </c>
    </row>
    <row r="80" spans="2:25" x14ac:dyDescent="0.35">
      <c r="B80" s="18">
        <f t="shared" si="14"/>
        <v>61</v>
      </c>
      <c r="C80" s="85">
        <f t="shared" si="17"/>
        <v>0</v>
      </c>
      <c r="D80" s="85">
        <f t="shared" si="18"/>
        <v>0</v>
      </c>
      <c r="E80" s="84">
        <f t="shared" si="19"/>
        <v>0</v>
      </c>
      <c r="F80" s="135">
        <f t="shared" si="20"/>
        <v>0</v>
      </c>
      <c r="G80" s="413">
        <f t="shared" si="23"/>
        <v>0</v>
      </c>
      <c r="H80" s="413">
        <f t="shared" si="24"/>
        <v>0</v>
      </c>
      <c r="I80" s="275">
        <f t="shared" si="21"/>
        <v>0</v>
      </c>
      <c r="J80" s="275">
        <f t="shared" si="22"/>
        <v>0</v>
      </c>
      <c r="K80" s="137">
        <f t="shared" si="4"/>
        <v>0</v>
      </c>
      <c r="L80" s="15" t="s">
        <v>0</v>
      </c>
      <c r="M80" s="88">
        <v>0</v>
      </c>
      <c r="N80" s="88">
        <v>0</v>
      </c>
      <c r="O80" s="155">
        <v>1E+16</v>
      </c>
      <c r="P80" s="68">
        <v>109575</v>
      </c>
      <c r="Q80" s="3">
        <f t="shared" si="5"/>
        <v>64601</v>
      </c>
      <c r="R80" s="107">
        <f t="shared" si="16"/>
        <v>18.66</v>
      </c>
      <c r="S80" s="105">
        <f t="shared" si="6"/>
        <v>26311205.816876858</v>
      </c>
      <c r="T80" s="341">
        <v>0</v>
      </c>
      <c r="U80" s="341">
        <v>0</v>
      </c>
      <c r="V80" s="341">
        <v>0</v>
      </c>
      <c r="W80" s="341">
        <v>0</v>
      </c>
      <c r="X80" s="281">
        <f t="shared" si="7"/>
        <v>0.02</v>
      </c>
      <c r="Y80" s="282">
        <f t="shared" si="13"/>
        <v>0.1</v>
      </c>
    </row>
    <row r="81" spans="2:25" x14ac:dyDescent="0.35">
      <c r="B81" s="18">
        <f t="shared" si="14"/>
        <v>62</v>
      </c>
      <c r="C81" s="85">
        <f t="shared" si="17"/>
        <v>0</v>
      </c>
      <c r="D81" s="85">
        <f t="shared" si="18"/>
        <v>0</v>
      </c>
      <c r="E81" s="84">
        <f t="shared" si="19"/>
        <v>0</v>
      </c>
      <c r="F81" s="135">
        <f t="shared" si="20"/>
        <v>0</v>
      </c>
      <c r="G81" s="413">
        <f t="shared" si="23"/>
        <v>0</v>
      </c>
      <c r="H81" s="413">
        <f t="shared" si="24"/>
        <v>0</v>
      </c>
      <c r="I81" s="275">
        <f t="shared" si="21"/>
        <v>0</v>
      </c>
      <c r="J81" s="275">
        <f t="shared" si="22"/>
        <v>0</v>
      </c>
      <c r="K81" s="137">
        <f t="shared" si="4"/>
        <v>0</v>
      </c>
      <c r="L81" s="15" t="s">
        <v>0</v>
      </c>
      <c r="M81" s="88">
        <v>0</v>
      </c>
      <c r="N81" s="88">
        <v>0</v>
      </c>
      <c r="O81" s="155">
        <v>1E+16</v>
      </c>
      <c r="P81" s="68">
        <v>109575</v>
      </c>
      <c r="Q81" s="3">
        <f t="shared" si="5"/>
        <v>64601</v>
      </c>
      <c r="R81" s="107">
        <f t="shared" si="16"/>
        <v>18.66</v>
      </c>
      <c r="S81" s="105">
        <f t="shared" si="6"/>
        <v>26311205.816876858</v>
      </c>
      <c r="T81" s="341">
        <v>0</v>
      </c>
      <c r="U81" s="341">
        <v>0</v>
      </c>
      <c r="V81" s="341">
        <v>0</v>
      </c>
      <c r="W81" s="341">
        <v>0</v>
      </c>
      <c r="X81" s="281">
        <f t="shared" si="7"/>
        <v>0.02</v>
      </c>
      <c r="Y81" s="282">
        <f t="shared" si="13"/>
        <v>0.1</v>
      </c>
    </row>
    <row r="82" spans="2:25" x14ac:dyDescent="0.35">
      <c r="B82" s="18">
        <f t="shared" si="14"/>
        <v>63</v>
      </c>
      <c r="C82" s="85">
        <f t="shared" si="17"/>
        <v>0</v>
      </c>
      <c r="D82" s="85">
        <f t="shared" si="18"/>
        <v>0</v>
      </c>
      <c r="E82" s="84">
        <f t="shared" si="19"/>
        <v>0</v>
      </c>
      <c r="F82" s="135">
        <f t="shared" si="20"/>
        <v>0</v>
      </c>
      <c r="G82" s="413">
        <f t="shared" si="23"/>
        <v>0</v>
      </c>
      <c r="H82" s="413">
        <f t="shared" si="24"/>
        <v>0</v>
      </c>
      <c r="I82" s="275">
        <f t="shared" si="21"/>
        <v>0</v>
      </c>
      <c r="J82" s="275">
        <f t="shared" si="22"/>
        <v>0</v>
      </c>
      <c r="K82" s="137">
        <f t="shared" si="4"/>
        <v>0</v>
      </c>
      <c r="L82" s="15" t="s">
        <v>0</v>
      </c>
      <c r="M82" s="88">
        <v>0</v>
      </c>
      <c r="N82" s="88">
        <v>0</v>
      </c>
      <c r="O82" s="155">
        <v>1E+16</v>
      </c>
      <c r="P82" s="68">
        <v>109575</v>
      </c>
      <c r="Q82" s="3">
        <f t="shared" si="5"/>
        <v>64601</v>
      </c>
      <c r="R82" s="107">
        <f t="shared" si="16"/>
        <v>18.66</v>
      </c>
      <c r="S82" s="105">
        <f t="shared" si="6"/>
        <v>26311205.816876858</v>
      </c>
      <c r="T82" s="341">
        <v>0</v>
      </c>
      <c r="U82" s="341">
        <v>0</v>
      </c>
      <c r="V82" s="341">
        <v>0</v>
      </c>
      <c r="W82" s="341">
        <v>0</v>
      </c>
      <c r="X82" s="281">
        <f t="shared" si="7"/>
        <v>0.02</v>
      </c>
      <c r="Y82" s="282">
        <f t="shared" si="13"/>
        <v>0.1</v>
      </c>
    </row>
    <row r="83" spans="2:25" x14ac:dyDescent="0.35">
      <c r="B83" s="18">
        <f t="shared" si="14"/>
        <v>64</v>
      </c>
      <c r="C83" s="85">
        <f t="shared" si="17"/>
        <v>0</v>
      </c>
      <c r="D83" s="85">
        <f t="shared" si="18"/>
        <v>0</v>
      </c>
      <c r="E83" s="84">
        <f t="shared" si="19"/>
        <v>0</v>
      </c>
      <c r="F83" s="135">
        <f t="shared" si="20"/>
        <v>0</v>
      </c>
      <c r="G83" s="413">
        <f t="shared" si="23"/>
        <v>0</v>
      </c>
      <c r="H83" s="413">
        <f t="shared" si="24"/>
        <v>0</v>
      </c>
      <c r="I83" s="275">
        <f t="shared" si="21"/>
        <v>0</v>
      </c>
      <c r="J83" s="275">
        <f t="shared" si="22"/>
        <v>0</v>
      </c>
      <c r="K83" s="137">
        <f t="shared" si="4"/>
        <v>0</v>
      </c>
      <c r="L83" s="15" t="s">
        <v>0</v>
      </c>
      <c r="M83" s="88">
        <v>0</v>
      </c>
      <c r="N83" s="88">
        <v>0</v>
      </c>
      <c r="O83" s="155">
        <v>1E+16</v>
      </c>
      <c r="P83" s="68">
        <v>109575</v>
      </c>
      <c r="Q83" s="3">
        <f t="shared" si="5"/>
        <v>64601</v>
      </c>
      <c r="R83" s="107">
        <f t="shared" si="16"/>
        <v>18.66</v>
      </c>
      <c r="S83" s="105">
        <f t="shared" si="6"/>
        <v>26311205.816876858</v>
      </c>
      <c r="T83" s="341">
        <v>0</v>
      </c>
      <c r="U83" s="341">
        <v>0</v>
      </c>
      <c r="V83" s="341">
        <v>0</v>
      </c>
      <c r="W83" s="341">
        <v>0</v>
      </c>
      <c r="X83" s="281">
        <f t="shared" si="7"/>
        <v>0.02</v>
      </c>
      <c r="Y83" s="282">
        <f t="shared" si="13"/>
        <v>0.1</v>
      </c>
    </row>
    <row r="84" spans="2:25" x14ac:dyDescent="0.35">
      <c r="B84" s="18">
        <f t="shared" si="14"/>
        <v>65</v>
      </c>
      <c r="C84" s="85">
        <f t="shared" si="17"/>
        <v>0</v>
      </c>
      <c r="D84" s="85">
        <f t="shared" si="18"/>
        <v>0</v>
      </c>
      <c r="E84" s="84">
        <f t="shared" si="19"/>
        <v>0</v>
      </c>
      <c r="F84" s="135">
        <f t="shared" si="20"/>
        <v>0</v>
      </c>
      <c r="G84" s="413">
        <f t="shared" ref="G84:G147" si="25">BSGamma(L84,1/S84,1/O84,Q84,X84,Y84,T84)*N84</f>
        <v>0</v>
      </c>
      <c r="H84" s="413">
        <f t="shared" ref="H84:H147" si="26">BSVega(L84,1/S84,1/O84,Q84,X84,Y84,T84)*N84*1000000</f>
        <v>0</v>
      </c>
      <c r="I84" s="275">
        <f t="shared" si="21"/>
        <v>0</v>
      </c>
      <c r="J84" s="275">
        <f t="shared" si="22"/>
        <v>0</v>
      </c>
      <c r="K84" s="137">
        <f t="shared" ref="K84:K147" si="27">(E84-N84*EXP(-($I$10-$I$11)*1/365)*BSPrice(L84,1/(S84*EXP(-($I$10-$I$11)*1/365)),1/O84,Q84+1,X84,Y84,T84)*1000000)*(1)</f>
        <v>0</v>
      </c>
      <c r="L84" s="15" t="s">
        <v>0</v>
      </c>
      <c r="M84" s="88">
        <v>0</v>
      </c>
      <c r="N84" s="88">
        <v>0</v>
      </c>
      <c r="O84" s="155">
        <v>1E+16</v>
      </c>
      <c r="P84" s="68">
        <v>109575</v>
      </c>
      <c r="Q84" s="3">
        <f t="shared" ref="Q84:Q147" si="28">(P84-$H$2)</f>
        <v>64601</v>
      </c>
      <c r="R84" s="107">
        <f t="shared" si="16"/>
        <v>18.66</v>
      </c>
      <c r="S84" s="105">
        <f t="shared" ref="S84:S147" si="29">IF(L84="D",1,R84*EXP(-($I$10-$I$11)*Q84/365))</f>
        <v>26311205.816876858</v>
      </c>
      <c r="T84" s="341">
        <v>0</v>
      </c>
      <c r="U84" s="341">
        <v>0</v>
      </c>
      <c r="V84" s="341">
        <v>0</v>
      </c>
      <c r="W84" s="341">
        <v>0</v>
      </c>
      <c r="X84" s="281">
        <f t="shared" ref="X84:X147" si="30">$I$10</f>
        <v>0.02</v>
      </c>
      <c r="Y84" s="282">
        <f t="shared" si="13"/>
        <v>0.1</v>
      </c>
    </row>
    <row r="85" spans="2:25" x14ac:dyDescent="0.35">
      <c r="B85" s="18">
        <f t="shared" si="14"/>
        <v>66</v>
      </c>
      <c r="C85" s="85">
        <f t="shared" si="17"/>
        <v>0</v>
      </c>
      <c r="D85" s="85">
        <f t="shared" si="18"/>
        <v>0</v>
      </c>
      <c r="E85" s="84">
        <f t="shared" si="19"/>
        <v>0</v>
      </c>
      <c r="F85" s="135">
        <f t="shared" si="20"/>
        <v>0</v>
      </c>
      <c r="G85" s="413">
        <f t="shared" si="25"/>
        <v>0</v>
      </c>
      <c r="H85" s="413">
        <f t="shared" si="26"/>
        <v>0</v>
      </c>
      <c r="I85" s="275">
        <f t="shared" si="21"/>
        <v>0</v>
      </c>
      <c r="J85" s="275">
        <f t="shared" si="22"/>
        <v>0</v>
      </c>
      <c r="K85" s="137">
        <f t="shared" si="27"/>
        <v>0</v>
      </c>
      <c r="L85" s="15" t="s">
        <v>0</v>
      </c>
      <c r="M85" s="88">
        <v>0</v>
      </c>
      <c r="N85" s="88">
        <v>0</v>
      </c>
      <c r="O85" s="155">
        <v>1E+16</v>
      </c>
      <c r="P85" s="68">
        <v>109575</v>
      </c>
      <c r="Q85" s="3">
        <f t="shared" si="28"/>
        <v>64601</v>
      </c>
      <c r="R85" s="107">
        <f t="shared" si="16"/>
        <v>18.66</v>
      </c>
      <c r="S85" s="105">
        <f t="shared" si="29"/>
        <v>26311205.816876858</v>
      </c>
      <c r="T85" s="341">
        <v>0</v>
      </c>
      <c r="U85" s="341">
        <v>0</v>
      </c>
      <c r="V85" s="341">
        <v>0</v>
      </c>
      <c r="W85" s="341">
        <v>0</v>
      </c>
      <c r="X85" s="281">
        <f t="shared" si="30"/>
        <v>0.02</v>
      </c>
      <c r="Y85" s="282">
        <f t="shared" si="13"/>
        <v>0.1</v>
      </c>
    </row>
    <row r="86" spans="2:25" x14ac:dyDescent="0.35">
      <c r="B86" s="18">
        <f t="shared" si="14"/>
        <v>67</v>
      </c>
      <c r="C86" s="85">
        <f t="shared" si="17"/>
        <v>0</v>
      </c>
      <c r="D86" s="85">
        <f t="shared" si="18"/>
        <v>0</v>
      </c>
      <c r="E86" s="84">
        <f t="shared" si="19"/>
        <v>0</v>
      </c>
      <c r="F86" s="135">
        <f t="shared" si="20"/>
        <v>0</v>
      </c>
      <c r="G86" s="413">
        <f t="shared" si="25"/>
        <v>0</v>
      </c>
      <c r="H86" s="413">
        <f t="shared" si="26"/>
        <v>0</v>
      </c>
      <c r="I86" s="275">
        <f t="shared" si="21"/>
        <v>0</v>
      </c>
      <c r="J86" s="275">
        <f t="shared" si="22"/>
        <v>0</v>
      </c>
      <c r="K86" s="137">
        <f t="shared" si="27"/>
        <v>0</v>
      </c>
      <c r="L86" s="15" t="s">
        <v>0</v>
      </c>
      <c r="M86" s="88">
        <v>0</v>
      </c>
      <c r="N86" s="88">
        <v>0</v>
      </c>
      <c r="O86" s="155">
        <v>1E+16</v>
      </c>
      <c r="P86" s="68">
        <v>109575</v>
      </c>
      <c r="Q86" s="3">
        <f t="shared" si="28"/>
        <v>64601</v>
      </c>
      <c r="R86" s="107">
        <f t="shared" si="16"/>
        <v>18.66</v>
      </c>
      <c r="S86" s="105">
        <f t="shared" si="29"/>
        <v>26311205.816876858</v>
      </c>
      <c r="T86" s="341">
        <v>0</v>
      </c>
      <c r="U86" s="341">
        <v>0</v>
      </c>
      <c r="V86" s="341">
        <v>0</v>
      </c>
      <c r="W86" s="341">
        <v>0</v>
      </c>
      <c r="X86" s="281">
        <f t="shared" si="30"/>
        <v>0.02</v>
      </c>
      <c r="Y86" s="282">
        <f t="shared" ref="Y86:Y149" si="31">Y85</f>
        <v>0.1</v>
      </c>
    </row>
    <row r="87" spans="2:25" x14ac:dyDescent="0.35">
      <c r="B87" s="18">
        <f t="shared" ref="B87:B150" si="32">B86+1</f>
        <v>68</v>
      </c>
      <c r="C87" s="85">
        <f t="shared" si="17"/>
        <v>0</v>
      </c>
      <c r="D87" s="85">
        <f t="shared" si="18"/>
        <v>0</v>
      </c>
      <c r="E87" s="84">
        <f t="shared" si="19"/>
        <v>0</v>
      </c>
      <c r="F87" s="135">
        <f t="shared" si="20"/>
        <v>0</v>
      </c>
      <c r="G87" s="413">
        <f t="shared" si="25"/>
        <v>0</v>
      </c>
      <c r="H87" s="413">
        <f t="shared" si="26"/>
        <v>0</v>
      </c>
      <c r="I87" s="275">
        <f t="shared" si="21"/>
        <v>0</v>
      </c>
      <c r="J87" s="275">
        <f t="shared" si="22"/>
        <v>0</v>
      </c>
      <c r="K87" s="137">
        <f t="shared" si="27"/>
        <v>0</v>
      </c>
      <c r="L87" s="15" t="s">
        <v>0</v>
      </c>
      <c r="M87" s="88">
        <v>0</v>
      </c>
      <c r="N87" s="88">
        <v>0</v>
      </c>
      <c r="O87" s="155">
        <v>1E+16</v>
      </c>
      <c r="P87" s="68">
        <v>109575</v>
      </c>
      <c r="Q87" s="3">
        <f t="shared" si="28"/>
        <v>64601</v>
      </c>
      <c r="R87" s="107">
        <f t="shared" si="16"/>
        <v>18.66</v>
      </c>
      <c r="S87" s="105">
        <f t="shared" si="29"/>
        <v>26311205.816876858</v>
      </c>
      <c r="T87" s="341">
        <v>0</v>
      </c>
      <c r="U87" s="341">
        <v>0</v>
      </c>
      <c r="V87" s="341">
        <v>0</v>
      </c>
      <c r="W87" s="341">
        <v>0</v>
      </c>
      <c r="X87" s="281">
        <f t="shared" si="30"/>
        <v>0.02</v>
      </c>
      <c r="Y87" s="282">
        <f t="shared" si="31"/>
        <v>0.1</v>
      </c>
    </row>
    <row r="88" spans="2:25" x14ac:dyDescent="0.35">
      <c r="B88" s="18">
        <f t="shared" si="32"/>
        <v>69</v>
      </c>
      <c r="C88" s="85">
        <f t="shared" si="17"/>
        <v>0</v>
      </c>
      <c r="D88" s="85">
        <f t="shared" si="18"/>
        <v>0</v>
      </c>
      <c r="E88" s="84">
        <f t="shared" si="19"/>
        <v>0</v>
      </c>
      <c r="F88" s="135">
        <f t="shared" si="20"/>
        <v>0</v>
      </c>
      <c r="G88" s="413">
        <f t="shared" si="25"/>
        <v>0</v>
      </c>
      <c r="H88" s="413">
        <f t="shared" si="26"/>
        <v>0</v>
      </c>
      <c r="I88" s="275">
        <f t="shared" si="21"/>
        <v>0</v>
      </c>
      <c r="J88" s="275">
        <f t="shared" si="22"/>
        <v>0</v>
      </c>
      <c r="K88" s="137">
        <f t="shared" si="27"/>
        <v>0</v>
      </c>
      <c r="L88" s="15" t="s">
        <v>0</v>
      </c>
      <c r="M88" s="88">
        <v>0</v>
      </c>
      <c r="N88" s="88">
        <v>0</v>
      </c>
      <c r="O88" s="155">
        <v>1E+16</v>
      </c>
      <c r="P88" s="68">
        <v>109575</v>
      </c>
      <c r="Q88" s="3">
        <f t="shared" si="28"/>
        <v>64601</v>
      </c>
      <c r="R88" s="107">
        <f t="shared" si="16"/>
        <v>18.66</v>
      </c>
      <c r="S88" s="105">
        <f t="shared" si="29"/>
        <v>26311205.816876858</v>
      </c>
      <c r="T88" s="341">
        <v>0</v>
      </c>
      <c r="U88" s="341">
        <v>0</v>
      </c>
      <c r="V88" s="341">
        <v>0</v>
      </c>
      <c r="W88" s="341">
        <v>0</v>
      </c>
      <c r="X88" s="281">
        <f t="shared" si="30"/>
        <v>0.02</v>
      </c>
      <c r="Y88" s="282">
        <f t="shared" si="31"/>
        <v>0.1</v>
      </c>
    </row>
    <row r="89" spans="2:25" x14ac:dyDescent="0.35">
      <c r="B89" s="18">
        <f t="shared" si="32"/>
        <v>70</v>
      </c>
      <c r="C89" s="85">
        <f t="shared" si="17"/>
        <v>0</v>
      </c>
      <c r="D89" s="85">
        <f t="shared" si="18"/>
        <v>0</v>
      </c>
      <c r="E89" s="84">
        <f t="shared" si="19"/>
        <v>0</v>
      </c>
      <c r="F89" s="135">
        <f t="shared" si="20"/>
        <v>0</v>
      </c>
      <c r="G89" s="413">
        <f t="shared" si="25"/>
        <v>0</v>
      </c>
      <c r="H89" s="413">
        <f t="shared" si="26"/>
        <v>0</v>
      </c>
      <c r="I89" s="275">
        <f t="shared" si="21"/>
        <v>0</v>
      </c>
      <c r="J89" s="275">
        <f t="shared" si="22"/>
        <v>0</v>
      </c>
      <c r="K89" s="137">
        <f t="shared" si="27"/>
        <v>0</v>
      </c>
      <c r="L89" s="15" t="s">
        <v>0</v>
      </c>
      <c r="M89" s="88">
        <v>0</v>
      </c>
      <c r="N89" s="88">
        <v>0</v>
      </c>
      <c r="O89" s="155">
        <v>1E+16</v>
      </c>
      <c r="P89" s="68">
        <v>109575</v>
      </c>
      <c r="Q89" s="3">
        <f t="shared" si="28"/>
        <v>64601</v>
      </c>
      <c r="R89" s="107">
        <f t="shared" ref="R89:R152" si="33">IF(L89="D",1,$I$6)</f>
        <v>18.66</v>
      </c>
      <c r="S89" s="105">
        <f t="shared" si="29"/>
        <v>26311205.816876858</v>
      </c>
      <c r="T89" s="341">
        <v>0</v>
      </c>
      <c r="U89" s="341">
        <v>0</v>
      </c>
      <c r="V89" s="341">
        <v>0</v>
      </c>
      <c r="W89" s="341">
        <v>0</v>
      </c>
      <c r="X89" s="281">
        <f t="shared" si="30"/>
        <v>0.02</v>
      </c>
      <c r="Y89" s="282">
        <f t="shared" si="31"/>
        <v>0.1</v>
      </c>
    </row>
    <row r="90" spans="2:25" x14ac:dyDescent="0.35">
      <c r="B90" s="18">
        <f t="shared" si="32"/>
        <v>71</v>
      </c>
      <c r="C90" s="85">
        <f t="shared" si="17"/>
        <v>0</v>
      </c>
      <c r="D90" s="85">
        <f t="shared" si="18"/>
        <v>0</v>
      </c>
      <c r="E90" s="84">
        <f t="shared" si="19"/>
        <v>0</v>
      </c>
      <c r="F90" s="135">
        <f t="shared" si="20"/>
        <v>0</v>
      </c>
      <c r="G90" s="413">
        <f t="shared" si="25"/>
        <v>0</v>
      </c>
      <c r="H90" s="413">
        <f t="shared" si="26"/>
        <v>0</v>
      </c>
      <c r="I90" s="275">
        <f t="shared" si="21"/>
        <v>0</v>
      </c>
      <c r="J90" s="275">
        <f t="shared" si="22"/>
        <v>0</v>
      </c>
      <c r="K90" s="137">
        <f t="shared" si="27"/>
        <v>0</v>
      </c>
      <c r="L90" s="15" t="s">
        <v>0</v>
      </c>
      <c r="M90" s="88">
        <v>0</v>
      </c>
      <c r="N90" s="88">
        <v>0</v>
      </c>
      <c r="O90" s="155">
        <v>1E+16</v>
      </c>
      <c r="P90" s="68">
        <v>109575</v>
      </c>
      <c r="Q90" s="3">
        <f t="shared" si="28"/>
        <v>64601</v>
      </c>
      <c r="R90" s="107">
        <f t="shared" si="33"/>
        <v>18.66</v>
      </c>
      <c r="S90" s="105">
        <f t="shared" si="29"/>
        <v>26311205.816876858</v>
      </c>
      <c r="T90" s="341">
        <v>0</v>
      </c>
      <c r="U90" s="341">
        <v>0</v>
      </c>
      <c r="V90" s="341">
        <v>0</v>
      </c>
      <c r="W90" s="341">
        <v>0</v>
      </c>
      <c r="X90" s="281">
        <f t="shared" si="30"/>
        <v>0.02</v>
      </c>
      <c r="Y90" s="282">
        <f t="shared" si="31"/>
        <v>0.1</v>
      </c>
    </row>
    <row r="91" spans="2:25" x14ac:dyDescent="0.35">
      <c r="B91" s="18">
        <f t="shared" si="32"/>
        <v>72</v>
      </c>
      <c r="C91" s="85">
        <f t="shared" si="17"/>
        <v>0</v>
      </c>
      <c r="D91" s="85">
        <f t="shared" si="18"/>
        <v>0</v>
      </c>
      <c r="E91" s="84">
        <f t="shared" si="19"/>
        <v>0</v>
      </c>
      <c r="F91" s="135">
        <f t="shared" si="20"/>
        <v>0</v>
      </c>
      <c r="G91" s="413">
        <f t="shared" si="25"/>
        <v>0</v>
      </c>
      <c r="H91" s="413">
        <f t="shared" si="26"/>
        <v>0</v>
      </c>
      <c r="I91" s="275">
        <f t="shared" si="21"/>
        <v>0</v>
      </c>
      <c r="J91" s="275">
        <f t="shared" si="22"/>
        <v>0</v>
      </c>
      <c r="K91" s="137">
        <f t="shared" si="27"/>
        <v>0</v>
      </c>
      <c r="L91" s="15" t="s">
        <v>0</v>
      </c>
      <c r="M91" s="88">
        <v>0</v>
      </c>
      <c r="N91" s="88">
        <v>0</v>
      </c>
      <c r="O91" s="155">
        <v>1E+16</v>
      </c>
      <c r="P91" s="68">
        <v>109575</v>
      </c>
      <c r="Q91" s="3">
        <f t="shared" si="28"/>
        <v>64601</v>
      </c>
      <c r="R91" s="107">
        <f t="shared" si="33"/>
        <v>18.66</v>
      </c>
      <c r="S91" s="105">
        <f t="shared" si="29"/>
        <v>26311205.816876858</v>
      </c>
      <c r="T91" s="341">
        <v>0</v>
      </c>
      <c r="U91" s="341">
        <v>0</v>
      </c>
      <c r="V91" s="341">
        <v>0</v>
      </c>
      <c r="W91" s="341">
        <v>0</v>
      </c>
      <c r="X91" s="281">
        <f t="shared" si="30"/>
        <v>0.02</v>
      </c>
      <c r="Y91" s="282">
        <f t="shared" si="31"/>
        <v>0.1</v>
      </c>
    </row>
    <row r="92" spans="2:25" x14ac:dyDescent="0.35">
      <c r="B92" s="18">
        <f t="shared" si="32"/>
        <v>73</v>
      </c>
      <c r="C92" s="85">
        <f t="shared" si="17"/>
        <v>0</v>
      </c>
      <c r="D92" s="85">
        <f t="shared" si="18"/>
        <v>0</v>
      </c>
      <c r="E92" s="84">
        <f t="shared" si="19"/>
        <v>0</v>
      </c>
      <c r="F92" s="135">
        <f t="shared" si="20"/>
        <v>0</v>
      </c>
      <c r="G92" s="413">
        <f t="shared" si="25"/>
        <v>0</v>
      </c>
      <c r="H92" s="413">
        <f t="shared" si="26"/>
        <v>0</v>
      </c>
      <c r="I92" s="275">
        <f t="shared" si="21"/>
        <v>0</v>
      </c>
      <c r="J92" s="275">
        <f t="shared" si="22"/>
        <v>0</v>
      </c>
      <c r="K92" s="137">
        <f t="shared" si="27"/>
        <v>0</v>
      </c>
      <c r="L92" s="15" t="s">
        <v>0</v>
      </c>
      <c r="M92" s="88">
        <v>0</v>
      </c>
      <c r="N92" s="88">
        <v>0</v>
      </c>
      <c r="O92" s="155">
        <v>1E+16</v>
      </c>
      <c r="P92" s="68">
        <v>109575</v>
      </c>
      <c r="Q92" s="3">
        <f t="shared" si="28"/>
        <v>64601</v>
      </c>
      <c r="R92" s="107">
        <f t="shared" si="33"/>
        <v>18.66</v>
      </c>
      <c r="S92" s="105">
        <f t="shared" si="29"/>
        <v>26311205.816876858</v>
      </c>
      <c r="T92" s="341">
        <v>0</v>
      </c>
      <c r="U92" s="341">
        <v>0</v>
      </c>
      <c r="V92" s="341">
        <v>0</v>
      </c>
      <c r="W92" s="341">
        <v>0</v>
      </c>
      <c r="X92" s="281">
        <f t="shared" si="30"/>
        <v>0.02</v>
      </c>
      <c r="Y92" s="282">
        <f t="shared" si="31"/>
        <v>0.1</v>
      </c>
    </row>
    <row r="93" spans="2:25" x14ac:dyDescent="0.35">
      <c r="B93" s="18">
        <f t="shared" si="32"/>
        <v>74</v>
      </c>
      <c r="C93" s="85">
        <f t="shared" si="17"/>
        <v>0</v>
      </c>
      <c r="D93" s="85">
        <f t="shared" si="18"/>
        <v>0</v>
      </c>
      <c r="E93" s="84">
        <f t="shared" si="19"/>
        <v>0</v>
      </c>
      <c r="F93" s="135">
        <f t="shared" si="20"/>
        <v>0</v>
      </c>
      <c r="G93" s="413">
        <f t="shared" si="25"/>
        <v>0</v>
      </c>
      <c r="H93" s="413">
        <f t="shared" si="26"/>
        <v>0</v>
      </c>
      <c r="I93" s="275">
        <f t="shared" si="21"/>
        <v>0</v>
      </c>
      <c r="J93" s="275">
        <f t="shared" si="22"/>
        <v>0</v>
      </c>
      <c r="K93" s="137">
        <f t="shared" si="27"/>
        <v>0</v>
      </c>
      <c r="L93" s="15" t="s">
        <v>0</v>
      </c>
      <c r="M93" s="88">
        <v>0</v>
      </c>
      <c r="N93" s="88">
        <v>0</v>
      </c>
      <c r="O93" s="155">
        <v>1E+16</v>
      </c>
      <c r="P93" s="68">
        <v>109575</v>
      </c>
      <c r="Q93" s="3">
        <f t="shared" si="28"/>
        <v>64601</v>
      </c>
      <c r="R93" s="107">
        <f t="shared" si="33"/>
        <v>18.66</v>
      </c>
      <c r="S93" s="105">
        <f t="shared" si="29"/>
        <v>26311205.816876858</v>
      </c>
      <c r="T93" s="341">
        <v>0</v>
      </c>
      <c r="U93" s="341">
        <v>0</v>
      </c>
      <c r="V93" s="341">
        <v>0</v>
      </c>
      <c r="W93" s="341">
        <v>0</v>
      </c>
      <c r="X93" s="281">
        <f t="shared" si="30"/>
        <v>0.02</v>
      </c>
      <c r="Y93" s="282">
        <f t="shared" si="31"/>
        <v>0.1</v>
      </c>
    </row>
    <row r="94" spans="2:25" x14ac:dyDescent="0.35">
      <c r="B94" s="18">
        <f t="shared" si="32"/>
        <v>75</v>
      </c>
      <c r="C94" s="85">
        <f t="shared" ref="C94:C157" si="34">AI94</f>
        <v>0</v>
      </c>
      <c r="D94" s="85">
        <f t="shared" ref="D94:D157" si="35">E94</f>
        <v>0</v>
      </c>
      <c r="E94" s="84">
        <f t="shared" ref="E94:E157" si="36">N94*BSPrice(L94,1/S94,1/O94,Q94,X94,Y94,T94)*1000000</f>
        <v>0</v>
      </c>
      <c r="F94" s="135">
        <f t="shared" ref="F94:F157" si="37">N94*BSDelta(L94,1/S94,1/O94,Q94,X94,Y94,T94)</f>
        <v>0</v>
      </c>
      <c r="G94" s="413">
        <f t="shared" si="25"/>
        <v>0</v>
      </c>
      <c r="H94" s="413">
        <f t="shared" si="26"/>
        <v>0</v>
      </c>
      <c r="I94" s="275">
        <f t="shared" ref="I94:I157" si="38">N94*BSDailyRhoUSD(L94,1/S94,1/O94,Q94,X94,Y94,T94)*1000000</f>
        <v>0</v>
      </c>
      <c r="J94" s="275">
        <f t="shared" ref="J94:J157" si="39">N94*BSDailyRhoExt(L94,1/S94,1/O94,Q94,X94,Y94,T94)*1000000</f>
        <v>0</v>
      </c>
      <c r="K94" s="137">
        <f t="shared" si="27"/>
        <v>0</v>
      </c>
      <c r="L94" s="15" t="s">
        <v>0</v>
      </c>
      <c r="M94" s="88">
        <v>0</v>
      </c>
      <c r="N94" s="88">
        <v>0</v>
      </c>
      <c r="O94" s="155">
        <v>1E+16</v>
      </c>
      <c r="P94" s="68">
        <v>109575</v>
      </c>
      <c r="Q94" s="3">
        <f t="shared" si="28"/>
        <v>64601</v>
      </c>
      <c r="R94" s="107">
        <f t="shared" si="33"/>
        <v>18.66</v>
      </c>
      <c r="S94" s="105">
        <f t="shared" si="29"/>
        <v>26311205.816876858</v>
      </c>
      <c r="T94" s="341">
        <v>0</v>
      </c>
      <c r="U94" s="341">
        <v>0</v>
      </c>
      <c r="V94" s="341">
        <v>0</v>
      </c>
      <c r="W94" s="341">
        <v>0</v>
      </c>
      <c r="X94" s="281">
        <f t="shared" si="30"/>
        <v>0.02</v>
      </c>
      <c r="Y94" s="282">
        <f t="shared" si="31"/>
        <v>0.1</v>
      </c>
    </row>
    <row r="95" spans="2:25" x14ac:dyDescent="0.35">
      <c r="B95" s="18">
        <f t="shared" si="32"/>
        <v>76</v>
      </c>
      <c r="C95" s="85">
        <f t="shared" si="34"/>
        <v>0</v>
      </c>
      <c r="D95" s="85">
        <f t="shared" si="35"/>
        <v>0</v>
      </c>
      <c r="E95" s="84">
        <f t="shared" si="36"/>
        <v>0</v>
      </c>
      <c r="F95" s="135">
        <f t="shared" si="37"/>
        <v>0</v>
      </c>
      <c r="G95" s="413">
        <f t="shared" si="25"/>
        <v>0</v>
      </c>
      <c r="H95" s="413">
        <f t="shared" si="26"/>
        <v>0</v>
      </c>
      <c r="I95" s="275">
        <f t="shared" si="38"/>
        <v>0</v>
      </c>
      <c r="J95" s="275">
        <f t="shared" si="39"/>
        <v>0</v>
      </c>
      <c r="K95" s="137">
        <f t="shared" si="27"/>
        <v>0</v>
      </c>
      <c r="L95" s="15" t="s">
        <v>0</v>
      </c>
      <c r="M95" s="88">
        <v>0</v>
      </c>
      <c r="N95" s="88">
        <v>0</v>
      </c>
      <c r="O95" s="155">
        <v>1E+16</v>
      </c>
      <c r="P95" s="68">
        <v>109575</v>
      </c>
      <c r="Q95" s="3">
        <f t="shared" si="28"/>
        <v>64601</v>
      </c>
      <c r="R95" s="107">
        <f t="shared" si="33"/>
        <v>18.66</v>
      </c>
      <c r="S95" s="105">
        <f t="shared" si="29"/>
        <v>26311205.816876858</v>
      </c>
      <c r="T95" s="341">
        <v>0</v>
      </c>
      <c r="U95" s="341">
        <v>0</v>
      </c>
      <c r="V95" s="341">
        <v>0</v>
      </c>
      <c r="W95" s="341">
        <v>0</v>
      </c>
      <c r="X95" s="281">
        <f t="shared" si="30"/>
        <v>0.02</v>
      </c>
      <c r="Y95" s="282">
        <f t="shared" si="31"/>
        <v>0.1</v>
      </c>
    </row>
    <row r="96" spans="2:25" x14ac:dyDescent="0.35">
      <c r="B96" s="18">
        <f t="shared" si="32"/>
        <v>77</v>
      </c>
      <c r="C96" s="85">
        <f t="shared" si="34"/>
        <v>0</v>
      </c>
      <c r="D96" s="85">
        <f t="shared" si="35"/>
        <v>0</v>
      </c>
      <c r="E96" s="84">
        <f t="shared" si="36"/>
        <v>0</v>
      </c>
      <c r="F96" s="135">
        <f t="shared" si="37"/>
        <v>0</v>
      </c>
      <c r="G96" s="413">
        <f t="shared" si="25"/>
        <v>0</v>
      </c>
      <c r="H96" s="413">
        <f t="shared" si="26"/>
        <v>0</v>
      </c>
      <c r="I96" s="275">
        <f t="shared" si="38"/>
        <v>0</v>
      </c>
      <c r="J96" s="275">
        <f t="shared" si="39"/>
        <v>0</v>
      </c>
      <c r="K96" s="137">
        <f t="shared" si="27"/>
        <v>0</v>
      </c>
      <c r="L96" s="15" t="s">
        <v>0</v>
      </c>
      <c r="M96" s="88">
        <v>0</v>
      </c>
      <c r="N96" s="88">
        <v>0</v>
      </c>
      <c r="O96" s="155">
        <v>1E+16</v>
      </c>
      <c r="P96" s="68">
        <v>109575</v>
      </c>
      <c r="Q96" s="3">
        <f t="shared" si="28"/>
        <v>64601</v>
      </c>
      <c r="R96" s="107">
        <f t="shared" si="33"/>
        <v>18.66</v>
      </c>
      <c r="S96" s="105">
        <f t="shared" si="29"/>
        <v>26311205.816876858</v>
      </c>
      <c r="T96" s="341">
        <v>0</v>
      </c>
      <c r="U96" s="341">
        <v>0</v>
      </c>
      <c r="V96" s="341">
        <v>0</v>
      </c>
      <c r="W96" s="341">
        <v>0</v>
      </c>
      <c r="X96" s="281">
        <f t="shared" si="30"/>
        <v>0.02</v>
      </c>
      <c r="Y96" s="282">
        <f t="shared" si="31"/>
        <v>0.1</v>
      </c>
    </row>
    <row r="97" spans="2:25" x14ac:dyDescent="0.35">
      <c r="B97" s="18">
        <f t="shared" si="32"/>
        <v>78</v>
      </c>
      <c r="C97" s="85">
        <f t="shared" si="34"/>
        <v>0</v>
      </c>
      <c r="D97" s="85">
        <f t="shared" si="35"/>
        <v>0</v>
      </c>
      <c r="E97" s="84">
        <f t="shared" si="36"/>
        <v>0</v>
      </c>
      <c r="F97" s="135">
        <f t="shared" si="37"/>
        <v>0</v>
      </c>
      <c r="G97" s="413">
        <f t="shared" si="25"/>
        <v>0</v>
      </c>
      <c r="H97" s="413">
        <f t="shared" si="26"/>
        <v>0</v>
      </c>
      <c r="I97" s="275">
        <f t="shared" si="38"/>
        <v>0</v>
      </c>
      <c r="J97" s="275">
        <f t="shared" si="39"/>
        <v>0</v>
      </c>
      <c r="K97" s="137">
        <f t="shared" si="27"/>
        <v>0</v>
      </c>
      <c r="L97" s="15" t="s">
        <v>0</v>
      </c>
      <c r="M97" s="88">
        <v>0</v>
      </c>
      <c r="N97" s="88">
        <v>0</v>
      </c>
      <c r="O97" s="155">
        <v>1E+16</v>
      </c>
      <c r="P97" s="68">
        <v>109575</v>
      </c>
      <c r="Q97" s="3">
        <f t="shared" si="28"/>
        <v>64601</v>
      </c>
      <c r="R97" s="107">
        <f t="shared" si="33"/>
        <v>18.66</v>
      </c>
      <c r="S97" s="105">
        <f t="shared" si="29"/>
        <v>26311205.816876858</v>
      </c>
      <c r="T97" s="341">
        <v>0</v>
      </c>
      <c r="U97" s="341">
        <v>0</v>
      </c>
      <c r="V97" s="341">
        <v>0</v>
      </c>
      <c r="W97" s="341">
        <v>0</v>
      </c>
      <c r="X97" s="281">
        <f t="shared" si="30"/>
        <v>0.02</v>
      </c>
      <c r="Y97" s="282">
        <f t="shared" si="31"/>
        <v>0.1</v>
      </c>
    </row>
    <row r="98" spans="2:25" x14ac:dyDescent="0.35">
      <c r="B98" s="18">
        <f t="shared" si="32"/>
        <v>79</v>
      </c>
      <c r="C98" s="85">
        <f t="shared" si="34"/>
        <v>0</v>
      </c>
      <c r="D98" s="85">
        <f t="shared" si="35"/>
        <v>0</v>
      </c>
      <c r="E98" s="84">
        <f t="shared" si="36"/>
        <v>0</v>
      </c>
      <c r="F98" s="135">
        <f t="shared" si="37"/>
        <v>0</v>
      </c>
      <c r="G98" s="413">
        <f t="shared" si="25"/>
        <v>0</v>
      </c>
      <c r="H98" s="413">
        <f t="shared" si="26"/>
        <v>0</v>
      </c>
      <c r="I98" s="275">
        <f t="shared" si="38"/>
        <v>0</v>
      </c>
      <c r="J98" s="275">
        <f t="shared" si="39"/>
        <v>0</v>
      </c>
      <c r="K98" s="137">
        <f t="shared" si="27"/>
        <v>0</v>
      </c>
      <c r="L98" s="15" t="s">
        <v>0</v>
      </c>
      <c r="M98" s="88">
        <v>0</v>
      </c>
      <c r="N98" s="88">
        <v>0</v>
      </c>
      <c r="O98" s="155">
        <v>1E+16</v>
      </c>
      <c r="P98" s="68">
        <v>109575</v>
      </c>
      <c r="Q98" s="3">
        <f t="shared" si="28"/>
        <v>64601</v>
      </c>
      <c r="R98" s="107">
        <f t="shared" si="33"/>
        <v>18.66</v>
      </c>
      <c r="S98" s="105">
        <f t="shared" si="29"/>
        <v>26311205.816876858</v>
      </c>
      <c r="T98" s="341">
        <v>0</v>
      </c>
      <c r="U98" s="341">
        <v>0</v>
      </c>
      <c r="V98" s="341">
        <v>0</v>
      </c>
      <c r="W98" s="341">
        <v>0</v>
      </c>
      <c r="X98" s="281">
        <f t="shared" si="30"/>
        <v>0.02</v>
      </c>
      <c r="Y98" s="282">
        <f t="shared" si="31"/>
        <v>0.1</v>
      </c>
    </row>
    <row r="99" spans="2:25" x14ac:dyDescent="0.35">
      <c r="B99" s="18">
        <f t="shared" si="32"/>
        <v>80</v>
      </c>
      <c r="C99" s="85">
        <f t="shared" si="34"/>
        <v>0</v>
      </c>
      <c r="D99" s="85">
        <f t="shared" si="35"/>
        <v>0</v>
      </c>
      <c r="E99" s="84">
        <f t="shared" si="36"/>
        <v>0</v>
      </c>
      <c r="F99" s="135">
        <f t="shared" si="37"/>
        <v>0</v>
      </c>
      <c r="G99" s="413">
        <f t="shared" si="25"/>
        <v>0</v>
      </c>
      <c r="H99" s="413">
        <f t="shared" si="26"/>
        <v>0</v>
      </c>
      <c r="I99" s="275">
        <f t="shared" si="38"/>
        <v>0</v>
      </c>
      <c r="J99" s="275">
        <f t="shared" si="39"/>
        <v>0</v>
      </c>
      <c r="K99" s="137">
        <f t="shared" si="27"/>
        <v>0</v>
      </c>
      <c r="L99" s="15" t="s">
        <v>0</v>
      </c>
      <c r="M99" s="88">
        <v>0</v>
      </c>
      <c r="N99" s="88">
        <v>0</v>
      </c>
      <c r="O99" s="155">
        <v>1E+16</v>
      </c>
      <c r="P99" s="68">
        <v>109575</v>
      </c>
      <c r="Q99" s="3">
        <f t="shared" si="28"/>
        <v>64601</v>
      </c>
      <c r="R99" s="107">
        <f t="shared" si="33"/>
        <v>18.66</v>
      </c>
      <c r="S99" s="105">
        <f t="shared" si="29"/>
        <v>26311205.816876858</v>
      </c>
      <c r="T99" s="341">
        <v>0</v>
      </c>
      <c r="U99" s="341">
        <v>0</v>
      </c>
      <c r="V99" s="341">
        <v>0</v>
      </c>
      <c r="W99" s="341">
        <v>0</v>
      </c>
      <c r="X99" s="281">
        <f t="shared" si="30"/>
        <v>0.02</v>
      </c>
      <c r="Y99" s="282">
        <f t="shared" si="31"/>
        <v>0.1</v>
      </c>
    </row>
    <row r="100" spans="2:25" x14ac:dyDescent="0.35">
      <c r="B100" s="18">
        <f t="shared" si="32"/>
        <v>81</v>
      </c>
      <c r="C100" s="85">
        <f t="shared" si="34"/>
        <v>0</v>
      </c>
      <c r="D100" s="85">
        <f t="shared" si="35"/>
        <v>0</v>
      </c>
      <c r="E100" s="84">
        <f t="shared" si="36"/>
        <v>0</v>
      </c>
      <c r="F100" s="135">
        <f t="shared" si="37"/>
        <v>0</v>
      </c>
      <c r="G100" s="413">
        <f t="shared" si="25"/>
        <v>0</v>
      </c>
      <c r="H100" s="413">
        <f t="shared" si="26"/>
        <v>0</v>
      </c>
      <c r="I100" s="275">
        <f t="shared" si="38"/>
        <v>0</v>
      </c>
      <c r="J100" s="275">
        <f t="shared" si="39"/>
        <v>0</v>
      </c>
      <c r="K100" s="137">
        <f t="shared" si="27"/>
        <v>0</v>
      </c>
      <c r="L100" s="15" t="s">
        <v>0</v>
      </c>
      <c r="M100" s="88">
        <v>0</v>
      </c>
      <c r="N100" s="88">
        <v>0</v>
      </c>
      <c r="O100" s="155">
        <v>1E+16</v>
      </c>
      <c r="P100" s="68">
        <v>109575</v>
      </c>
      <c r="Q100" s="3">
        <f t="shared" si="28"/>
        <v>64601</v>
      </c>
      <c r="R100" s="107">
        <f t="shared" si="33"/>
        <v>18.66</v>
      </c>
      <c r="S100" s="105">
        <f t="shared" si="29"/>
        <v>26311205.816876858</v>
      </c>
      <c r="T100" s="341">
        <v>0</v>
      </c>
      <c r="U100" s="341">
        <v>0</v>
      </c>
      <c r="V100" s="341">
        <v>0</v>
      </c>
      <c r="W100" s="341">
        <v>0</v>
      </c>
      <c r="X100" s="281">
        <f t="shared" si="30"/>
        <v>0.02</v>
      </c>
      <c r="Y100" s="282">
        <f t="shared" si="31"/>
        <v>0.1</v>
      </c>
    </row>
    <row r="101" spans="2:25" x14ac:dyDescent="0.35">
      <c r="B101" s="18">
        <f t="shared" si="32"/>
        <v>82</v>
      </c>
      <c r="C101" s="85">
        <f t="shared" si="34"/>
        <v>0</v>
      </c>
      <c r="D101" s="85">
        <f t="shared" si="35"/>
        <v>0</v>
      </c>
      <c r="E101" s="84">
        <f t="shared" si="36"/>
        <v>0</v>
      </c>
      <c r="F101" s="135">
        <f t="shared" si="37"/>
        <v>0</v>
      </c>
      <c r="G101" s="413">
        <f t="shared" si="25"/>
        <v>0</v>
      </c>
      <c r="H101" s="413">
        <f t="shared" si="26"/>
        <v>0</v>
      </c>
      <c r="I101" s="275">
        <f t="shared" si="38"/>
        <v>0</v>
      </c>
      <c r="J101" s="275">
        <f t="shared" si="39"/>
        <v>0</v>
      </c>
      <c r="K101" s="137">
        <f t="shared" si="27"/>
        <v>0</v>
      </c>
      <c r="L101" s="15" t="s">
        <v>0</v>
      </c>
      <c r="M101" s="88">
        <v>0</v>
      </c>
      <c r="N101" s="88">
        <v>0</v>
      </c>
      <c r="O101" s="155">
        <v>1E+16</v>
      </c>
      <c r="P101" s="68">
        <v>109575</v>
      </c>
      <c r="Q101" s="3">
        <f t="shared" si="28"/>
        <v>64601</v>
      </c>
      <c r="R101" s="107">
        <f t="shared" si="33"/>
        <v>18.66</v>
      </c>
      <c r="S101" s="105">
        <f t="shared" si="29"/>
        <v>26311205.816876858</v>
      </c>
      <c r="T101" s="341">
        <v>0</v>
      </c>
      <c r="U101" s="341">
        <v>0</v>
      </c>
      <c r="V101" s="341">
        <v>0</v>
      </c>
      <c r="W101" s="341">
        <v>0</v>
      </c>
      <c r="X101" s="281">
        <f t="shared" si="30"/>
        <v>0.02</v>
      </c>
      <c r="Y101" s="282">
        <f t="shared" si="31"/>
        <v>0.1</v>
      </c>
    </row>
    <row r="102" spans="2:25" x14ac:dyDescent="0.35">
      <c r="B102" s="18">
        <f t="shared" si="32"/>
        <v>83</v>
      </c>
      <c r="C102" s="85">
        <f t="shared" si="34"/>
        <v>0</v>
      </c>
      <c r="D102" s="85">
        <f t="shared" si="35"/>
        <v>0</v>
      </c>
      <c r="E102" s="84">
        <f t="shared" si="36"/>
        <v>0</v>
      </c>
      <c r="F102" s="135">
        <f t="shared" si="37"/>
        <v>0</v>
      </c>
      <c r="G102" s="413">
        <f t="shared" si="25"/>
        <v>0</v>
      </c>
      <c r="H102" s="413">
        <f t="shared" si="26"/>
        <v>0</v>
      </c>
      <c r="I102" s="275">
        <f t="shared" si="38"/>
        <v>0</v>
      </c>
      <c r="J102" s="275">
        <f t="shared" si="39"/>
        <v>0</v>
      </c>
      <c r="K102" s="137">
        <f t="shared" si="27"/>
        <v>0</v>
      </c>
      <c r="L102" s="15" t="s">
        <v>0</v>
      </c>
      <c r="M102" s="88">
        <v>0</v>
      </c>
      <c r="N102" s="88">
        <v>0</v>
      </c>
      <c r="O102" s="155">
        <v>1E+16</v>
      </c>
      <c r="P102" s="68">
        <v>109575</v>
      </c>
      <c r="Q102" s="3">
        <f t="shared" si="28"/>
        <v>64601</v>
      </c>
      <c r="R102" s="107">
        <f t="shared" si="33"/>
        <v>18.66</v>
      </c>
      <c r="S102" s="105">
        <f t="shared" si="29"/>
        <v>26311205.816876858</v>
      </c>
      <c r="T102" s="341">
        <v>0</v>
      </c>
      <c r="U102" s="341">
        <v>0</v>
      </c>
      <c r="V102" s="341">
        <v>0</v>
      </c>
      <c r="W102" s="341">
        <v>0</v>
      </c>
      <c r="X102" s="281">
        <f t="shared" si="30"/>
        <v>0.02</v>
      </c>
      <c r="Y102" s="282">
        <f t="shared" si="31"/>
        <v>0.1</v>
      </c>
    </row>
    <row r="103" spans="2:25" x14ac:dyDescent="0.35">
      <c r="B103" s="18">
        <f t="shared" si="32"/>
        <v>84</v>
      </c>
      <c r="C103" s="85">
        <f t="shared" si="34"/>
        <v>0</v>
      </c>
      <c r="D103" s="85">
        <f t="shared" si="35"/>
        <v>0</v>
      </c>
      <c r="E103" s="84">
        <f t="shared" si="36"/>
        <v>0</v>
      </c>
      <c r="F103" s="135">
        <f t="shared" si="37"/>
        <v>0</v>
      </c>
      <c r="G103" s="413">
        <f t="shared" si="25"/>
        <v>0</v>
      </c>
      <c r="H103" s="413">
        <f t="shared" si="26"/>
        <v>0</v>
      </c>
      <c r="I103" s="275">
        <f t="shared" si="38"/>
        <v>0</v>
      </c>
      <c r="J103" s="275">
        <f t="shared" si="39"/>
        <v>0</v>
      </c>
      <c r="K103" s="137">
        <f t="shared" si="27"/>
        <v>0</v>
      </c>
      <c r="L103" s="15" t="s">
        <v>0</v>
      </c>
      <c r="M103" s="88">
        <v>0</v>
      </c>
      <c r="N103" s="88">
        <v>0</v>
      </c>
      <c r="O103" s="155">
        <v>1E+16</v>
      </c>
      <c r="P103" s="68">
        <v>109575</v>
      </c>
      <c r="Q103" s="3">
        <f t="shared" si="28"/>
        <v>64601</v>
      </c>
      <c r="R103" s="107">
        <f t="shared" si="33"/>
        <v>18.66</v>
      </c>
      <c r="S103" s="105">
        <f t="shared" si="29"/>
        <v>26311205.816876858</v>
      </c>
      <c r="T103" s="341">
        <v>0</v>
      </c>
      <c r="U103" s="341">
        <v>0</v>
      </c>
      <c r="V103" s="341">
        <v>0</v>
      </c>
      <c r="W103" s="341">
        <v>0</v>
      </c>
      <c r="X103" s="281">
        <f t="shared" si="30"/>
        <v>0.02</v>
      </c>
      <c r="Y103" s="282">
        <f t="shared" si="31"/>
        <v>0.1</v>
      </c>
    </row>
    <row r="104" spans="2:25" x14ac:dyDescent="0.35">
      <c r="B104" s="18">
        <f t="shared" si="32"/>
        <v>85</v>
      </c>
      <c r="C104" s="85">
        <f t="shared" si="34"/>
        <v>0</v>
      </c>
      <c r="D104" s="85">
        <f t="shared" si="35"/>
        <v>0</v>
      </c>
      <c r="E104" s="84">
        <f t="shared" si="36"/>
        <v>0</v>
      </c>
      <c r="F104" s="135">
        <f t="shared" si="37"/>
        <v>0</v>
      </c>
      <c r="G104" s="413">
        <f t="shared" si="25"/>
        <v>0</v>
      </c>
      <c r="H104" s="413">
        <f t="shared" si="26"/>
        <v>0</v>
      </c>
      <c r="I104" s="275">
        <f t="shared" si="38"/>
        <v>0</v>
      </c>
      <c r="J104" s="275">
        <f t="shared" si="39"/>
        <v>0</v>
      </c>
      <c r="K104" s="137">
        <f t="shared" si="27"/>
        <v>0</v>
      </c>
      <c r="L104" s="15" t="s">
        <v>0</v>
      </c>
      <c r="M104" s="88">
        <v>0</v>
      </c>
      <c r="N104" s="88">
        <v>0</v>
      </c>
      <c r="O104" s="155">
        <v>1E+16</v>
      </c>
      <c r="P104" s="68">
        <v>109575</v>
      </c>
      <c r="Q104" s="3">
        <f t="shared" si="28"/>
        <v>64601</v>
      </c>
      <c r="R104" s="107">
        <f t="shared" si="33"/>
        <v>18.66</v>
      </c>
      <c r="S104" s="105">
        <f t="shared" si="29"/>
        <v>26311205.816876858</v>
      </c>
      <c r="T104" s="341">
        <v>0</v>
      </c>
      <c r="U104" s="341">
        <v>0</v>
      </c>
      <c r="V104" s="341">
        <v>0</v>
      </c>
      <c r="W104" s="341">
        <v>0</v>
      </c>
      <c r="X104" s="281">
        <f t="shared" si="30"/>
        <v>0.02</v>
      </c>
      <c r="Y104" s="282">
        <f t="shared" si="31"/>
        <v>0.1</v>
      </c>
    </row>
    <row r="105" spans="2:25" x14ac:dyDescent="0.35">
      <c r="B105" s="18">
        <f t="shared" si="32"/>
        <v>86</v>
      </c>
      <c r="C105" s="85">
        <f t="shared" si="34"/>
        <v>0</v>
      </c>
      <c r="D105" s="85">
        <f t="shared" si="35"/>
        <v>0</v>
      </c>
      <c r="E105" s="84">
        <f t="shared" si="36"/>
        <v>0</v>
      </c>
      <c r="F105" s="135">
        <f t="shared" si="37"/>
        <v>0</v>
      </c>
      <c r="G105" s="413">
        <f t="shared" si="25"/>
        <v>0</v>
      </c>
      <c r="H105" s="413">
        <f t="shared" si="26"/>
        <v>0</v>
      </c>
      <c r="I105" s="275">
        <f t="shared" si="38"/>
        <v>0</v>
      </c>
      <c r="J105" s="275">
        <f t="shared" si="39"/>
        <v>0</v>
      </c>
      <c r="K105" s="137">
        <f t="shared" si="27"/>
        <v>0</v>
      </c>
      <c r="L105" s="15" t="s">
        <v>0</v>
      </c>
      <c r="M105" s="88">
        <v>0</v>
      </c>
      <c r="N105" s="88">
        <v>0</v>
      </c>
      <c r="O105" s="155">
        <v>1E+16</v>
      </c>
      <c r="P105" s="68">
        <v>109575</v>
      </c>
      <c r="Q105" s="3">
        <f t="shared" si="28"/>
        <v>64601</v>
      </c>
      <c r="R105" s="107">
        <f t="shared" si="33"/>
        <v>18.66</v>
      </c>
      <c r="S105" s="105">
        <f t="shared" si="29"/>
        <v>26311205.816876858</v>
      </c>
      <c r="T105" s="341">
        <v>0</v>
      </c>
      <c r="U105" s="341">
        <v>0</v>
      </c>
      <c r="V105" s="341">
        <v>0</v>
      </c>
      <c r="W105" s="341">
        <v>0</v>
      </c>
      <c r="X105" s="281">
        <f t="shared" si="30"/>
        <v>0.02</v>
      </c>
      <c r="Y105" s="282">
        <f t="shared" si="31"/>
        <v>0.1</v>
      </c>
    </row>
    <row r="106" spans="2:25" x14ac:dyDescent="0.35">
      <c r="B106" s="18">
        <f t="shared" si="32"/>
        <v>87</v>
      </c>
      <c r="C106" s="85">
        <f t="shared" si="34"/>
        <v>0</v>
      </c>
      <c r="D106" s="85">
        <f t="shared" si="35"/>
        <v>0</v>
      </c>
      <c r="E106" s="84">
        <f t="shared" si="36"/>
        <v>0</v>
      </c>
      <c r="F106" s="135">
        <f t="shared" si="37"/>
        <v>0</v>
      </c>
      <c r="G106" s="413">
        <f t="shared" si="25"/>
        <v>0</v>
      </c>
      <c r="H106" s="413">
        <f t="shared" si="26"/>
        <v>0</v>
      </c>
      <c r="I106" s="275">
        <f t="shared" si="38"/>
        <v>0</v>
      </c>
      <c r="J106" s="275">
        <f t="shared" si="39"/>
        <v>0</v>
      </c>
      <c r="K106" s="137">
        <f t="shared" si="27"/>
        <v>0</v>
      </c>
      <c r="L106" s="15" t="s">
        <v>0</v>
      </c>
      <c r="M106" s="88">
        <v>0</v>
      </c>
      <c r="N106" s="88">
        <v>0</v>
      </c>
      <c r="O106" s="155">
        <v>1E+16</v>
      </c>
      <c r="P106" s="68">
        <v>109575</v>
      </c>
      <c r="Q106" s="3">
        <f t="shared" si="28"/>
        <v>64601</v>
      </c>
      <c r="R106" s="107">
        <f t="shared" si="33"/>
        <v>18.66</v>
      </c>
      <c r="S106" s="105">
        <f t="shared" si="29"/>
        <v>26311205.816876858</v>
      </c>
      <c r="T106" s="341">
        <v>0</v>
      </c>
      <c r="U106" s="341">
        <v>0</v>
      </c>
      <c r="V106" s="341">
        <v>0</v>
      </c>
      <c r="W106" s="341">
        <v>0</v>
      </c>
      <c r="X106" s="281">
        <f t="shared" si="30"/>
        <v>0.02</v>
      </c>
      <c r="Y106" s="282">
        <f t="shared" si="31"/>
        <v>0.1</v>
      </c>
    </row>
    <row r="107" spans="2:25" x14ac:dyDescent="0.35">
      <c r="B107" s="18">
        <f t="shared" si="32"/>
        <v>88</v>
      </c>
      <c r="C107" s="85">
        <f t="shared" si="34"/>
        <v>0</v>
      </c>
      <c r="D107" s="85">
        <f t="shared" si="35"/>
        <v>0</v>
      </c>
      <c r="E107" s="84">
        <f t="shared" si="36"/>
        <v>0</v>
      </c>
      <c r="F107" s="135">
        <f t="shared" si="37"/>
        <v>0</v>
      </c>
      <c r="G107" s="413">
        <f t="shared" si="25"/>
        <v>0</v>
      </c>
      <c r="H107" s="413">
        <f t="shared" si="26"/>
        <v>0</v>
      </c>
      <c r="I107" s="275">
        <f t="shared" si="38"/>
        <v>0</v>
      </c>
      <c r="J107" s="275">
        <f t="shared" si="39"/>
        <v>0</v>
      </c>
      <c r="K107" s="137">
        <f t="shared" si="27"/>
        <v>0</v>
      </c>
      <c r="L107" s="15" t="s">
        <v>0</v>
      </c>
      <c r="M107" s="88">
        <v>0</v>
      </c>
      <c r="N107" s="88">
        <v>0</v>
      </c>
      <c r="O107" s="155">
        <v>1E+16</v>
      </c>
      <c r="P107" s="68">
        <v>109575</v>
      </c>
      <c r="Q107" s="3">
        <f t="shared" si="28"/>
        <v>64601</v>
      </c>
      <c r="R107" s="107">
        <f t="shared" si="33"/>
        <v>18.66</v>
      </c>
      <c r="S107" s="105">
        <f t="shared" si="29"/>
        <v>26311205.816876858</v>
      </c>
      <c r="T107" s="341">
        <v>0</v>
      </c>
      <c r="U107" s="341">
        <v>0</v>
      </c>
      <c r="V107" s="341">
        <v>0</v>
      </c>
      <c r="W107" s="341">
        <v>0</v>
      </c>
      <c r="X107" s="281">
        <f t="shared" si="30"/>
        <v>0.02</v>
      </c>
      <c r="Y107" s="282">
        <f t="shared" si="31"/>
        <v>0.1</v>
      </c>
    </row>
    <row r="108" spans="2:25" x14ac:dyDescent="0.35">
      <c r="B108" s="18">
        <f t="shared" si="32"/>
        <v>89</v>
      </c>
      <c r="C108" s="85">
        <f t="shared" si="34"/>
        <v>0</v>
      </c>
      <c r="D108" s="85">
        <f t="shared" si="35"/>
        <v>0</v>
      </c>
      <c r="E108" s="84">
        <f t="shared" si="36"/>
        <v>0</v>
      </c>
      <c r="F108" s="135">
        <f t="shared" si="37"/>
        <v>0</v>
      </c>
      <c r="G108" s="413">
        <f t="shared" si="25"/>
        <v>0</v>
      </c>
      <c r="H108" s="413">
        <f t="shared" si="26"/>
        <v>0</v>
      </c>
      <c r="I108" s="275">
        <f t="shared" si="38"/>
        <v>0</v>
      </c>
      <c r="J108" s="275">
        <f t="shared" si="39"/>
        <v>0</v>
      </c>
      <c r="K108" s="137">
        <f t="shared" si="27"/>
        <v>0</v>
      </c>
      <c r="L108" s="15" t="s">
        <v>0</v>
      </c>
      <c r="M108" s="88">
        <v>0</v>
      </c>
      <c r="N108" s="88">
        <v>0</v>
      </c>
      <c r="O108" s="155">
        <v>1E+16</v>
      </c>
      <c r="P108" s="68">
        <v>109575</v>
      </c>
      <c r="Q108" s="3">
        <f t="shared" si="28"/>
        <v>64601</v>
      </c>
      <c r="R108" s="107">
        <f t="shared" si="33"/>
        <v>18.66</v>
      </c>
      <c r="S108" s="105">
        <f t="shared" si="29"/>
        <v>26311205.816876858</v>
      </c>
      <c r="T108" s="341">
        <v>0</v>
      </c>
      <c r="U108" s="341">
        <v>0</v>
      </c>
      <c r="V108" s="341">
        <v>0</v>
      </c>
      <c r="W108" s="341">
        <v>0</v>
      </c>
      <c r="X108" s="281">
        <f t="shared" si="30"/>
        <v>0.02</v>
      </c>
      <c r="Y108" s="282">
        <f t="shared" si="31"/>
        <v>0.1</v>
      </c>
    </row>
    <row r="109" spans="2:25" x14ac:dyDescent="0.35">
      <c r="B109" s="18">
        <f t="shared" si="32"/>
        <v>90</v>
      </c>
      <c r="C109" s="85">
        <f t="shared" si="34"/>
        <v>0</v>
      </c>
      <c r="D109" s="85">
        <f t="shared" si="35"/>
        <v>0</v>
      </c>
      <c r="E109" s="84">
        <f t="shared" si="36"/>
        <v>0</v>
      </c>
      <c r="F109" s="135">
        <f t="shared" si="37"/>
        <v>0</v>
      </c>
      <c r="G109" s="413">
        <f t="shared" si="25"/>
        <v>0</v>
      </c>
      <c r="H109" s="413">
        <f t="shared" si="26"/>
        <v>0</v>
      </c>
      <c r="I109" s="275">
        <f t="shared" si="38"/>
        <v>0</v>
      </c>
      <c r="J109" s="275">
        <f t="shared" si="39"/>
        <v>0</v>
      </c>
      <c r="K109" s="137">
        <f t="shared" si="27"/>
        <v>0</v>
      </c>
      <c r="L109" s="15" t="s">
        <v>0</v>
      </c>
      <c r="M109" s="88">
        <v>0</v>
      </c>
      <c r="N109" s="88">
        <v>0</v>
      </c>
      <c r="O109" s="155">
        <v>1E+16</v>
      </c>
      <c r="P109" s="68">
        <v>109575</v>
      </c>
      <c r="Q109" s="3">
        <f t="shared" si="28"/>
        <v>64601</v>
      </c>
      <c r="R109" s="107">
        <f t="shared" si="33"/>
        <v>18.66</v>
      </c>
      <c r="S109" s="105">
        <f t="shared" si="29"/>
        <v>26311205.816876858</v>
      </c>
      <c r="T109" s="341">
        <v>0</v>
      </c>
      <c r="U109" s="341">
        <v>0</v>
      </c>
      <c r="V109" s="341">
        <v>0</v>
      </c>
      <c r="W109" s="341">
        <v>0</v>
      </c>
      <c r="X109" s="281">
        <f t="shared" si="30"/>
        <v>0.02</v>
      </c>
      <c r="Y109" s="282">
        <f t="shared" si="31"/>
        <v>0.1</v>
      </c>
    </row>
    <row r="110" spans="2:25" x14ac:dyDescent="0.35">
      <c r="B110" s="18">
        <f t="shared" si="32"/>
        <v>91</v>
      </c>
      <c r="C110" s="85">
        <f t="shared" si="34"/>
        <v>0</v>
      </c>
      <c r="D110" s="85">
        <f t="shared" si="35"/>
        <v>0</v>
      </c>
      <c r="E110" s="84">
        <f t="shared" si="36"/>
        <v>0</v>
      </c>
      <c r="F110" s="135">
        <f t="shared" si="37"/>
        <v>0</v>
      </c>
      <c r="G110" s="413">
        <f t="shared" si="25"/>
        <v>0</v>
      </c>
      <c r="H110" s="413">
        <f t="shared" si="26"/>
        <v>0</v>
      </c>
      <c r="I110" s="275">
        <f t="shared" si="38"/>
        <v>0</v>
      </c>
      <c r="J110" s="275">
        <f t="shared" si="39"/>
        <v>0</v>
      </c>
      <c r="K110" s="137">
        <f t="shared" si="27"/>
        <v>0</v>
      </c>
      <c r="L110" s="15" t="s">
        <v>0</v>
      </c>
      <c r="M110" s="88">
        <v>0</v>
      </c>
      <c r="N110" s="88">
        <v>0</v>
      </c>
      <c r="O110" s="155">
        <v>1E+16</v>
      </c>
      <c r="P110" s="68">
        <v>109575</v>
      </c>
      <c r="Q110" s="3">
        <f t="shared" si="28"/>
        <v>64601</v>
      </c>
      <c r="R110" s="107">
        <f t="shared" si="33"/>
        <v>18.66</v>
      </c>
      <c r="S110" s="105">
        <f t="shared" si="29"/>
        <v>26311205.816876858</v>
      </c>
      <c r="T110" s="341">
        <v>0</v>
      </c>
      <c r="U110" s="341">
        <v>0</v>
      </c>
      <c r="V110" s="341">
        <v>0</v>
      </c>
      <c r="W110" s="341">
        <v>0</v>
      </c>
      <c r="X110" s="281">
        <f t="shared" si="30"/>
        <v>0.02</v>
      </c>
      <c r="Y110" s="282">
        <f t="shared" si="31"/>
        <v>0.1</v>
      </c>
    </row>
    <row r="111" spans="2:25" x14ac:dyDescent="0.35">
      <c r="B111" s="18">
        <f t="shared" si="32"/>
        <v>92</v>
      </c>
      <c r="C111" s="85">
        <f t="shared" si="34"/>
        <v>0</v>
      </c>
      <c r="D111" s="85">
        <f t="shared" si="35"/>
        <v>0</v>
      </c>
      <c r="E111" s="84">
        <f t="shared" si="36"/>
        <v>0</v>
      </c>
      <c r="F111" s="135">
        <f t="shared" si="37"/>
        <v>0</v>
      </c>
      <c r="G111" s="413">
        <f t="shared" si="25"/>
        <v>0</v>
      </c>
      <c r="H111" s="413">
        <f t="shared" si="26"/>
        <v>0</v>
      </c>
      <c r="I111" s="275">
        <f t="shared" si="38"/>
        <v>0</v>
      </c>
      <c r="J111" s="275">
        <f t="shared" si="39"/>
        <v>0</v>
      </c>
      <c r="K111" s="137">
        <f t="shared" si="27"/>
        <v>0</v>
      </c>
      <c r="L111" s="15" t="s">
        <v>0</v>
      </c>
      <c r="M111" s="88">
        <v>0</v>
      </c>
      <c r="N111" s="88">
        <v>0</v>
      </c>
      <c r="O111" s="155">
        <v>1E+16</v>
      </c>
      <c r="P111" s="68">
        <v>109575</v>
      </c>
      <c r="Q111" s="3">
        <f t="shared" si="28"/>
        <v>64601</v>
      </c>
      <c r="R111" s="107">
        <f t="shared" si="33"/>
        <v>18.66</v>
      </c>
      <c r="S111" s="105">
        <f t="shared" si="29"/>
        <v>26311205.816876858</v>
      </c>
      <c r="T111" s="341">
        <v>0</v>
      </c>
      <c r="U111" s="341">
        <v>0</v>
      </c>
      <c r="V111" s="341">
        <v>0</v>
      </c>
      <c r="W111" s="341">
        <v>0</v>
      </c>
      <c r="X111" s="281">
        <f t="shared" si="30"/>
        <v>0.02</v>
      </c>
      <c r="Y111" s="282">
        <f t="shared" si="31"/>
        <v>0.1</v>
      </c>
    </row>
    <row r="112" spans="2:25" x14ac:dyDescent="0.35">
      <c r="B112" s="18">
        <f t="shared" si="32"/>
        <v>93</v>
      </c>
      <c r="C112" s="85">
        <f t="shared" si="34"/>
        <v>0</v>
      </c>
      <c r="D112" s="85">
        <f t="shared" si="35"/>
        <v>0</v>
      </c>
      <c r="E112" s="84">
        <f t="shared" si="36"/>
        <v>0</v>
      </c>
      <c r="F112" s="135">
        <f t="shared" si="37"/>
        <v>0</v>
      </c>
      <c r="G112" s="413">
        <f t="shared" si="25"/>
        <v>0</v>
      </c>
      <c r="H112" s="413">
        <f t="shared" si="26"/>
        <v>0</v>
      </c>
      <c r="I112" s="275">
        <f t="shared" si="38"/>
        <v>0</v>
      </c>
      <c r="J112" s="275">
        <f t="shared" si="39"/>
        <v>0</v>
      </c>
      <c r="K112" s="137">
        <f t="shared" si="27"/>
        <v>0</v>
      </c>
      <c r="L112" s="15" t="s">
        <v>0</v>
      </c>
      <c r="M112" s="88">
        <v>0</v>
      </c>
      <c r="N112" s="88">
        <v>0</v>
      </c>
      <c r="O112" s="155">
        <v>1E+16</v>
      </c>
      <c r="P112" s="68">
        <v>109575</v>
      </c>
      <c r="Q112" s="3">
        <f t="shared" si="28"/>
        <v>64601</v>
      </c>
      <c r="R112" s="107">
        <f t="shared" si="33"/>
        <v>18.66</v>
      </c>
      <c r="S112" s="105">
        <f t="shared" si="29"/>
        <v>26311205.816876858</v>
      </c>
      <c r="T112" s="341">
        <v>0</v>
      </c>
      <c r="U112" s="341">
        <v>0</v>
      </c>
      <c r="V112" s="341">
        <v>0</v>
      </c>
      <c r="W112" s="341">
        <v>0</v>
      </c>
      <c r="X112" s="281">
        <f t="shared" si="30"/>
        <v>0.02</v>
      </c>
      <c r="Y112" s="282">
        <f t="shared" si="31"/>
        <v>0.1</v>
      </c>
    </row>
    <row r="113" spans="2:25" x14ac:dyDescent="0.35">
      <c r="B113" s="18">
        <f t="shared" si="32"/>
        <v>94</v>
      </c>
      <c r="C113" s="85">
        <f t="shared" si="34"/>
        <v>0</v>
      </c>
      <c r="D113" s="85">
        <f t="shared" si="35"/>
        <v>0</v>
      </c>
      <c r="E113" s="84">
        <f t="shared" si="36"/>
        <v>0</v>
      </c>
      <c r="F113" s="135">
        <f t="shared" si="37"/>
        <v>0</v>
      </c>
      <c r="G113" s="413">
        <f t="shared" si="25"/>
        <v>0</v>
      </c>
      <c r="H113" s="413">
        <f t="shared" si="26"/>
        <v>0</v>
      </c>
      <c r="I113" s="275">
        <f t="shared" si="38"/>
        <v>0</v>
      </c>
      <c r="J113" s="275">
        <f t="shared" si="39"/>
        <v>0</v>
      </c>
      <c r="K113" s="137">
        <f t="shared" si="27"/>
        <v>0</v>
      </c>
      <c r="L113" s="15" t="s">
        <v>0</v>
      </c>
      <c r="M113" s="88">
        <v>0</v>
      </c>
      <c r="N113" s="88">
        <v>0</v>
      </c>
      <c r="O113" s="155">
        <v>1E+16</v>
      </c>
      <c r="P113" s="68">
        <v>109575</v>
      </c>
      <c r="Q113" s="3">
        <f t="shared" si="28"/>
        <v>64601</v>
      </c>
      <c r="R113" s="107">
        <f t="shared" si="33"/>
        <v>18.66</v>
      </c>
      <c r="S113" s="105">
        <f t="shared" si="29"/>
        <v>26311205.816876858</v>
      </c>
      <c r="T113" s="341">
        <v>0</v>
      </c>
      <c r="U113" s="341">
        <v>0</v>
      </c>
      <c r="V113" s="341">
        <v>0</v>
      </c>
      <c r="W113" s="341">
        <v>0</v>
      </c>
      <c r="X113" s="281">
        <f t="shared" si="30"/>
        <v>0.02</v>
      </c>
      <c r="Y113" s="282">
        <f t="shared" si="31"/>
        <v>0.1</v>
      </c>
    </row>
    <row r="114" spans="2:25" x14ac:dyDescent="0.35">
      <c r="B114" s="18">
        <f t="shared" si="32"/>
        <v>95</v>
      </c>
      <c r="C114" s="85">
        <f t="shared" si="34"/>
        <v>0</v>
      </c>
      <c r="D114" s="85">
        <f t="shared" si="35"/>
        <v>0</v>
      </c>
      <c r="E114" s="84">
        <f t="shared" si="36"/>
        <v>0</v>
      </c>
      <c r="F114" s="135">
        <f t="shared" si="37"/>
        <v>0</v>
      </c>
      <c r="G114" s="413">
        <f t="shared" si="25"/>
        <v>0</v>
      </c>
      <c r="H114" s="413">
        <f t="shared" si="26"/>
        <v>0</v>
      </c>
      <c r="I114" s="275">
        <f t="shared" si="38"/>
        <v>0</v>
      </c>
      <c r="J114" s="275">
        <f t="shared" si="39"/>
        <v>0</v>
      </c>
      <c r="K114" s="137">
        <f t="shared" si="27"/>
        <v>0</v>
      </c>
      <c r="L114" s="15" t="s">
        <v>0</v>
      </c>
      <c r="M114" s="88">
        <v>0</v>
      </c>
      <c r="N114" s="88">
        <v>0</v>
      </c>
      <c r="O114" s="155">
        <v>1E+16</v>
      </c>
      <c r="P114" s="68">
        <v>109575</v>
      </c>
      <c r="Q114" s="3">
        <f t="shared" si="28"/>
        <v>64601</v>
      </c>
      <c r="R114" s="107">
        <f t="shared" si="33"/>
        <v>18.66</v>
      </c>
      <c r="S114" s="105">
        <f t="shared" si="29"/>
        <v>26311205.816876858</v>
      </c>
      <c r="T114" s="341">
        <v>0</v>
      </c>
      <c r="U114" s="341">
        <v>0</v>
      </c>
      <c r="V114" s="341">
        <v>0</v>
      </c>
      <c r="W114" s="341">
        <v>0</v>
      </c>
      <c r="X114" s="281">
        <f t="shared" si="30"/>
        <v>0.02</v>
      </c>
      <c r="Y114" s="282">
        <f t="shared" si="31"/>
        <v>0.1</v>
      </c>
    </row>
    <row r="115" spans="2:25" x14ac:dyDescent="0.35">
      <c r="B115" s="18">
        <f t="shared" si="32"/>
        <v>96</v>
      </c>
      <c r="C115" s="85">
        <f t="shared" si="34"/>
        <v>0</v>
      </c>
      <c r="D115" s="85">
        <f t="shared" si="35"/>
        <v>0</v>
      </c>
      <c r="E115" s="84">
        <f t="shared" si="36"/>
        <v>0</v>
      </c>
      <c r="F115" s="135">
        <f t="shared" si="37"/>
        <v>0</v>
      </c>
      <c r="G115" s="413">
        <f t="shared" si="25"/>
        <v>0</v>
      </c>
      <c r="H115" s="413">
        <f t="shared" si="26"/>
        <v>0</v>
      </c>
      <c r="I115" s="275">
        <f t="shared" si="38"/>
        <v>0</v>
      </c>
      <c r="J115" s="275">
        <f t="shared" si="39"/>
        <v>0</v>
      </c>
      <c r="K115" s="137">
        <f t="shared" si="27"/>
        <v>0</v>
      </c>
      <c r="L115" s="15" t="s">
        <v>0</v>
      </c>
      <c r="M115" s="88">
        <v>0</v>
      </c>
      <c r="N115" s="88">
        <v>0</v>
      </c>
      <c r="O115" s="155">
        <v>1E+16</v>
      </c>
      <c r="P115" s="68">
        <v>109575</v>
      </c>
      <c r="Q115" s="3">
        <f t="shared" si="28"/>
        <v>64601</v>
      </c>
      <c r="R115" s="107">
        <f t="shared" si="33"/>
        <v>18.66</v>
      </c>
      <c r="S115" s="105">
        <f t="shared" si="29"/>
        <v>26311205.816876858</v>
      </c>
      <c r="T115" s="341">
        <v>0</v>
      </c>
      <c r="U115" s="341">
        <v>0</v>
      </c>
      <c r="V115" s="341">
        <v>0</v>
      </c>
      <c r="W115" s="341">
        <v>0</v>
      </c>
      <c r="X115" s="281">
        <f t="shared" si="30"/>
        <v>0.02</v>
      </c>
      <c r="Y115" s="282">
        <f t="shared" si="31"/>
        <v>0.1</v>
      </c>
    </row>
    <row r="116" spans="2:25" x14ac:dyDescent="0.35">
      <c r="B116" s="18">
        <f t="shared" si="32"/>
        <v>97</v>
      </c>
      <c r="C116" s="85">
        <f t="shared" si="34"/>
        <v>0</v>
      </c>
      <c r="D116" s="85">
        <f t="shared" si="35"/>
        <v>0</v>
      </c>
      <c r="E116" s="84">
        <f t="shared" si="36"/>
        <v>0</v>
      </c>
      <c r="F116" s="135">
        <f t="shared" si="37"/>
        <v>0</v>
      </c>
      <c r="G116" s="413">
        <f t="shared" si="25"/>
        <v>0</v>
      </c>
      <c r="H116" s="413">
        <f t="shared" si="26"/>
        <v>0</v>
      </c>
      <c r="I116" s="275">
        <f t="shared" si="38"/>
        <v>0</v>
      </c>
      <c r="J116" s="275">
        <f t="shared" si="39"/>
        <v>0</v>
      </c>
      <c r="K116" s="137">
        <f t="shared" si="27"/>
        <v>0</v>
      </c>
      <c r="L116" s="15" t="s">
        <v>0</v>
      </c>
      <c r="M116" s="88">
        <v>0</v>
      </c>
      <c r="N116" s="88">
        <v>0</v>
      </c>
      <c r="O116" s="155">
        <v>1E+16</v>
      </c>
      <c r="P116" s="68">
        <v>109575</v>
      </c>
      <c r="Q116" s="3">
        <f t="shared" si="28"/>
        <v>64601</v>
      </c>
      <c r="R116" s="107">
        <f t="shared" si="33"/>
        <v>18.66</v>
      </c>
      <c r="S116" s="105">
        <f t="shared" si="29"/>
        <v>26311205.816876858</v>
      </c>
      <c r="T116" s="341">
        <v>0</v>
      </c>
      <c r="U116" s="341">
        <v>0</v>
      </c>
      <c r="V116" s="341">
        <v>0</v>
      </c>
      <c r="W116" s="341">
        <v>0</v>
      </c>
      <c r="X116" s="281">
        <f t="shared" si="30"/>
        <v>0.02</v>
      </c>
      <c r="Y116" s="282">
        <f t="shared" si="31"/>
        <v>0.1</v>
      </c>
    </row>
    <row r="117" spans="2:25" x14ac:dyDescent="0.35">
      <c r="B117" s="18">
        <f t="shared" si="32"/>
        <v>98</v>
      </c>
      <c r="C117" s="85">
        <f t="shared" si="34"/>
        <v>0</v>
      </c>
      <c r="D117" s="85">
        <f t="shared" si="35"/>
        <v>0</v>
      </c>
      <c r="E117" s="84">
        <f t="shared" si="36"/>
        <v>0</v>
      </c>
      <c r="F117" s="135">
        <f t="shared" si="37"/>
        <v>0</v>
      </c>
      <c r="G117" s="413">
        <f t="shared" si="25"/>
        <v>0</v>
      </c>
      <c r="H117" s="413">
        <f t="shared" si="26"/>
        <v>0</v>
      </c>
      <c r="I117" s="275">
        <f t="shared" si="38"/>
        <v>0</v>
      </c>
      <c r="J117" s="275">
        <f t="shared" si="39"/>
        <v>0</v>
      </c>
      <c r="K117" s="137">
        <f t="shared" si="27"/>
        <v>0</v>
      </c>
      <c r="L117" s="15" t="s">
        <v>0</v>
      </c>
      <c r="M117" s="88">
        <v>0</v>
      </c>
      <c r="N117" s="88">
        <v>0</v>
      </c>
      <c r="O117" s="155">
        <v>1E+16</v>
      </c>
      <c r="P117" s="68">
        <v>109575</v>
      </c>
      <c r="Q117" s="3">
        <f t="shared" si="28"/>
        <v>64601</v>
      </c>
      <c r="R117" s="107">
        <f t="shared" si="33"/>
        <v>18.66</v>
      </c>
      <c r="S117" s="105">
        <f t="shared" si="29"/>
        <v>26311205.816876858</v>
      </c>
      <c r="T117" s="341">
        <v>0</v>
      </c>
      <c r="U117" s="341">
        <v>0</v>
      </c>
      <c r="V117" s="341">
        <v>0</v>
      </c>
      <c r="W117" s="341">
        <v>0</v>
      </c>
      <c r="X117" s="281">
        <f t="shared" si="30"/>
        <v>0.02</v>
      </c>
      <c r="Y117" s="282">
        <f t="shared" si="31"/>
        <v>0.1</v>
      </c>
    </row>
    <row r="118" spans="2:25" x14ac:dyDescent="0.35">
      <c r="B118" s="18">
        <f t="shared" si="32"/>
        <v>99</v>
      </c>
      <c r="C118" s="85">
        <f t="shared" si="34"/>
        <v>0</v>
      </c>
      <c r="D118" s="85">
        <f t="shared" si="35"/>
        <v>0</v>
      </c>
      <c r="E118" s="84">
        <f t="shared" si="36"/>
        <v>0</v>
      </c>
      <c r="F118" s="135">
        <f t="shared" si="37"/>
        <v>0</v>
      </c>
      <c r="G118" s="413">
        <f t="shared" si="25"/>
        <v>0</v>
      </c>
      <c r="H118" s="413">
        <f t="shared" si="26"/>
        <v>0</v>
      </c>
      <c r="I118" s="275">
        <f t="shared" si="38"/>
        <v>0</v>
      </c>
      <c r="J118" s="275">
        <f t="shared" si="39"/>
        <v>0</v>
      </c>
      <c r="K118" s="137">
        <f t="shared" si="27"/>
        <v>0</v>
      </c>
      <c r="L118" s="15" t="s">
        <v>0</v>
      </c>
      <c r="M118" s="88">
        <v>0</v>
      </c>
      <c r="N118" s="88">
        <v>0</v>
      </c>
      <c r="O118" s="155">
        <v>1E+16</v>
      </c>
      <c r="P118" s="68">
        <v>109575</v>
      </c>
      <c r="Q118" s="3">
        <f t="shared" si="28"/>
        <v>64601</v>
      </c>
      <c r="R118" s="107">
        <f t="shared" si="33"/>
        <v>18.66</v>
      </c>
      <c r="S118" s="105">
        <f t="shared" si="29"/>
        <v>26311205.816876858</v>
      </c>
      <c r="T118" s="341">
        <v>0</v>
      </c>
      <c r="U118" s="341">
        <v>0</v>
      </c>
      <c r="V118" s="341">
        <v>0</v>
      </c>
      <c r="W118" s="341">
        <v>0</v>
      </c>
      <c r="X118" s="281">
        <f t="shared" si="30"/>
        <v>0.02</v>
      </c>
      <c r="Y118" s="282">
        <f t="shared" si="31"/>
        <v>0.1</v>
      </c>
    </row>
    <row r="119" spans="2:25" x14ac:dyDescent="0.35">
      <c r="B119" s="18">
        <f t="shared" si="32"/>
        <v>100</v>
      </c>
      <c r="C119" s="85">
        <f t="shared" si="34"/>
        <v>0</v>
      </c>
      <c r="D119" s="85">
        <f t="shared" si="35"/>
        <v>0</v>
      </c>
      <c r="E119" s="84">
        <f t="shared" si="36"/>
        <v>0</v>
      </c>
      <c r="F119" s="135">
        <f t="shared" si="37"/>
        <v>0</v>
      </c>
      <c r="G119" s="413">
        <f t="shared" si="25"/>
        <v>0</v>
      </c>
      <c r="H119" s="413">
        <f t="shared" si="26"/>
        <v>0</v>
      </c>
      <c r="I119" s="275">
        <f t="shared" si="38"/>
        <v>0</v>
      </c>
      <c r="J119" s="275">
        <f t="shared" si="39"/>
        <v>0</v>
      </c>
      <c r="K119" s="137">
        <f t="shared" si="27"/>
        <v>0</v>
      </c>
      <c r="L119" s="15" t="s">
        <v>0</v>
      </c>
      <c r="M119" s="88">
        <v>0</v>
      </c>
      <c r="N119" s="88">
        <v>0</v>
      </c>
      <c r="O119" s="155">
        <v>1E+16</v>
      </c>
      <c r="P119" s="68">
        <v>109575</v>
      </c>
      <c r="Q119" s="3">
        <f t="shared" si="28"/>
        <v>64601</v>
      </c>
      <c r="R119" s="107">
        <f t="shared" si="33"/>
        <v>18.66</v>
      </c>
      <c r="S119" s="105">
        <f t="shared" si="29"/>
        <v>26311205.816876858</v>
      </c>
      <c r="T119" s="341">
        <v>0</v>
      </c>
      <c r="U119" s="341">
        <v>0</v>
      </c>
      <c r="V119" s="341">
        <v>0</v>
      </c>
      <c r="W119" s="341">
        <v>0</v>
      </c>
      <c r="X119" s="281">
        <f t="shared" si="30"/>
        <v>0.02</v>
      </c>
      <c r="Y119" s="282">
        <f t="shared" si="31"/>
        <v>0.1</v>
      </c>
    </row>
    <row r="120" spans="2:25" x14ac:dyDescent="0.35">
      <c r="B120" s="18">
        <f t="shared" si="32"/>
        <v>101</v>
      </c>
      <c r="C120" s="85">
        <f t="shared" si="34"/>
        <v>0</v>
      </c>
      <c r="D120" s="85">
        <f t="shared" si="35"/>
        <v>0</v>
      </c>
      <c r="E120" s="84">
        <f t="shared" si="36"/>
        <v>0</v>
      </c>
      <c r="F120" s="135">
        <f t="shared" si="37"/>
        <v>0</v>
      </c>
      <c r="G120" s="413">
        <f t="shared" si="25"/>
        <v>0</v>
      </c>
      <c r="H120" s="413">
        <f t="shared" si="26"/>
        <v>0</v>
      </c>
      <c r="I120" s="275">
        <f t="shared" si="38"/>
        <v>0</v>
      </c>
      <c r="J120" s="275">
        <f t="shared" si="39"/>
        <v>0</v>
      </c>
      <c r="K120" s="137">
        <f t="shared" si="27"/>
        <v>0</v>
      </c>
      <c r="L120" s="15" t="s">
        <v>0</v>
      </c>
      <c r="M120" s="88">
        <v>0</v>
      </c>
      <c r="N120" s="88">
        <v>0</v>
      </c>
      <c r="O120" s="155">
        <v>1E+16</v>
      </c>
      <c r="P120" s="68">
        <v>109575</v>
      </c>
      <c r="Q120" s="3">
        <f t="shared" si="28"/>
        <v>64601</v>
      </c>
      <c r="R120" s="107">
        <f t="shared" si="33"/>
        <v>18.66</v>
      </c>
      <c r="S120" s="105">
        <f t="shared" si="29"/>
        <v>26311205.816876858</v>
      </c>
      <c r="T120" s="341">
        <v>0</v>
      </c>
      <c r="U120" s="341">
        <v>0</v>
      </c>
      <c r="V120" s="341">
        <v>0</v>
      </c>
      <c r="W120" s="341">
        <v>0</v>
      </c>
      <c r="X120" s="281">
        <f t="shared" si="30"/>
        <v>0.02</v>
      </c>
      <c r="Y120" s="282">
        <f t="shared" si="31"/>
        <v>0.1</v>
      </c>
    </row>
    <row r="121" spans="2:25" x14ac:dyDescent="0.35">
      <c r="B121" s="18">
        <f t="shared" si="32"/>
        <v>102</v>
      </c>
      <c r="C121" s="85">
        <f t="shared" si="34"/>
        <v>0</v>
      </c>
      <c r="D121" s="85">
        <f t="shared" si="35"/>
        <v>0</v>
      </c>
      <c r="E121" s="84">
        <f t="shared" si="36"/>
        <v>0</v>
      </c>
      <c r="F121" s="135">
        <f t="shared" si="37"/>
        <v>0</v>
      </c>
      <c r="G121" s="413">
        <f t="shared" si="25"/>
        <v>0</v>
      </c>
      <c r="H121" s="413">
        <f t="shared" si="26"/>
        <v>0</v>
      </c>
      <c r="I121" s="275">
        <f t="shared" si="38"/>
        <v>0</v>
      </c>
      <c r="J121" s="275">
        <f t="shared" si="39"/>
        <v>0</v>
      </c>
      <c r="K121" s="137">
        <f t="shared" si="27"/>
        <v>0</v>
      </c>
      <c r="L121" s="15" t="s">
        <v>0</v>
      </c>
      <c r="M121" s="88">
        <v>0</v>
      </c>
      <c r="N121" s="88">
        <v>0</v>
      </c>
      <c r="O121" s="155">
        <v>1E+16</v>
      </c>
      <c r="P121" s="68">
        <v>109575</v>
      </c>
      <c r="Q121" s="3">
        <f t="shared" si="28"/>
        <v>64601</v>
      </c>
      <c r="R121" s="107">
        <f t="shared" si="33"/>
        <v>18.66</v>
      </c>
      <c r="S121" s="105">
        <f t="shared" si="29"/>
        <v>26311205.816876858</v>
      </c>
      <c r="T121" s="341">
        <v>0</v>
      </c>
      <c r="U121" s="341">
        <v>0</v>
      </c>
      <c r="V121" s="341">
        <v>0</v>
      </c>
      <c r="W121" s="341">
        <v>0</v>
      </c>
      <c r="X121" s="281">
        <f t="shared" si="30"/>
        <v>0.02</v>
      </c>
      <c r="Y121" s="282">
        <f t="shared" si="31"/>
        <v>0.1</v>
      </c>
    </row>
    <row r="122" spans="2:25" x14ac:dyDescent="0.35">
      <c r="B122" s="18">
        <f t="shared" si="32"/>
        <v>103</v>
      </c>
      <c r="C122" s="85">
        <f t="shared" si="34"/>
        <v>0</v>
      </c>
      <c r="D122" s="85">
        <f t="shared" si="35"/>
        <v>0</v>
      </c>
      <c r="E122" s="84">
        <f t="shared" si="36"/>
        <v>0</v>
      </c>
      <c r="F122" s="135">
        <f t="shared" si="37"/>
        <v>0</v>
      </c>
      <c r="G122" s="413">
        <f t="shared" si="25"/>
        <v>0</v>
      </c>
      <c r="H122" s="413">
        <f t="shared" si="26"/>
        <v>0</v>
      </c>
      <c r="I122" s="275">
        <f t="shared" si="38"/>
        <v>0</v>
      </c>
      <c r="J122" s="275">
        <f t="shared" si="39"/>
        <v>0</v>
      </c>
      <c r="K122" s="137">
        <f t="shared" si="27"/>
        <v>0</v>
      </c>
      <c r="L122" s="15" t="s">
        <v>0</v>
      </c>
      <c r="M122" s="88">
        <v>0</v>
      </c>
      <c r="N122" s="88">
        <v>0</v>
      </c>
      <c r="O122" s="155">
        <v>1E+16</v>
      </c>
      <c r="P122" s="68">
        <v>109575</v>
      </c>
      <c r="Q122" s="3">
        <f t="shared" si="28"/>
        <v>64601</v>
      </c>
      <c r="R122" s="107">
        <f t="shared" si="33"/>
        <v>18.66</v>
      </c>
      <c r="S122" s="105">
        <f t="shared" si="29"/>
        <v>26311205.816876858</v>
      </c>
      <c r="T122" s="341">
        <v>0</v>
      </c>
      <c r="U122" s="341">
        <v>0</v>
      </c>
      <c r="V122" s="341">
        <v>0</v>
      </c>
      <c r="W122" s="341">
        <v>0</v>
      </c>
      <c r="X122" s="281">
        <f t="shared" si="30"/>
        <v>0.02</v>
      </c>
      <c r="Y122" s="282">
        <f t="shared" si="31"/>
        <v>0.1</v>
      </c>
    </row>
    <row r="123" spans="2:25" x14ac:dyDescent="0.35">
      <c r="B123" s="18">
        <f t="shared" si="32"/>
        <v>104</v>
      </c>
      <c r="C123" s="85">
        <f t="shared" si="34"/>
        <v>0</v>
      </c>
      <c r="D123" s="85">
        <f t="shared" si="35"/>
        <v>0</v>
      </c>
      <c r="E123" s="84">
        <f t="shared" si="36"/>
        <v>0</v>
      </c>
      <c r="F123" s="135">
        <f t="shared" si="37"/>
        <v>0</v>
      </c>
      <c r="G123" s="413">
        <f t="shared" si="25"/>
        <v>0</v>
      </c>
      <c r="H123" s="413">
        <f t="shared" si="26"/>
        <v>0</v>
      </c>
      <c r="I123" s="275">
        <f t="shared" si="38"/>
        <v>0</v>
      </c>
      <c r="J123" s="275">
        <f t="shared" si="39"/>
        <v>0</v>
      </c>
      <c r="K123" s="137">
        <f t="shared" si="27"/>
        <v>0</v>
      </c>
      <c r="L123" s="15" t="s">
        <v>0</v>
      </c>
      <c r="M123" s="88">
        <v>0</v>
      </c>
      <c r="N123" s="88">
        <v>0</v>
      </c>
      <c r="O123" s="155">
        <v>1E+16</v>
      </c>
      <c r="P123" s="68">
        <v>109575</v>
      </c>
      <c r="Q123" s="3">
        <f t="shared" si="28"/>
        <v>64601</v>
      </c>
      <c r="R123" s="107">
        <f t="shared" si="33"/>
        <v>18.66</v>
      </c>
      <c r="S123" s="105">
        <f t="shared" si="29"/>
        <v>26311205.816876858</v>
      </c>
      <c r="T123" s="341">
        <v>0</v>
      </c>
      <c r="U123" s="341">
        <v>0</v>
      </c>
      <c r="V123" s="341">
        <v>0</v>
      </c>
      <c r="W123" s="341">
        <v>0</v>
      </c>
      <c r="X123" s="281">
        <f t="shared" si="30"/>
        <v>0.02</v>
      </c>
      <c r="Y123" s="282">
        <f t="shared" si="31"/>
        <v>0.1</v>
      </c>
    </row>
    <row r="124" spans="2:25" x14ac:dyDescent="0.35">
      <c r="B124" s="18">
        <f t="shared" si="32"/>
        <v>105</v>
      </c>
      <c r="C124" s="85">
        <f t="shared" si="34"/>
        <v>0</v>
      </c>
      <c r="D124" s="85">
        <f t="shared" si="35"/>
        <v>0</v>
      </c>
      <c r="E124" s="84">
        <f t="shared" si="36"/>
        <v>0</v>
      </c>
      <c r="F124" s="135">
        <f t="shared" si="37"/>
        <v>0</v>
      </c>
      <c r="G124" s="413">
        <f t="shared" si="25"/>
        <v>0</v>
      </c>
      <c r="H124" s="413">
        <f t="shared" si="26"/>
        <v>0</v>
      </c>
      <c r="I124" s="275">
        <f t="shared" si="38"/>
        <v>0</v>
      </c>
      <c r="J124" s="275">
        <f t="shared" si="39"/>
        <v>0</v>
      </c>
      <c r="K124" s="137">
        <f t="shared" si="27"/>
        <v>0</v>
      </c>
      <c r="L124" s="15" t="s">
        <v>0</v>
      </c>
      <c r="M124" s="88">
        <v>0</v>
      </c>
      <c r="N124" s="88">
        <v>0</v>
      </c>
      <c r="O124" s="155">
        <v>1E+16</v>
      </c>
      <c r="P124" s="68">
        <v>109575</v>
      </c>
      <c r="Q124" s="3">
        <f t="shared" si="28"/>
        <v>64601</v>
      </c>
      <c r="R124" s="107">
        <f t="shared" si="33"/>
        <v>18.66</v>
      </c>
      <c r="S124" s="105">
        <f t="shared" si="29"/>
        <v>26311205.816876858</v>
      </c>
      <c r="T124" s="341">
        <v>0</v>
      </c>
      <c r="U124" s="341">
        <v>0</v>
      </c>
      <c r="V124" s="341">
        <v>0</v>
      </c>
      <c r="W124" s="341">
        <v>0</v>
      </c>
      <c r="X124" s="281">
        <f t="shared" si="30"/>
        <v>0.02</v>
      </c>
      <c r="Y124" s="282">
        <f t="shared" si="31"/>
        <v>0.1</v>
      </c>
    </row>
    <row r="125" spans="2:25" x14ac:dyDescent="0.35">
      <c r="B125" s="18">
        <f t="shared" si="32"/>
        <v>106</v>
      </c>
      <c r="C125" s="85">
        <f t="shared" si="34"/>
        <v>0</v>
      </c>
      <c r="D125" s="85">
        <f t="shared" si="35"/>
        <v>0</v>
      </c>
      <c r="E125" s="84">
        <f t="shared" si="36"/>
        <v>0</v>
      </c>
      <c r="F125" s="135">
        <f t="shared" si="37"/>
        <v>0</v>
      </c>
      <c r="G125" s="413">
        <f t="shared" si="25"/>
        <v>0</v>
      </c>
      <c r="H125" s="413">
        <f t="shared" si="26"/>
        <v>0</v>
      </c>
      <c r="I125" s="275">
        <f t="shared" si="38"/>
        <v>0</v>
      </c>
      <c r="J125" s="275">
        <f t="shared" si="39"/>
        <v>0</v>
      </c>
      <c r="K125" s="137">
        <f t="shared" si="27"/>
        <v>0</v>
      </c>
      <c r="L125" s="15" t="s">
        <v>0</v>
      </c>
      <c r="M125" s="88">
        <v>0</v>
      </c>
      <c r="N125" s="88">
        <v>0</v>
      </c>
      <c r="O125" s="155">
        <v>1E+16</v>
      </c>
      <c r="P125" s="68">
        <v>109575</v>
      </c>
      <c r="Q125" s="3">
        <f t="shared" si="28"/>
        <v>64601</v>
      </c>
      <c r="R125" s="107">
        <f t="shared" si="33"/>
        <v>18.66</v>
      </c>
      <c r="S125" s="105">
        <f t="shared" si="29"/>
        <v>26311205.816876858</v>
      </c>
      <c r="T125" s="341">
        <v>0</v>
      </c>
      <c r="U125" s="341">
        <v>0</v>
      </c>
      <c r="V125" s="341">
        <v>0</v>
      </c>
      <c r="W125" s="341">
        <v>0</v>
      </c>
      <c r="X125" s="281">
        <f t="shared" si="30"/>
        <v>0.02</v>
      </c>
      <c r="Y125" s="282">
        <f t="shared" si="31"/>
        <v>0.1</v>
      </c>
    </row>
    <row r="126" spans="2:25" x14ac:dyDescent="0.35">
      <c r="B126" s="18">
        <f t="shared" si="32"/>
        <v>107</v>
      </c>
      <c r="C126" s="85">
        <f t="shared" si="34"/>
        <v>0</v>
      </c>
      <c r="D126" s="85">
        <f t="shared" si="35"/>
        <v>0</v>
      </c>
      <c r="E126" s="84">
        <f t="shared" si="36"/>
        <v>0</v>
      </c>
      <c r="F126" s="135">
        <f t="shared" si="37"/>
        <v>0</v>
      </c>
      <c r="G126" s="413">
        <f t="shared" si="25"/>
        <v>0</v>
      </c>
      <c r="H126" s="413">
        <f t="shared" si="26"/>
        <v>0</v>
      </c>
      <c r="I126" s="275">
        <f t="shared" si="38"/>
        <v>0</v>
      </c>
      <c r="J126" s="275">
        <f t="shared" si="39"/>
        <v>0</v>
      </c>
      <c r="K126" s="137">
        <f t="shared" si="27"/>
        <v>0</v>
      </c>
      <c r="L126" s="15" t="s">
        <v>0</v>
      </c>
      <c r="M126" s="88">
        <v>0</v>
      </c>
      <c r="N126" s="88">
        <v>0</v>
      </c>
      <c r="O126" s="155">
        <v>1E+16</v>
      </c>
      <c r="P126" s="68">
        <v>109575</v>
      </c>
      <c r="Q126" s="3">
        <f t="shared" si="28"/>
        <v>64601</v>
      </c>
      <c r="R126" s="107">
        <f t="shared" si="33"/>
        <v>18.66</v>
      </c>
      <c r="S126" s="105">
        <f t="shared" si="29"/>
        <v>26311205.816876858</v>
      </c>
      <c r="T126" s="341">
        <v>0</v>
      </c>
      <c r="U126" s="341">
        <v>0</v>
      </c>
      <c r="V126" s="341">
        <v>0</v>
      </c>
      <c r="W126" s="341">
        <v>0</v>
      </c>
      <c r="X126" s="281">
        <f t="shared" si="30"/>
        <v>0.02</v>
      </c>
      <c r="Y126" s="282">
        <f t="shared" si="31"/>
        <v>0.1</v>
      </c>
    </row>
    <row r="127" spans="2:25" x14ac:dyDescent="0.35">
      <c r="B127" s="18">
        <f t="shared" si="32"/>
        <v>108</v>
      </c>
      <c r="C127" s="85">
        <f t="shared" si="34"/>
        <v>0</v>
      </c>
      <c r="D127" s="85">
        <f t="shared" si="35"/>
        <v>0</v>
      </c>
      <c r="E127" s="84">
        <f t="shared" si="36"/>
        <v>0</v>
      </c>
      <c r="F127" s="135">
        <f t="shared" si="37"/>
        <v>0</v>
      </c>
      <c r="G127" s="413">
        <f t="shared" si="25"/>
        <v>0</v>
      </c>
      <c r="H127" s="413">
        <f t="shared" si="26"/>
        <v>0</v>
      </c>
      <c r="I127" s="275">
        <f t="shared" si="38"/>
        <v>0</v>
      </c>
      <c r="J127" s="275">
        <f t="shared" si="39"/>
        <v>0</v>
      </c>
      <c r="K127" s="137">
        <f t="shared" si="27"/>
        <v>0</v>
      </c>
      <c r="L127" s="15" t="s">
        <v>0</v>
      </c>
      <c r="M127" s="88">
        <v>0</v>
      </c>
      <c r="N127" s="88">
        <v>0</v>
      </c>
      <c r="O127" s="155">
        <v>1E+16</v>
      </c>
      <c r="P127" s="68">
        <v>109575</v>
      </c>
      <c r="Q127" s="3">
        <f t="shared" si="28"/>
        <v>64601</v>
      </c>
      <c r="R127" s="107">
        <f t="shared" si="33"/>
        <v>18.66</v>
      </c>
      <c r="S127" s="105">
        <f t="shared" si="29"/>
        <v>26311205.816876858</v>
      </c>
      <c r="T127" s="341">
        <v>0</v>
      </c>
      <c r="U127" s="341">
        <v>0</v>
      </c>
      <c r="V127" s="341">
        <v>0</v>
      </c>
      <c r="W127" s="341">
        <v>0</v>
      </c>
      <c r="X127" s="281">
        <f t="shared" si="30"/>
        <v>0.02</v>
      </c>
      <c r="Y127" s="282">
        <f t="shared" si="31"/>
        <v>0.1</v>
      </c>
    </row>
    <row r="128" spans="2:25" x14ac:dyDescent="0.35">
      <c r="B128" s="18">
        <f t="shared" si="32"/>
        <v>109</v>
      </c>
      <c r="C128" s="85">
        <f t="shared" si="34"/>
        <v>0</v>
      </c>
      <c r="D128" s="85">
        <f t="shared" si="35"/>
        <v>0</v>
      </c>
      <c r="E128" s="84">
        <f t="shared" si="36"/>
        <v>0</v>
      </c>
      <c r="F128" s="135">
        <f t="shared" si="37"/>
        <v>0</v>
      </c>
      <c r="G128" s="413">
        <f t="shared" si="25"/>
        <v>0</v>
      </c>
      <c r="H128" s="413">
        <f t="shared" si="26"/>
        <v>0</v>
      </c>
      <c r="I128" s="275">
        <f t="shared" si="38"/>
        <v>0</v>
      </c>
      <c r="J128" s="275">
        <f t="shared" si="39"/>
        <v>0</v>
      </c>
      <c r="K128" s="137">
        <f t="shared" si="27"/>
        <v>0</v>
      </c>
      <c r="L128" s="15" t="s">
        <v>0</v>
      </c>
      <c r="M128" s="88">
        <v>0</v>
      </c>
      <c r="N128" s="88">
        <v>0</v>
      </c>
      <c r="O128" s="155">
        <v>1E+16</v>
      </c>
      <c r="P128" s="68">
        <v>109575</v>
      </c>
      <c r="Q128" s="3">
        <f t="shared" si="28"/>
        <v>64601</v>
      </c>
      <c r="R128" s="107">
        <f t="shared" si="33"/>
        <v>18.66</v>
      </c>
      <c r="S128" s="105">
        <f t="shared" si="29"/>
        <v>26311205.816876858</v>
      </c>
      <c r="T128" s="341">
        <v>0</v>
      </c>
      <c r="U128" s="341">
        <v>0</v>
      </c>
      <c r="V128" s="341">
        <v>0</v>
      </c>
      <c r="W128" s="341">
        <v>0</v>
      </c>
      <c r="X128" s="281">
        <f t="shared" si="30"/>
        <v>0.02</v>
      </c>
      <c r="Y128" s="282">
        <f t="shared" si="31"/>
        <v>0.1</v>
      </c>
    </row>
    <row r="129" spans="2:25" x14ac:dyDescent="0.35">
      <c r="B129" s="18">
        <f t="shared" si="32"/>
        <v>110</v>
      </c>
      <c r="C129" s="85">
        <f t="shared" si="34"/>
        <v>0</v>
      </c>
      <c r="D129" s="85">
        <f t="shared" si="35"/>
        <v>0</v>
      </c>
      <c r="E129" s="84">
        <f t="shared" si="36"/>
        <v>0</v>
      </c>
      <c r="F129" s="135">
        <f t="shared" si="37"/>
        <v>0</v>
      </c>
      <c r="G129" s="413">
        <f t="shared" si="25"/>
        <v>0</v>
      </c>
      <c r="H129" s="413">
        <f t="shared" si="26"/>
        <v>0</v>
      </c>
      <c r="I129" s="275">
        <f t="shared" si="38"/>
        <v>0</v>
      </c>
      <c r="J129" s="275">
        <f t="shared" si="39"/>
        <v>0</v>
      </c>
      <c r="K129" s="137">
        <f t="shared" si="27"/>
        <v>0</v>
      </c>
      <c r="L129" s="15" t="s">
        <v>0</v>
      </c>
      <c r="M129" s="88">
        <v>0</v>
      </c>
      <c r="N129" s="88">
        <v>0</v>
      </c>
      <c r="O129" s="155">
        <v>1E+16</v>
      </c>
      <c r="P129" s="68">
        <v>109575</v>
      </c>
      <c r="Q129" s="3">
        <f t="shared" si="28"/>
        <v>64601</v>
      </c>
      <c r="R129" s="107">
        <f t="shared" si="33"/>
        <v>18.66</v>
      </c>
      <c r="S129" s="105">
        <f t="shared" si="29"/>
        <v>26311205.816876858</v>
      </c>
      <c r="T129" s="341">
        <v>0</v>
      </c>
      <c r="U129" s="341">
        <v>0</v>
      </c>
      <c r="V129" s="341">
        <v>0</v>
      </c>
      <c r="W129" s="341">
        <v>0</v>
      </c>
      <c r="X129" s="281">
        <f t="shared" si="30"/>
        <v>0.02</v>
      </c>
      <c r="Y129" s="282">
        <f t="shared" si="31"/>
        <v>0.1</v>
      </c>
    </row>
    <row r="130" spans="2:25" x14ac:dyDescent="0.35">
      <c r="B130" s="18">
        <f t="shared" si="32"/>
        <v>111</v>
      </c>
      <c r="C130" s="85">
        <f t="shared" si="34"/>
        <v>0</v>
      </c>
      <c r="D130" s="85">
        <f t="shared" si="35"/>
        <v>0</v>
      </c>
      <c r="E130" s="84">
        <f t="shared" si="36"/>
        <v>0</v>
      </c>
      <c r="F130" s="135">
        <f t="shared" si="37"/>
        <v>0</v>
      </c>
      <c r="G130" s="413">
        <f t="shared" si="25"/>
        <v>0</v>
      </c>
      <c r="H130" s="413">
        <f t="shared" si="26"/>
        <v>0</v>
      </c>
      <c r="I130" s="275">
        <f t="shared" si="38"/>
        <v>0</v>
      </c>
      <c r="J130" s="275">
        <f t="shared" si="39"/>
        <v>0</v>
      </c>
      <c r="K130" s="137">
        <f t="shared" si="27"/>
        <v>0</v>
      </c>
      <c r="L130" s="15" t="s">
        <v>0</v>
      </c>
      <c r="M130" s="88">
        <v>0</v>
      </c>
      <c r="N130" s="88">
        <v>0</v>
      </c>
      <c r="O130" s="155">
        <v>1E+16</v>
      </c>
      <c r="P130" s="68">
        <v>109575</v>
      </c>
      <c r="Q130" s="3">
        <f t="shared" si="28"/>
        <v>64601</v>
      </c>
      <c r="R130" s="107">
        <f t="shared" si="33"/>
        <v>18.66</v>
      </c>
      <c r="S130" s="105">
        <f t="shared" si="29"/>
        <v>26311205.816876858</v>
      </c>
      <c r="T130" s="341">
        <v>0</v>
      </c>
      <c r="U130" s="341">
        <v>0</v>
      </c>
      <c r="V130" s="341">
        <v>0</v>
      </c>
      <c r="W130" s="341">
        <v>0</v>
      </c>
      <c r="X130" s="281">
        <f t="shared" si="30"/>
        <v>0.02</v>
      </c>
      <c r="Y130" s="282">
        <f t="shared" si="31"/>
        <v>0.1</v>
      </c>
    </row>
    <row r="131" spans="2:25" x14ac:dyDescent="0.35">
      <c r="B131" s="18">
        <f t="shared" si="32"/>
        <v>112</v>
      </c>
      <c r="C131" s="85">
        <f t="shared" si="34"/>
        <v>0</v>
      </c>
      <c r="D131" s="85">
        <f t="shared" si="35"/>
        <v>0</v>
      </c>
      <c r="E131" s="84">
        <f t="shared" si="36"/>
        <v>0</v>
      </c>
      <c r="F131" s="135">
        <f t="shared" si="37"/>
        <v>0</v>
      </c>
      <c r="G131" s="413">
        <f t="shared" si="25"/>
        <v>0</v>
      </c>
      <c r="H131" s="413">
        <f t="shared" si="26"/>
        <v>0</v>
      </c>
      <c r="I131" s="275">
        <f t="shared" si="38"/>
        <v>0</v>
      </c>
      <c r="J131" s="275">
        <f t="shared" si="39"/>
        <v>0</v>
      </c>
      <c r="K131" s="137">
        <f t="shared" si="27"/>
        <v>0</v>
      </c>
      <c r="L131" s="15" t="s">
        <v>0</v>
      </c>
      <c r="M131" s="88">
        <v>0</v>
      </c>
      <c r="N131" s="88">
        <v>0</v>
      </c>
      <c r="O131" s="155">
        <v>1E+16</v>
      </c>
      <c r="P131" s="68">
        <v>109575</v>
      </c>
      <c r="Q131" s="3">
        <f t="shared" si="28"/>
        <v>64601</v>
      </c>
      <c r="R131" s="107">
        <f t="shared" si="33"/>
        <v>18.66</v>
      </c>
      <c r="S131" s="105">
        <f t="shared" si="29"/>
        <v>26311205.816876858</v>
      </c>
      <c r="T131" s="341">
        <v>0</v>
      </c>
      <c r="U131" s="341">
        <v>0</v>
      </c>
      <c r="V131" s="341">
        <v>0</v>
      </c>
      <c r="W131" s="341">
        <v>0</v>
      </c>
      <c r="X131" s="281">
        <f t="shared" si="30"/>
        <v>0.02</v>
      </c>
      <c r="Y131" s="282">
        <f t="shared" si="31"/>
        <v>0.1</v>
      </c>
    </row>
    <row r="132" spans="2:25" x14ac:dyDescent="0.35">
      <c r="B132" s="18">
        <f t="shared" si="32"/>
        <v>113</v>
      </c>
      <c r="C132" s="85">
        <f t="shared" si="34"/>
        <v>0</v>
      </c>
      <c r="D132" s="85">
        <f t="shared" si="35"/>
        <v>0</v>
      </c>
      <c r="E132" s="84">
        <f t="shared" si="36"/>
        <v>0</v>
      </c>
      <c r="F132" s="135">
        <f t="shared" si="37"/>
        <v>0</v>
      </c>
      <c r="G132" s="413">
        <f t="shared" si="25"/>
        <v>0</v>
      </c>
      <c r="H132" s="413">
        <f t="shared" si="26"/>
        <v>0</v>
      </c>
      <c r="I132" s="275">
        <f t="shared" si="38"/>
        <v>0</v>
      </c>
      <c r="J132" s="275">
        <f t="shared" si="39"/>
        <v>0</v>
      </c>
      <c r="K132" s="137">
        <f t="shared" si="27"/>
        <v>0</v>
      </c>
      <c r="L132" s="15" t="s">
        <v>0</v>
      </c>
      <c r="M132" s="88">
        <v>0</v>
      </c>
      <c r="N132" s="88">
        <v>0</v>
      </c>
      <c r="O132" s="155">
        <v>1E+16</v>
      </c>
      <c r="P132" s="68">
        <v>109575</v>
      </c>
      <c r="Q132" s="3">
        <f t="shared" si="28"/>
        <v>64601</v>
      </c>
      <c r="R132" s="107">
        <f t="shared" si="33"/>
        <v>18.66</v>
      </c>
      <c r="S132" s="105">
        <f t="shared" si="29"/>
        <v>26311205.816876858</v>
      </c>
      <c r="T132" s="341">
        <v>0</v>
      </c>
      <c r="U132" s="341">
        <v>0</v>
      </c>
      <c r="V132" s="341">
        <v>0</v>
      </c>
      <c r="W132" s="341">
        <v>0</v>
      </c>
      <c r="X132" s="281">
        <f t="shared" si="30"/>
        <v>0.02</v>
      </c>
      <c r="Y132" s="282">
        <f t="shared" si="31"/>
        <v>0.1</v>
      </c>
    </row>
    <row r="133" spans="2:25" x14ac:dyDescent="0.35">
      <c r="B133" s="18">
        <f t="shared" si="32"/>
        <v>114</v>
      </c>
      <c r="C133" s="85">
        <f t="shared" si="34"/>
        <v>0</v>
      </c>
      <c r="D133" s="85">
        <f t="shared" si="35"/>
        <v>0</v>
      </c>
      <c r="E133" s="84">
        <f t="shared" si="36"/>
        <v>0</v>
      </c>
      <c r="F133" s="135">
        <f t="shared" si="37"/>
        <v>0</v>
      </c>
      <c r="G133" s="413">
        <f t="shared" si="25"/>
        <v>0</v>
      </c>
      <c r="H133" s="413">
        <f t="shared" si="26"/>
        <v>0</v>
      </c>
      <c r="I133" s="275">
        <f t="shared" si="38"/>
        <v>0</v>
      </c>
      <c r="J133" s="275">
        <f t="shared" si="39"/>
        <v>0</v>
      </c>
      <c r="K133" s="137">
        <f t="shared" si="27"/>
        <v>0</v>
      </c>
      <c r="L133" s="15" t="s">
        <v>0</v>
      </c>
      <c r="M133" s="88">
        <v>0</v>
      </c>
      <c r="N133" s="88">
        <v>0</v>
      </c>
      <c r="O133" s="155">
        <v>1E+16</v>
      </c>
      <c r="P133" s="68">
        <v>109575</v>
      </c>
      <c r="Q133" s="3">
        <f t="shared" si="28"/>
        <v>64601</v>
      </c>
      <c r="R133" s="107">
        <f t="shared" si="33"/>
        <v>18.66</v>
      </c>
      <c r="S133" s="105">
        <f t="shared" si="29"/>
        <v>26311205.816876858</v>
      </c>
      <c r="T133" s="341">
        <v>0</v>
      </c>
      <c r="U133" s="341">
        <v>0</v>
      </c>
      <c r="V133" s="341">
        <v>0</v>
      </c>
      <c r="W133" s="341">
        <v>0</v>
      </c>
      <c r="X133" s="281">
        <f t="shared" si="30"/>
        <v>0.02</v>
      </c>
      <c r="Y133" s="282">
        <f t="shared" si="31"/>
        <v>0.1</v>
      </c>
    </row>
    <row r="134" spans="2:25" x14ac:dyDescent="0.35">
      <c r="B134" s="18">
        <f t="shared" si="32"/>
        <v>115</v>
      </c>
      <c r="C134" s="85">
        <f t="shared" si="34"/>
        <v>0</v>
      </c>
      <c r="D134" s="85">
        <f t="shared" si="35"/>
        <v>0</v>
      </c>
      <c r="E134" s="84">
        <f t="shared" si="36"/>
        <v>0</v>
      </c>
      <c r="F134" s="135">
        <f t="shared" si="37"/>
        <v>0</v>
      </c>
      <c r="G134" s="413">
        <f t="shared" si="25"/>
        <v>0</v>
      </c>
      <c r="H134" s="413">
        <f t="shared" si="26"/>
        <v>0</v>
      </c>
      <c r="I134" s="275">
        <f t="shared" si="38"/>
        <v>0</v>
      </c>
      <c r="J134" s="275">
        <f t="shared" si="39"/>
        <v>0</v>
      </c>
      <c r="K134" s="137">
        <f t="shared" si="27"/>
        <v>0</v>
      </c>
      <c r="L134" s="15" t="s">
        <v>0</v>
      </c>
      <c r="M134" s="88">
        <v>0</v>
      </c>
      <c r="N134" s="88">
        <v>0</v>
      </c>
      <c r="O134" s="155">
        <v>1E+16</v>
      </c>
      <c r="P134" s="68">
        <v>109575</v>
      </c>
      <c r="Q134" s="3">
        <f t="shared" si="28"/>
        <v>64601</v>
      </c>
      <c r="R134" s="107">
        <f t="shared" si="33"/>
        <v>18.66</v>
      </c>
      <c r="S134" s="105">
        <f t="shared" si="29"/>
        <v>26311205.816876858</v>
      </c>
      <c r="T134" s="341">
        <v>0</v>
      </c>
      <c r="U134" s="341">
        <v>0</v>
      </c>
      <c r="V134" s="341">
        <v>0</v>
      </c>
      <c r="W134" s="341">
        <v>0</v>
      </c>
      <c r="X134" s="281">
        <f t="shared" si="30"/>
        <v>0.02</v>
      </c>
      <c r="Y134" s="282">
        <f t="shared" si="31"/>
        <v>0.1</v>
      </c>
    </row>
    <row r="135" spans="2:25" x14ac:dyDescent="0.35">
      <c r="B135" s="18">
        <f t="shared" si="32"/>
        <v>116</v>
      </c>
      <c r="C135" s="85">
        <f t="shared" si="34"/>
        <v>0</v>
      </c>
      <c r="D135" s="85">
        <f t="shared" si="35"/>
        <v>0</v>
      </c>
      <c r="E135" s="84">
        <f t="shared" si="36"/>
        <v>0</v>
      </c>
      <c r="F135" s="135">
        <f t="shared" si="37"/>
        <v>0</v>
      </c>
      <c r="G135" s="413">
        <f t="shared" si="25"/>
        <v>0</v>
      </c>
      <c r="H135" s="413">
        <f t="shared" si="26"/>
        <v>0</v>
      </c>
      <c r="I135" s="275">
        <f t="shared" si="38"/>
        <v>0</v>
      </c>
      <c r="J135" s="275">
        <f t="shared" si="39"/>
        <v>0</v>
      </c>
      <c r="K135" s="137">
        <f t="shared" si="27"/>
        <v>0</v>
      </c>
      <c r="L135" s="15" t="s">
        <v>0</v>
      </c>
      <c r="M135" s="88">
        <v>0</v>
      </c>
      <c r="N135" s="88">
        <v>0</v>
      </c>
      <c r="O135" s="155">
        <v>1E+16</v>
      </c>
      <c r="P135" s="68">
        <v>109575</v>
      </c>
      <c r="Q135" s="3">
        <f t="shared" si="28"/>
        <v>64601</v>
      </c>
      <c r="R135" s="107">
        <f t="shared" si="33"/>
        <v>18.66</v>
      </c>
      <c r="S135" s="105">
        <f t="shared" si="29"/>
        <v>26311205.816876858</v>
      </c>
      <c r="T135" s="341">
        <v>0</v>
      </c>
      <c r="U135" s="341">
        <v>0</v>
      </c>
      <c r="V135" s="341">
        <v>0</v>
      </c>
      <c r="W135" s="341">
        <v>0</v>
      </c>
      <c r="X135" s="281">
        <f t="shared" si="30"/>
        <v>0.02</v>
      </c>
      <c r="Y135" s="282">
        <f t="shared" si="31"/>
        <v>0.1</v>
      </c>
    </row>
    <row r="136" spans="2:25" x14ac:dyDescent="0.35">
      <c r="B136" s="18">
        <f t="shared" si="32"/>
        <v>117</v>
      </c>
      <c r="C136" s="85">
        <f t="shared" si="34"/>
        <v>0</v>
      </c>
      <c r="D136" s="85">
        <f t="shared" si="35"/>
        <v>0</v>
      </c>
      <c r="E136" s="84">
        <f t="shared" si="36"/>
        <v>0</v>
      </c>
      <c r="F136" s="135">
        <f t="shared" si="37"/>
        <v>0</v>
      </c>
      <c r="G136" s="413">
        <f t="shared" si="25"/>
        <v>0</v>
      </c>
      <c r="H136" s="413">
        <f t="shared" si="26"/>
        <v>0</v>
      </c>
      <c r="I136" s="275">
        <f t="shared" si="38"/>
        <v>0</v>
      </c>
      <c r="J136" s="275">
        <f t="shared" si="39"/>
        <v>0</v>
      </c>
      <c r="K136" s="137">
        <f t="shared" si="27"/>
        <v>0</v>
      </c>
      <c r="L136" s="15" t="s">
        <v>0</v>
      </c>
      <c r="M136" s="88">
        <v>0</v>
      </c>
      <c r="N136" s="88">
        <v>0</v>
      </c>
      <c r="O136" s="155">
        <v>1E+16</v>
      </c>
      <c r="P136" s="68">
        <v>109575</v>
      </c>
      <c r="Q136" s="3">
        <f t="shared" si="28"/>
        <v>64601</v>
      </c>
      <c r="R136" s="107">
        <f t="shared" si="33"/>
        <v>18.66</v>
      </c>
      <c r="S136" s="105">
        <f t="shared" si="29"/>
        <v>26311205.816876858</v>
      </c>
      <c r="T136" s="341">
        <v>0</v>
      </c>
      <c r="U136" s="341">
        <v>0</v>
      </c>
      <c r="V136" s="341">
        <v>0</v>
      </c>
      <c r="W136" s="341">
        <v>0</v>
      </c>
      <c r="X136" s="281">
        <f t="shared" si="30"/>
        <v>0.02</v>
      </c>
      <c r="Y136" s="282">
        <f t="shared" si="31"/>
        <v>0.1</v>
      </c>
    </row>
    <row r="137" spans="2:25" x14ac:dyDescent="0.35">
      <c r="B137" s="18">
        <f t="shared" si="32"/>
        <v>118</v>
      </c>
      <c r="C137" s="85">
        <f t="shared" si="34"/>
        <v>0</v>
      </c>
      <c r="D137" s="85">
        <f t="shared" si="35"/>
        <v>0</v>
      </c>
      <c r="E137" s="84">
        <f t="shared" si="36"/>
        <v>0</v>
      </c>
      <c r="F137" s="135">
        <f t="shared" si="37"/>
        <v>0</v>
      </c>
      <c r="G137" s="413">
        <f t="shared" si="25"/>
        <v>0</v>
      </c>
      <c r="H137" s="413">
        <f t="shared" si="26"/>
        <v>0</v>
      </c>
      <c r="I137" s="275">
        <f t="shared" si="38"/>
        <v>0</v>
      </c>
      <c r="J137" s="275">
        <f t="shared" si="39"/>
        <v>0</v>
      </c>
      <c r="K137" s="137">
        <f t="shared" si="27"/>
        <v>0</v>
      </c>
      <c r="L137" s="15" t="s">
        <v>0</v>
      </c>
      <c r="M137" s="88">
        <v>0</v>
      </c>
      <c r="N137" s="88">
        <v>0</v>
      </c>
      <c r="O137" s="155">
        <v>1E+16</v>
      </c>
      <c r="P137" s="68">
        <v>109575</v>
      </c>
      <c r="Q137" s="3">
        <f t="shared" si="28"/>
        <v>64601</v>
      </c>
      <c r="R137" s="107">
        <f t="shared" si="33"/>
        <v>18.66</v>
      </c>
      <c r="S137" s="105">
        <f t="shared" si="29"/>
        <v>26311205.816876858</v>
      </c>
      <c r="T137" s="341">
        <v>0</v>
      </c>
      <c r="U137" s="341">
        <v>0</v>
      </c>
      <c r="V137" s="341">
        <v>0</v>
      </c>
      <c r="W137" s="341">
        <v>0</v>
      </c>
      <c r="X137" s="281">
        <f t="shared" si="30"/>
        <v>0.02</v>
      </c>
      <c r="Y137" s="282">
        <f t="shared" si="31"/>
        <v>0.1</v>
      </c>
    </row>
    <row r="138" spans="2:25" x14ac:dyDescent="0.35">
      <c r="B138" s="18">
        <f t="shared" si="32"/>
        <v>119</v>
      </c>
      <c r="C138" s="85">
        <f t="shared" si="34"/>
        <v>0</v>
      </c>
      <c r="D138" s="85">
        <f t="shared" si="35"/>
        <v>0</v>
      </c>
      <c r="E138" s="84">
        <f t="shared" si="36"/>
        <v>0</v>
      </c>
      <c r="F138" s="135">
        <f t="shared" si="37"/>
        <v>0</v>
      </c>
      <c r="G138" s="413">
        <f t="shared" si="25"/>
        <v>0</v>
      </c>
      <c r="H138" s="413">
        <f t="shared" si="26"/>
        <v>0</v>
      </c>
      <c r="I138" s="275">
        <f t="shared" si="38"/>
        <v>0</v>
      </c>
      <c r="J138" s="275">
        <f t="shared" si="39"/>
        <v>0</v>
      </c>
      <c r="K138" s="137">
        <f t="shared" si="27"/>
        <v>0</v>
      </c>
      <c r="L138" s="15" t="s">
        <v>0</v>
      </c>
      <c r="M138" s="88">
        <v>0</v>
      </c>
      <c r="N138" s="88">
        <v>0</v>
      </c>
      <c r="O138" s="155">
        <v>1E+16</v>
      </c>
      <c r="P138" s="68">
        <v>109575</v>
      </c>
      <c r="Q138" s="3">
        <f t="shared" si="28"/>
        <v>64601</v>
      </c>
      <c r="R138" s="107">
        <f t="shared" si="33"/>
        <v>18.66</v>
      </c>
      <c r="S138" s="105">
        <f t="shared" si="29"/>
        <v>26311205.816876858</v>
      </c>
      <c r="T138" s="341">
        <v>0</v>
      </c>
      <c r="U138" s="341">
        <v>0</v>
      </c>
      <c r="V138" s="341">
        <v>0</v>
      </c>
      <c r="W138" s="341">
        <v>0</v>
      </c>
      <c r="X138" s="281">
        <f t="shared" si="30"/>
        <v>0.02</v>
      </c>
      <c r="Y138" s="282">
        <f t="shared" si="31"/>
        <v>0.1</v>
      </c>
    </row>
    <row r="139" spans="2:25" x14ac:dyDescent="0.35">
      <c r="B139" s="18">
        <f t="shared" si="32"/>
        <v>120</v>
      </c>
      <c r="C139" s="85">
        <f t="shared" si="34"/>
        <v>0</v>
      </c>
      <c r="D139" s="85">
        <f t="shared" si="35"/>
        <v>0</v>
      </c>
      <c r="E139" s="84">
        <f t="shared" si="36"/>
        <v>0</v>
      </c>
      <c r="F139" s="135">
        <f t="shared" si="37"/>
        <v>0</v>
      </c>
      <c r="G139" s="413">
        <f t="shared" si="25"/>
        <v>0</v>
      </c>
      <c r="H139" s="413">
        <f t="shared" si="26"/>
        <v>0</v>
      </c>
      <c r="I139" s="275">
        <f t="shared" si="38"/>
        <v>0</v>
      </c>
      <c r="J139" s="275">
        <f t="shared" si="39"/>
        <v>0</v>
      </c>
      <c r="K139" s="137">
        <f t="shared" si="27"/>
        <v>0</v>
      </c>
      <c r="L139" s="15" t="s">
        <v>0</v>
      </c>
      <c r="M139" s="88">
        <v>0</v>
      </c>
      <c r="N139" s="88">
        <v>0</v>
      </c>
      <c r="O139" s="155">
        <v>1E+16</v>
      </c>
      <c r="P139" s="68">
        <v>109575</v>
      </c>
      <c r="Q139" s="3">
        <f t="shared" si="28"/>
        <v>64601</v>
      </c>
      <c r="R139" s="107">
        <f t="shared" si="33"/>
        <v>18.66</v>
      </c>
      <c r="S139" s="105">
        <f t="shared" si="29"/>
        <v>26311205.816876858</v>
      </c>
      <c r="T139" s="341">
        <v>0</v>
      </c>
      <c r="U139" s="341">
        <v>0</v>
      </c>
      <c r="V139" s="341">
        <v>0</v>
      </c>
      <c r="W139" s="341">
        <v>0</v>
      </c>
      <c r="X139" s="281">
        <f t="shared" si="30"/>
        <v>0.02</v>
      </c>
      <c r="Y139" s="282">
        <f t="shared" si="31"/>
        <v>0.1</v>
      </c>
    </row>
    <row r="140" spans="2:25" x14ac:dyDescent="0.35">
      <c r="B140" s="18">
        <f t="shared" si="32"/>
        <v>121</v>
      </c>
      <c r="C140" s="85">
        <f t="shared" si="34"/>
        <v>0</v>
      </c>
      <c r="D140" s="85">
        <f t="shared" si="35"/>
        <v>0</v>
      </c>
      <c r="E140" s="84">
        <f t="shared" si="36"/>
        <v>0</v>
      </c>
      <c r="F140" s="135">
        <f t="shared" si="37"/>
        <v>0</v>
      </c>
      <c r="G140" s="413">
        <f t="shared" si="25"/>
        <v>0</v>
      </c>
      <c r="H140" s="413">
        <f t="shared" si="26"/>
        <v>0</v>
      </c>
      <c r="I140" s="275">
        <f t="shared" si="38"/>
        <v>0</v>
      </c>
      <c r="J140" s="275">
        <f t="shared" si="39"/>
        <v>0</v>
      </c>
      <c r="K140" s="137">
        <f t="shared" si="27"/>
        <v>0</v>
      </c>
      <c r="L140" s="15" t="s">
        <v>0</v>
      </c>
      <c r="M140" s="88">
        <v>0</v>
      </c>
      <c r="N140" s="88">
        <v>0</v>
      </c>
      <c r="O140" s="155">
        <v>1E+16</v>
      </c>
      <c r="P140" s="68">
        <v>109575</v>
      </c>
      <c r="Q140" s="3">
        <f t="shared" si="28"/>
        <v>64601</v>
      </c>
      <c r="R140" s="107">
        <f t="shared" si="33"/>
        <v>18.66</v>
      </c>
      <c r="S140" s="105">
        <f t="shared" si="29"/>
        <v>26311205.816876858</v>
      </c>
      <c r="T140" s="341">
        <v>0</v>
      </c>
      <c r="U140" s="341">
        <v>0</v>
      </c>
      <c r="V140" s="341">
        <v>0</v>
      </c>
      <c r="W140" s="341">
        <v>0</v>
      </c>
      <c r="X140" s="281">
        <f t="shared" si="30"/>
        <v>0.02</v>
      </c>
      <c r="Y140" s="282">
        <f t="shared" si="31"/>
        <v>0.1</v>
      </c>
    </row>
    <row r="141" spans="2:25" x14ac:dyDescent="0.35">
      <c r="B141" s="18">
        <f t="shared" si="32"/>
        <v>122</v>
      </c>
      <c r="C141" s="85">
        <f t="shared" si="34"/>
        <v>0</v>
      </c>
      <c r="D141" s="85">
        <f t="shared" si="35"/>
        <v>0</v>
      </c>
      <c r="E141" s="84">
        <f t="shared" si="36"/>
        <v>0</v>
      </c>
      <c r="F141" s="135">
        <f t="shared" si="37"/>
        <v>0</v>
      </c>
      <c r="G141" s="413">
        <f t="shared" si="25"/>
        <v>0</v>
      </c>
      <c r="H141" s="413">
        <f t="shared" si="26"/>
        <v>0</v>
      </c>
      <c r="I141" s="275">
        <f t="shared" si="38"/>
        <v>0</v>
      </c>
      <c r="J141" s="275">
        <f t="shared" si="39"/>
        <v>0</v>
      </c>
      <c r="K141" s="137">
        <f t="shared" si="27"/>
        <v>0</v>
      </c>
      <c r="L141" s="15" t="s">
        <v>0</v>
      </c>
      <c r="M141" s="88">
        <v>0</v>
      </c>
      <c r="N141" s="88">
        <v>0</v>
      </c>
      <c r="O141" s="155">
        <v>1E+16</v>
      </c>
      <c r="P141" s="68">
        <v>109575</v>
      </c>
      <c r="Q141" s="3">
        <f t="shared" si="28"/>
        <v>64601</v>
      </c>
      <c r="R141" s="107">
        <f t="shared" si="33"/>
        <v>18.66</v>
      </c>
      <c r="S141" s="105">
        <f t="shared" si="29"/>
        <v>26311205.816876858</v>
      </c>
      <c r="T141" s="341">
        <v>0</v>
      </c>
      <c r="U141" s="341">
        <v>0</v>
      </c>
      <c r="V141" s="341">
        <v>0</v>
      </c>
      <c r="W141" s="341">
        <v>0</v>
      </c>
      <c r="X141" s="281">
        <f t="shared" si="30"/>
        <v>0.02</v>
      </c>
      <c r="Y141" s="282">
        <f t="shared" si="31"/>
        <v>0.1</v>
      </c>
    </row>
    <row r="142" spans="2:25" x14ac:dyDescent="0.35">
      <c r="B142" s="18">
        <f t="shared" si="32"/>
        <v>123</v>
      </c>
      <c r="C142" s="85">
        <f t="shared" si="34"/>
        <v>0</v>
      </c>
      <c r="D142" s="85">
        <f t="shared" si="35"/>
        <v>0</v>
      </c>
      <c r="E142" s="84">
        <f t="shared" si="36"/>
        <v>0</v>
      </c>
      <c r="F142" s="135">
        <f t="shared" si="37"/>
        <v>0</v>
      </c>
      <c r="G142" s="413">
        <f t="shared" si="25"/>
        <v>0</v>
      </c>
      <c r="H142" s="413">
        <f t="shared" si="26"/>
        <v>0</v>
      </c>
      <c r="I142" s="275">
        <f t="shared" si="38"/>
        <v>0</v>
      </c>
      <c r="J142" s="275">
        <f t="shared" si="39"/>
        <v>0</v>
      </c>
      <c r="K142" s="137">
        <f t="shared" si="27"/>
        <v>0</v>
      </c>
      <c r="L142" s="15" t="s">
        <v>0</v>
      </c>
      <c r="M142" s="88">
        <v>0</v>
      </c>
      <c r="N142" s="88">
        <v>0</v>
      </c>
      <c r="O142" s="155">
        <v>1E+16</v>
      </c>
      <c r="P142" s="68">
        <v>109575</v>
      </c>
      <c r="Q142" s="3">
        <f t="shared" si="28"/>
        <v>64601</v>
      </c>
      <c r="R142" s="107">
        <f t="shared" si="33"/>
        <v>18.66</v>
      </c>
      <c r="S142" s="105">
        <f t="shared" si="29"/>
        <v>26311205.816876858</v>
      </c>
      <c r="T142" s="341">
        <v>0</v>
      </c>
      <c r="U142" s="341">
        <v>0</v>
      </c>
      <c r="V142" s="341">
        <v>0</v>
      </c>
      <c r="W142" s="341">
        <v>0</v>
      </c>
      <c r="X142" s="281">
        <f t="shared" si="30"/>
        <v>0.02</v>
      </c>
      <c r="Y142" s="282">
        <f t="shared" si="31"/>
        <v>0.1</v>
      </c>
    </row>
    <row r="143" spans="2:25" x14ac:dyDescent="0.35">
      <c r="B143" s="18">
        <f t="shared" si="32"/>
        <v>124</v>
      </c>
      <c r="C143" s="85">
        <f t="shared" si="34"/>
        <v>0</v>
      </c>
      <c r="D143" s="85">
        <f t="shared" si="35"/>
        <v>0</v>
      </c>
      <c r="E143" s="84">
        <f t="shared" si="36"/>
        <v>0</v>
      </c>
      <c r="F143" s="135">
        <f t="shared" si="37"/>
        <v>0</v>
      </c>
      <c r="G143" s="413">
        <f t="shared" si="25"/>
        <v>0</v>
      </c>
      <c r="H143" s="413">
        <f t="shared" si="26"/>
        <v>0</v>
      </c>
      <c r="I143" s="275">
        <f t="shared" si="38"/>
        <v>0</v>
      </c>
      <c r="J143" s="275">
        <f t="shared" si="39"/>
        <v>0</v>
      </c>
      <c r="K143" s="137">
        <f t="shared" si="27"/>
        <v>0</v>
      </c>
      <c r="L143" s="15" t="s">
        <v>0</v>
      </c>
      <c r="M143" s="88">
        <v>0</v>
      </c>
      <c r="N143" s="88">
        <v>0</v>
      </c>
      <c r="O143" s="155">
        <v>1E+16</v>
      </c>
      <c r="P143" s="68">
        <v>109575</v>
      </c>
      <c r="Q143" s="3">
        <f t="shared" si="28"/>
        <v>64601</v>
      </c>
      <c r="R143" s="107">
        <f t="shared" si="33"/>
        <v>18.66</v>
      </c>
      <c r="S143" s="105">
        <f t="shared" si="29"/>
        <v>26311205.816876858</v>
      </c>
      <c r="T143" s="341">
        <v>0</v>
      </c>
      <c r="U143" s="341">
        <v>0</v>
      </c>
      <c r="V143" s="341">
        <v>0</v>
      </c>
      <c r="W143" s="341">
        <v>0</v>
      </c>
      <c r="X143" s="281">
        <f t="shared" si="30"/>
        <v>0.02</v>
      </c>
      <c r="Y143" s="282">
        <f t="shared" si="31"/>
        <v>0.1</v>
      </c>
    </row>
    <row r="144" spans="2:25" x14ac:dyDescent="0.35">
      <c r="B144" s="18">
        <f t="shared" si="32"/>
        <v>125</v>
      </c>
      <c r="C144" s="85">
        <f t="shared" si="34"/>
        <v>0</v>
      </c>
      <c r="D144" s="85">
        <f t="shared" si="35"/>
        <v>0</v>
      </c>
      <c r="E144" s="84">
        <f t="shared" si="36"/>
        <v>0</v>
      </c>
      <c r="F144" s="135">
        <f t="shared" si="37"/>
        <v>0</v>
      </c>
      <c r="G144" s="413">
        <f t="shared" si="25"/>
        <v>0</v>
      </c>
      <c r="H144" s="413">
        <f t="shared" si="26"/>
        <v>0</v>
      </c>
      <c r="I144" s="275">
        <f t="shared" si="38"/>
        <v>0</v>
      </c>
      <c r="J144" s="275">
        <f t="shared" si="39"/>
        <v>0</v>
      </c>
      <c r="K144" s="137">
        <f t="shared" si="27"/>
        <v>0</v>
      </c>
      <c r="L144" s="15" t="s">
        <v>0</v>
      </c>
      <c r="M144" s="88">
        <v>0</v>
      </c>
      <c r="N144" s="88">
        <v>0</v>
      </c>
      <c r="O144" s="155">
        <v>1E+16</v>
      </c>
      <c r="P144" s="68">
        <v>109575</v>
      </c>
      <c r="Q144" s="3">
        <f t="shared" si="28"/>
        <v>64601</v>
      </c>
      <c r="R144" s="107">
        <f t="shared" si="33"/>
        <v>18.66</v>
      </c>
      <c r="S144" s="105">
        <f t="shared" si="29"/>
        <v>26311205.816876858</v>
      </c>
      <c r="T144" s="341">
        <v>0</v>
      </c>
      <c r="U144" s="341">
        <v>0</v>
      </c>
      <c r="V144" s="341">
        <v>0</v>
      </c>
      <c r="W144" s="341">
        <v>0</v>
      </c>
      <c r="X144" s="281">
        <f t="shared" si="30"/>
        <v>0.02</v>
      </c>
      <c r="Y144" s="282">
        <f t="shared" si="31"/>
        <v>0.1</v>
      </c>
    </row>
    <row r="145" spans="2:25" x14ac:dyDescent="0.35">
      <c r="B145" s="18">
        <f t="shared" si="32"/>
        <v>126</v>
      </c>
      <c r="C145" s="85">
        <f t="shared" si="34"/>
        <v>0</v>
      </c>
      <c r="D145" s="85">
        <f t="shared" si="35"/>
        <v>0</v>
      </c>
      <c r="E145" s="84">
        <f t="shared" si="36"/>
        <v>0</v>
      </c>
      <c r="F145" s="135">
        <f t="shared" si="37"/>
        <v>0</v>
      </c>
      <c r="G145" s="413">
        <f t="shared" si="25"/>
        <v>0</v>
      </c>
      <c r="H145" s="413">
        <f t="shared" si="26"/>
        <v>0</v>
      </c>
      <c r="I145" s="275">
        <f t="shared" si="38"/>
        <v>0</v>
      </c>
      <c r="J145" s="275">
        <f t="shared" si="39"/>
        <v>0</v>
      </c>
      <c r="K145" s="137">
        <f t="shared" si="27"/>
        <v>0</v>
      </c>
      <c r="L145" s="15" t="s">
        <v>0</v>
      </c>
      <c r="M145" s="88">
        <v>0</v>
      </c>
      <c r="N145" s="88">
        <v>0</v>
      </c>
      <c r="O145" s="155">
        <v>1E+16</v>
      </c>
      <c r="P145" s="68">
        <v>109575</v>
      </c>
      <c r="Q145" s="3">
        <f t="shared" si="28"/>
        <v>64601</v>
      </c>
      <c r="R145" s="107">
        <f t="shared" si="33"/>
        <v>18.66</v>
      </c>
      <c r="S145" s="105">
        <f t="shared" si="29"/>
        <v>26311205.816876858</v>
      </c>
      <c r="T145" s="341">
        <v>0</v>
      </c>
      <c r="U145" s="341">
        <v>0</v>
      </c>
      <c r="V145" s="341">
        <v>0</v>
      </c>
      <c r="W145" s="341">
        <v>0</v>
      </c>
      <c r="X145" s="281">
        <f t="shared" si="30"/>
        <v>0.02</v>
      </c>
      <c r="Y145" s="282">
        <f t="shared" si="31"/>
        <v>0.1</v>
      </c>
    </row>
    <row r="146" spans="2:25" x14ac:dyDescent="0.35">
      <c r="B146" s="18">
        <f t="shared" si="32"/>
        <v>127</v>
      </c>
      <c r="C146" s="85">
        <f t="shared" si="34"/>
        <v>0</v>
      </c>
      <c r="D146" s="85">
        <f t="shared" si="35"/>
        <v>0</v>
      </c>
      <c r="E146" s="84">
        <f t="shared" si="36"/>
        <v>0</v>
      </c>
      <c r="F146" s="135">
        <f t="shared" si="37"/>
        <v>0</v>
      </c>
      <c r="G146" s="413">
        <f t="shared" si="25"/>
        <v>0</v>
      </c>
      <c r="H146" s="413">
        <f t="shared" si="26"/>
        <v>0</v>
      </c>
      <c r="I146" s="275">
        <f t="shared" si="38"/>
        <v>0</v>
      </c>
      <c r="J146" s="275">
        <f t="shared" si="39"/>
        <v>0</v>
      </c>
      <c r="K146" s="137">
        <f t="shared" si="27"/>
        <v>0</v>
      </c>
      <c r="L146" s="15" t="s">
        <v>0</v>
      </c>
      <c r="M146" s="88">
        <v>0</v>
      </c>
      <c r="N146" s="88">
        <v>0</v>
      </c>
      <c r="O146" s="155">
        <v>1E+16</v>
      </c>
      <c r="P146" s="68">
        <v>109575</v>
      </c>
      <c r="Q146" s="3">
        <f t="shared" si="28"/>
        <v>64601</v>
      </c>
      <c r="R146" s="107">
        <f t="shared" si="33"/>
        <v>18.66</v>
      </c>
      <c r="S146" s="105">
        <f t="shared" si="29"/>
        <v>26311205.816876858</v>
      </c>
      <c r="T146" s="341">
        <v>0</v>
      </c>
      <c r="U146" s="341">
        <v>0</v>
      </c>
      <c r="V146" s="341">
        <v>0</v>
      </c>
      <c r="W146" s="341">
        <v>0</v>
      </c>
      <c r="X146" s="281">
        <f t="shared" si="30"/>
        <v>0.02</v>
      </c>
      <c r="Y146" s="282">
        <f t="shared" si="31"/>
        <v>0.1</v>
      </c>
    </row>
    <row r="147" spans="2:25" x14ac:dyDescent="0.35">
      <c r="B147" s="18">
        <f t="shared" si="32"/>
        <v>128</v>
      </c>
      <c r="C147" s="85">
        <f t="shared" si="34"/>
        <v>0</v>
      </c>
      <c r="D147" s="85">
        <f t="shared" si="35"/>
        <v>0</v>
      </c>
      <c r="E147" s="84">
        <f t="shared" si="36"/>
        <v>0</v>
      </c>
      <c r="F147" s="135">
        <f t="shared" si="37"/>
        <v>0</v>
      </c>
      <c r="G147" s="413">
        <f t="shared" si="25"/>
        <v>0</v>
      </c>
      <c r="H147" s="413">
        <f t="shared" si="26"/>
        <v>0</v>
      </c>
      <c r="I147" s="275">
        <f t="shared" si="38"/>
        <v>0</v>
      </c>
      <c r="J147" s="275">
        <f t="shared" si="39"/>
        <v>0</v>
      </c>
      <c r="K147" s="137">
        <f t="shared" si="27"/>
        <v>0</v>
      </c>
      <c r="L147" s="15" t="s">
        <v>0</v>
      </c>
      <c r="M147" s="88">
        <v>0</v>
      </c>
      <c r="N147" s="88">
        <v>0</v>
      </c>
      <c r="O147" s="155">
        <v>1E+16</v>
      </c>
      <c r="P147" s="68">
        <v>109575</v>
      </c>
      <c r="Q147" s="3">
        <f t="shared" si="28"/>
        <v>64601</v>
      </c>
      <c r="R147" s="107">
        <f t="shared" si="33"/>
        <v>18.66</v>
      </c>
      <c r="S147" s="105">
        <f t="shared" si="29"/>
        <v>26311205.816876858</v>
      </c>
      <c r="T147" s="341">
        <v>0</v>
      </c>
      <c r="U147" s="341">
        <v>0</v>
      </c>
      <c r="V147" s="341">
        <v>0</v>
      </c>
      <c r="W147" s="341">
        <v>0</v>
      </c>
      <c r="X147" s="281">
        <f t="shared" si="30"/>
        <v>0.02</v>
      </c>
      <c r="Y147" s="282">
        <f t="shared" si="31"/>
        <v>0.1</v>
      </c>
    </row>
    <row r="148" spans="2:25" x14ac:dyDescent="0.35">
      <c r="B148" s="18">
        <f t="shared" si="32"/>
        <v>129</v>
      </c>
      <c r="C148" s="85">
        <f t="shared" si="34"/>
        <v>0</v>
      </c>
      <c r="D148" s="85">
        <f t="shared" si="35"/>
        <v>0</v>
      </c>
      <c r="E148" s="84">
        <f t="shared" si="36"/>
        <v>0</v>
      </c>
      <c r="F148" s="135">
        <f t="shared" si="37"/>
        <v>0</v>
      </c>
      <c r="G148" s="413">
        <f t="shared" ref="G148:G211" si="40">BSGamma(L148,1/S148,1/O148,Q148,X148,Y148,T148)*N148</f>
        <v>0</v>
      </c>
      <c r="H148" s="413">
        <f t="shared" ref="H148:H211" si="41">BSVega(L148,1/S148,1/O148,Q148,X148,Y148,T148)*N148*1000000</f>
        <v>0</v>
      </c>
      <c r="I148" s="275">
        <f t="shared" si="38"/>
        <v>0</v>
      </c>
      <c r="J148" s="275">
        <f t="shared" si="39"/>
        <v>0</v>
      </c>
      <c r="K148" s="137">
        <f t="shared" ref="K148:K211" si="42">(E148-N148*EXP(-($I$10-$I$11)*1/365)*BSPrice(L148,1/(S148*EXP(-($I$10-$I$11)*1/365)),1/O148,Q148+1,X148,Y148,T148)*1000000)*(1)</f>
        <v>0</v>
      </c>
      <c r="L148" s="15" t="s">
        <v>0</v>
      </c>
      <c r="M148" s="88">
        <v>0</v>
      </c>
      <c r="N148" s="88">
        <v>0</v>
      </c>
      <c r="O148" s="155">
        <v>1E+16</v>
      </c>
      <c r="P148" s="68">
        <v>109575</v>
      </c>
      <c r="Q148" s="3">
        <f t="shared" ref="Q148:Q211" si="43">(P148-$H$2)</f>
        <v>64601</v>
      </c>
      <c r="R148" s="107">
        <f t="shared" si="33"/>
        <v>18.66</v>
      </c>
      <c r="S148" s="105">
        <f t="shared" ref="S148:S211" si="44">IF(L148="D",1,R148*EXP(-($I$10-$I$11)*Q148/365))</f>
        <v>26311205.816876858</v>
      </c>
      <c r="T148" s="341">
        <v>0</v>
      </c>
      <c r="U148" s="341">
        <v>0</v>
      </c>
      <c r="V148" s="341">
        <v>0</v>
      </c>
      <c r="W148" s="341">
        <v>0</v>
      </c>
      <c r="X148" s="281">
        <f t="shared" ref="X148:X211" si="45">$I$10</f>
        <v>0.02</v>
      </c>
      <c r="Y148" s="282">
        <f t="shared" si="31"/>
        <v>0.1</v>
      </c>
    </row>
    <row r="149" spans="2:25" x14ac:dyDescent="0.35">
      <c r="B149" s="18">
        <f t="shared" si="32"/>
        <v>130</v>
      </c>
      <c r="C149" s="85">
        <f t="shared" si="34"/>
        <v>0</v>
      </c>
      <c r="D149" s="85">
        <f t="shared" si="35"/>
        <v>0</v>
      </c>
      <c r="E149" s="84">
        <f t="shared" si="36"/>
        <v>0</v>
      </c>
      <c r="F149" s="135">
        <f t="shared" si="37"/>
        <v>0</v>
      </c>
      <c r="G149" s="413">
        <f t="shared" si="40"/>
        <v>0</v>
      </c>
      <c r="H149" s="413">
        <f t="shared" si="41"/>
        <v>0</v>
      </c>
      <c r="I149" s="275">
        <f t="shared" si="38"/>
        <v>0</v>
      </c>
      <c r="J149" s="275">
        <f t="shared" si="39"/>
        <v>0</v>
      </c>
      <c r="K149" s="137">
        <f t="shared" si="42"/>
        <v>0</v>
      </c>
      <c r="L149" s="15" t="s">
        <v>0</v>
      </c>
      <c r="M149" s="88">
        <v>0</v>
      </c>
      <c r="N149" s="88">
        <v>0</v>
      </c>
      <c r="O149" s="155">
        <v>1E+16</v>
      </c>
      <c r="P149" s="68">
        <v>109575</v>
      </c>
      <c r="Q149" s="3">
        <f t="shared" si="43"/>
        <v>64601</v>
      </c>
      <c r="R149" s="107">
        <f t="shared" si="33"/>
        <v>18.66</v>
      </c>
      <c r="S149" s="105">
        <f t="shared" si="44"/>
        <v>26311205.816876858</v>
      </c>
      <c r="T149" s="341">
        <v>0</v>
      </c>
      <c r="U149" s="341">
        <v>0</v>
      </c>
      <c r="V149" s="341">
        <v>0</v>
      </c>
      <c r="W149" s="341">
        <v>0</v>
      </c>
      <c r="X149" s="281">
        <f t="shared" si="45"/>
        <v>0.02</v>
      </c>
      <c r="Y149" s="282">
        <f t="shared" si="31"/>
        <v>0.1</v>
      </c>
    </row>
    <row r="150" spans="2:25" x14ac:dyDescent="0.35">
      <c r="B150" s="18">
        <f t="shared" si="32"/>
        <v>131</v>
      </c>
      <c r="C150" s="85">
        <f t="shared" si="34"/>
        <v>0</v>
      </c>
      <c r="D150" s="85">
        <f t="shared" si="35"/>
        <v>0</v>
      </c>
      <c r="E150" s="84">
        <f t="shared" si="36"/>
        <v>0</v>
      </c>
      <c r="F150" s="135">
        <f t="shared" si="37"/>
        <v>0</v>
      </c>
      <c r="G150" s="413">
        <f t="shared" si="40"/>
        <v>0</v>
      </c>
      <c r="H150" s="413">
        <f t="shared" si="41"/>
        <v>0</v>
      </c>
      <c r="I150" s="275">
        <f t="shared" si="38"/>
        <v>0</v>
      </c>
      <c r="J150" s="275">
        <f t="shared" si="39"/>
        <v>0</v>
      </c>
      <c r="K150" s="137">
        <f t="shared" si="42"/>
        <v>0</v>
      </c>
      <c r="L150" s="15" t="s">
        <v>0</v>
      </c>
      <c r="M150" s="88">
        <v>0</v>
      </c>
      <c r="N150" s="88">
        <v>0</v>
      </c>
      <c r="O150" s="155">
        <v>1E+16</v>
      </c>
      <c r="P150" s="68">
        <v>109575</v>
      </c>
      <c r="Q150" s="3">
        <f t="shared" si="43"/>
        <v>64601</v>
      </c>
      <c r="R150" s="107">
        <f t="shared" si="33"/>
        <v>18.66</v>
      </c>
      <c r="S150" s="105">
        <f t="shared" si="44"/>
        <v>26311205.816876858</v>
      </c>
      <c r="T150" s="341">
        <v>0</v>
      </c>
      <c r="U150" s="341">
        <v>0</v>
      </c>
      <c r="V150" s="341">
        <v>0</v>
      </c>
      <c r="W150" s="341">
        <v>0</v>
      </c>
      <c r="X150" s="281">
        <f t="shared" si="45"/>
        <v>0.02</v>
      </c>
      <c r="Y150" s="282">
        <f t="shared" ref="Y150:Y213" si="46">Y149</f>
        <v>0.1</v>
      </c>
    </row>
    <row r="151" spans="2:25" x14ac:dyDescent="0.35">
      <c r="B151" s="18">
        <f t="shared" ref="B151:B214" si="47">B150+1</f>
        <v>132</v>
      </c>
      <c r="C151" s="85">
        <f t="shared" si="34"/>
        <v>0</v>
      </c>
      <c r="D151" s="85">
        <f t="shared" si="35"/>
        <v>0</v>
      </c>
      <c r="E151" s="84">
        <f t="shared" si="36"/>
        <v>0</v>
      </c>
      <c r="F151" s="135">
        <f t="shared" si="37"/>
        <v>0</v>
      </c>
      <c r="G151" s="413">
        <f t="shared" si="40"/>
        <v>0</v>
      </c>
      <c r="H151" s="413">
        <f t="shared" si="41"/>
        <v>0</v>
      </c>
      <c r="I151" s="275">
        <f t="shared" si="38"/>
        <v>0</v>
      </c>
      <c r="J151" s="275">
        <f t="shared" si="39"/>
        <v>0</v>
      </c>
      <c r="K151" s="137">
        <f t="shared" si="42"/>
        <v>0</v>
      </c>
      <c r="L151" s="15" t="s">
        <v>0</v>
      </c>
      <c r="M151" s="88">
        <v>0</v>
      </c>
      <c r="N151" s="88">
        <v>0</v>
      </c>
      <c r="O151" s="155">
        <v>1E+16</v>
      </c>
      <c r="P151" s="68">
        <v>109575</v>
      </c>
      <c r="Q151" s="3">
        <f t="shared" si="43"/>
        <v>64601</v>
      </c>
      <c r="R151" s="107">
        <f t="shared" si="33"/>
        <v>18.66</v>
      </c>
      <c r="S151" s="105">
        <f t="shared" si="44"/>
        <v>26311205.816876858</v>
      </c>
      <c r="T151" s="341">
        <v>0</v>
      </c>
      <c r="U151" s="341">
        <v>0</v>
      </c>
      <c r="V151" s="341">
        <v>0</v>
      </c>
      <c r="W151" s="341">
        <v>0</v>
      </c>
      <c r="X151" s="281">
        <f t="shared" si="45"/>
        <v>0.02</v>
      </c>
      <c r="Y151" s="282">
        <f t="shared" si="46"/>
        <v>0.1</v>
      </c>
    </row>
    <row r="152" spans="2:25" x14ac:dyDescent="0.35">
      <c r="B152" s="18">
        <f t="shared" si="47"/>
        <v>133</v>
      </c>
      <c r="C152" s="85">
        <f t="shared" si="34"/>
        <v>0</v>
      </c>
      <c r="D152" s="85">
        <f t="shared" si="35"/>
        <v>0</v>
      </c>
      <c r="E152" s="84">
        <f t="shared" si="36"/>
        <v>0</v>
      </c>
      <c r="F152" s="135">
        <f t="shared" si="37"/>
        <v>0</v>
      </c>
      <c r="G152" s="413">
        <f t="shared" si="40"/>
        <v>0</v>
      </c>
      <c r="H152" s="413">
        <f t="shared" si="41"/>
        <v>0</v>
      </c>
      <c r="I152" s="275">
        <f t="shared" si="38"/>
        <v>0</v>
      </c>
      <c r="J152" s="275">
        <f t="shared" si="39"/>
        <v>0</v>
      </c>
      <c r="K152" s="137">
        <f t="shared" si="42"/>
        <v>0</v>
      </c>
      <c r="L152" s="15" t="s">
        <v>0</v>
      </c>
      <c r="M152" s="88">
        <v>0</v>
      </c>
      <c r="N152" s="88">
        <v>0</v>
      </c>
      <c r="O152" s="155">
        <v>1E+16</v>
      </c>
      <c r="P152" s="68">
        <v>109575</v>
      </c>
      <c r="Q152" s="3">
        <f t="shared" si="43"/>
        <v>64601</v>
      </c>
      <c r="R152" s="107">
        <f t="shared" si="33"/>
        <v>18.66</v>
      </c>
      <c r="S152" s="105">
        <f t="shared" si="44"/>
        <v>26311205.816876858</v>
      </c>
      <c r="T152" s="341">
        <v>0</v>
      </c>
      <c r="U152" s="341">
        <v>0</v>
      </c>
      <c r="V152" s="341">
        <v>0</v>
      </c>
      <c r="W152" s="341">
        <v>0</v>
      </c>
      <c r="X152" s="281">
        <f t="shared" si="45"/>
        <v>0.02</v>
      </c>
      <c r="Y152" s="282">
        <f t="shared" si="46"/>
        <v>0.1</v>
      </c>
    </row>
    <row r="153" spans="2:25" x14ac:dyDescent="0.35">
      <c r="B153" s="18">
        <f t="shared" si="47"/>
        <v>134</v>
      </c>
      <c r="C153" s="85">
        <f t="shared" si="34"/>
        <v>0</v>
      </c>
      <c r="D153" s="85">
        <f t="shared" si="35"/>
        <v>0</v>
      </c>
      <c r="E153" s="84">
        <f t="shared" si="36"/>
        <v>0</v>
      </c>
      <c r="F153" s="135">
        <f t="shared" si="37"/>
        <v>0</v>
      </c>
      <c r="G153" s="413">
        <f t="shared" si="40"/>
        <v>0</v>
      </c>
      <c r="H153" s="413">
        <f t="shared" si="41"/>
        <v>0</v>
      </c>
      <c r="I153" s="275">
        <f t="shared" si="38"/>
        <v>0</v>
      </c>
      <c r="J153" s="275">
        <f t="shared" si="39"/>
        <v>0</v>
      </c>
      <c r="K153" s="137">
        <f t="shared" si="42"/>
        <v>0</v>
      </c>
      <c r="L153" s="15" t="s">
        <v>0</v>
      </c>
      <c r="M153" s="88">
        <v>0</v>
      </c>
      <c r="N153" s="88">
        <v>0</v>
      </c>
      <c r="O153" s="155">
        <v>1E+16</v>
      </c>
      <c r="P153" s="68">
        <v>109575</v>
      </c>
      <c r="Q153" s="3">
        <f t="shared" si="43"/>
        <v>64601</v>
      </c>
      <c r="R153" s="107">
        <f t="shared" ref="R153:R216" si="48">IF(L153="D",1,$I$6)</f>
        <v>18.66</v>
      </c>
      <c r="S153" s="105">
        <f t="shared" si="44"/>
        <v>26311205.816876858</v>
      </c>
      <c r="T153" s="341">
        <v>0</v>
      </c>
      <c r="U153" s="341">
        <v>0</v>
      </c>
      <c r="V153" s="341">
        <v>0</v>
      </c>
      <c r="W153" s="341">
        <v>0</v>
      </c>
      <c r="X153" s="281">
        <f t="shared" si="45"/>
        <v>0.02</v>
      </c>
      <c r="Y153" s="282">
        <f t="shared" si="46"/>
        <v>0.1</v>
      </c>
    </row>
    <row r="154" spans="2:25" x14ac:dyDescent="0.35">
      <c r="B154" s="18">
        <f t="shared" si="47"/>
        <v>135</v>
      </c>
      <c r="C154" s="85">
        <f t="shared" si="34"/>
        <v>0</v>
      </c>
      <c r="D154" s="85">
        <f t="shared" si="35"/>
        <v>0</v>
      </c>
      <c r="E154" s="84">
        <f t="shared" si="36"/>
        <v>0</v>
      </c>
      <c r="F154" s="135">
        <f t="shared" si="37"/>
        <v>0</v>
      </c>
      <c r="G154" s="413">
        <f t="shared" si="40"/>
        <v>0</v>
      </c>
      <c r="H154" s="413">
        <f t="shared" si="41"/>
        <v>0</v>
      </c>
      <c r="I154" s="275">
        <f t="shared" si="38"/>
        <v>0</v>
      </c>
      <c r="J154" s="275">
        <f t="shared" si="39"/>
        <v>0</v>
      </c>
      <c r="K154" s="137">
        <f t="shared" si="42"/>
        <v>0</v>
      </c>
      <c r="L154" s="15" t="s">
        <v>0</v>
      </c>
      <c r="M154" s="88">
        <v>0</v>
      </c>
      <c r="N154" s="88">
        <v>0</v>
      </c>
      <c r="O154" s="155">
        <v>1E+16</v>
      </c>
      <c r="P154" s="68">
        <v>109575</v>
      </c>
      <c r="Q154" s="3">
        <f t="shared" si="43"/>
        <v>64601</v>
      </c>
      <c r="R154" s="107">
        <f t="shared" si="48"/>
        <v>18.66</v>
      </c>
      <c r="S154" s="105">
        <f t="shared" si="44"/>
        <v>26311205.816876858</v>
      </c>
      <c r="T154" s="341">
        <v>0</v>
      </c>
      <c r="U154" s="341">
        <v>0</v>
      </c>
      <c r="V154" s="341">
        <v>0</v>
      </c>
      <c r="W154" s="341">
        <v>0</v>
      </c>
      <c r="X154" s="281">
        <f t="shared" si="45"/>
        <v>0.02</v>
      </c>
      <c r="Y154" s="282">
        <f t="shared" si="46"/>
        <v>0.1</v>
      </c>
    </row>
    <row r="155" spans="2:25" x14ac:dyDescent="0.35">
      <c r="B155" s="18">
        <f t="shared" si="47"/>
        <v>136</v>
      </c>
      <c r="C155" s="85">
        <f t="shared" si="34"/>
        <v>0</v>
      </c>
      <c r="D155" s="85">
        <f t="shared" si="35"/>
        <v>0</v>
      </c>
      <c r="E155" s="84">
        <f t="shared" si="36"/>
        <v>0</v>
      </c>
      <c r="F155" s="135">
        <f t="shared" si="37"/>
        <v>0</v>
      </c>
      <c r="G155" s="413">
        <f t="shared" si="40"/>
        <v>0</v>
      </c>
      <c r="H155" s="413">
        <f t="shared" si="41"/>
        <v>0</v>
      </c>
      <c r="I155" s="275">
        <f t="shared" si="38"/>
        <v>0</v>
      </c>
      <c r="J155" s="275">
        <f t="shared" si="39"/>
        <v>0</v>
      </c>
      <c r="K155" s="137">
        <f t="shared" si="42"/>
        <v>0</v>
      </c>
      <c r="L155" s="15" t="s">
        <v>0</v>
      </c>
      <c r="M155" s="88">
        <v>0</v>
      </c>
      <c r="N155" s="88">
        <v>0</v>
      </c>
      <c r="O155" s="155">
        <v>1E+16</v>
      </c>
      <c r="P155" s="68">
        <v>109575</v>
      </c>
      <c r="Q155" s="3">
        <f t="shared" si="43"/>
        <v>64601</v>
      </c>
      <c r="R155" s="107">
        <f t="shared" si="48"/>
        <v>18.66</v>
      </c>
      <c r="S155" s="105">
        <f t="shared" si="44"/>
        <v>26311205.816876858</v>
      </c>
      <c r="T155" s="341">
        <v>0</v>
      </c>
      <c r="U155" s="341">
        <v>0</v>
      </c>
      <c r="V155" s="341">
        <v>0</v>
      </c>
      <c r="W155" s="341">
        <v>0</v>
      </c>
      <c r="X155" s="281">
        <f t="shared" si="45"/>
        <v>0.02</v>
      </c>
      <c r="Y155" s="282">
        <f t="shared" si="46"/>
        <v>0.1</v>
      </c>
    </row>
    <row r="156" spans="2:25" x14ac:dyDescent="0.35">
      <c r="B156" s="18">
        <f t="shared" si="47"/>
        <v>137</v>
      </c>
      <c r="C156" s="85">
        <f t="shared" si="34"/>
        <v>0</v>
      </c>
      <c r="D156" s="85">
        <f t="shared" si="35"/>
        <v>0</v>
      </c>
      <c r="E156" s="84">
        <f t="shared" si="36"/>
        <v>0</v>
      </c>
      <c r="F156" s="135">
        <f t="shared" si="37"/>
        <v>0</v>
      </c>
      <c r="G156" s="413">
        <f t="shared" si="40"/>
        <v>0</v>
      </c>
      <c r="H156" s="413">
        <f t="shared" si="41"/>
        <v>0</v>
      </c>
      <c r="I156" s="275">
        <f t="shared" si="38"/>
        <v>0</v>
      </c>
      <c r="J156" s="275">
        <f t="shared" si="39"/>
        <v>0</v>
      </c>
      <c r="K156" s="137">
        <f t="shared" si="42"/>
        <v>0</v>
      </c>
      <c r="L156" s="15" t="s">
        <v>0</v>
      </c>
      <c r="M156" s="88">
        <v>0</v>
      </c>
      <c r="N156" s="88">
        <v>0</v>
      </c>
      <c r="O156" s="155">
        <v>1E+16</v>
      </c>
      <c r="P156" s="68">
        <v>109575</v>
      </c>
      <c r="Q156" s="3">
        <f t="shared" si="43"/>
        <v>64601</v>
      </c>
      <c r="R156" s="107">
        <f t="shared" si="48"/>
        <v>18.66</v>
      </c>
      <c r="S156" s="105">
        <f t="shared" si="44"/>
        <v>26311205.816876858</v>
      </c>
      <c r="T156" s="341">
        <v>0</v>
      </c>
      <c r="U156" s="341">
        <v>0</v>
      </c>
      <c r="V156" s="341">
        <v>0</v>
      </c>
      <c r="W156" s="341">
        <v>0</v>
      </c>
      <c r="X156" s="281">
        <f t="shared" si="45"/>
        <v>0.02</v>
      </c>
      <c r="Y156" s="282">
        <f t="shared" si="46"/>
        <v>0.1</v>
      </c>
    </row>
    <row r="157" spans="2:25" x14ac:dyDescent="0.35">
      <c r="B157" s="18">
        <f t="shared" si="47"/>
        <v>138</v>
      </c>
      <c r="C157" s="85">
        <f t="shared" si="34"/>
        <v>0</v>
      </c>
      <c r="D157" s="85">
        <f t="shared" si="35"/>
        <v>0</v>
      </c>
      <c r="E157" s="84">
        <f t="shared" si="36"/>
        <v>0</v>
      </c>
      <c r="F157" s="135">
        <f t="shared" si="37"/>
        <v>0</v>
      </c>
      <c r="G157" s="413">
        <f t="shared" si="40"/>
        <v>0</v>
      </c>
      <c r="H157" s="413">
        <f t="shared" si="41"/>
        <v>0</v>
      </c>
      <c r="I157" s="275">
        <f t="shared" si="38"/>
        <v>0</v>
      </c>
      <c r="J157" s="275">
        <f t="shared" si="39"/>
        <v>0</v>
      </c>
      <c r="K157" s="137">
        <f t="shared" si="42"/>
        <v>0</v>
      </c>
      <c r="L157" s="15" t="s">
        <v>0</v>
      </c>
      <c r="M157" s="88">
        <v>0</v>
      </c>
      <c r="N157" s="88">
        <v>0</v>
      </c>
      <c r="O157" s="155">
        <v>1E+16</v>
      </c>
      <c r="P157" s="68">
        <v>109575</v>
      </c>
      <c r="Q157" s="3">
        <f t="shared" si="43"/>
        <v>64601</v>
      </c>
      <c r="R157" s="107">
        <f t="shared" si="48"/>
        <v>18.66</v>
      </c>
      <c r="S157" s="105">
        <f t="shared" si="44"/>
        <v>26311205.816876858</v>
      </c>
      <c r="T157" s="341">
        <v>0</v>
      </c>
      <c r="U157" s="341">
        <v>0</v>
      </c>
      <c r="V157" s="341">
        <v>0</v>
      </c>
      <c r="W157" s="341">
        <v>0</v>
      </c>
      <c r="X157" s="281">
        <f t="shared" si="45"/>
        <v>0.02</v>
      </c>
      <c r="Y157" s="282">
        <f t="shared" si="46"/>
        <v>0.1</v>
      </c>
    </row>
    <row r="158" spans="2:25" x14ac:dyDescent="0.35">
      <c r="B158" s="18">
        <f t="shared" si="47"/>
        <v>139</v>
      </c>
      <c r="C158" s="85">
        <f t="shared" ref="C158:C221" si="49">AI158</f>
        <v>0</v>
      </c>
      <c r="D158" s="85">
        <f t="shared" ref="D158:D221" si="50">E158</f>
        <v>0</v>
      </c>
      <c r="E158" s="84">
        <f t="shared" ref="E158:E221" si="51">N158*BSPrice(L158,1/S158,1/O158,Q158,X158,Y158,T158)*1000000</f>
        <v>0</v>
      </c>
      <c r="F158" s="135">
        <f t="shared" ref="F158:F221" si="52">N158*BSDelta(L158,1/S158,1/O158,Q158,X158,Y158,T158)</f>
        <v>0</v>
      </c>
      <c r="G158" s="413">
        <f t="shared" si="40"/>
        <v>0</v>
      </c>
      <c r="H158" s="413">
        <f t="shared" si="41"/>
        <v>0</v>
      </c>
      <c r="I158" s="275">
        <f t="shared" ref="I158:I221" si="53">N158*BSDailyRhoUSD(L158,1/S158,1/O158,Q158,X158,Y158,T158)*1000000</f>
        <v>0</v>
      </c>
      <c r="J158" s="275">
        <f t="shared" ref="J158:J221" si="54">N158*BSDailyRhoExt(L158,1/S158,1/O158,Q158,X158,Y158,T158)*1000000</f>
        <v>0</v>
      </c>
      <c r="K158" s="137">
        <f t="shared" si="42"/>
        <v>0</v>
      </c>
      <c r="L158" s="15" t="s">
        <v>0</v>
      </c>
      <c r="M158" s="88">
        <v>0</v>
      </c>
      <c r="N158" s="88">
        <v>0</v>
      </c>
      <c r="O158" s="155">
        <v>1E+16</v>
      </c>
      <c r="P158" s="68">
        <v>109575</v>
      </c>
      <c r="Q158" s="3">
        <f t="shared" si="43"/>
        <v>64601</v>
      </c>
      <c r="R158" s="107">
        <f t="shared" si="48"/>
        <v>18.66</v>
      </c>
      <c r="S158" s="105">
        <f t="shared" si="44"/>
        <v>26311205.816876858</v>
      </c>
      <c r="T158" s="341">
        <v>0</v>
      </c>
      <c r="U158" s="341">
        <v>0</v>
      </c>
      <c r="V158" s="341">
        <v>0</v>
      </c>
      <c r="W158" s="341">
        <v>0</v>
      </c>
      <c r="X158" s="281">
        <f t="shared" si="45"/>
        <v>0.02</v>
      </c>
      <c r="Y158" s="282">
        <f t="shared" si="46"/>
        <v>0.1</v>
      </c>
    </row>
    <row r="159" spans="2:25" x14ac:dyDescent="0.35">
      <c r="B159" s="18">
        <f t="shared" si="47"/>
        <v>140</v>
      </c>
      <c r="C159" s="85">
        <f t="shared" si="49"/>
        <v>0</v>
      </c>
      <c r="D159" s="85">
        <f t="shared" si="50"/>
        <v>0</v>
      </c>
      <c r="E159" s="84">
        <f t="shared" si="51"/>
        <v>0</v>
      </c>
      <c r="F159" s="135">
        <f t="shared" si="52"/>
        <v>0</v>
      </c>
      <c r="G159" s="413">
        <f t="shared" si="40"/>
        <v>0</v>
      </c>
      <c r="H159" s="413">
        <f t="shared" si="41"/>
        <v>0</v>
      </c>
      <c r="I159" s="275">
        <f t="shared" si="53"/>
        <v>0</v>
      </c>
      <c r="J159" s="275">
        <f t="shared" si="54"/>
        <v>0</v>
      </c>
      <c r="K159" s="137">
        <f t="shared" si="42"/>
        <v>0</v>
      </c>
      <c r="L159" s="15" t="s">
        <v>0</v>
      </c>
      <c r="M159" s="88">
        <v>0</v>
      </c>
      <c r="N159" s="88">
        <v>0</v>
      </c>
      <c r="O159" s="155">
        <v>1E+16</v>
      </c>
      <c r="P159" s="68">
        <v>109575</v>
      </c>
      <c r="Q159" s="3">
        <f t="shared" si="43"/>
        <v>64601</v>
      </c>
      <c r="R159" s="107">
        <f t="shared" si="48"/>
        <v>18.66</v>
      </c>
      <c r="S159" s="105">
        <f t="shared" si="44"/>
        <v>26311205.816876858</v>
      </c>
      <c r="T159" s="341">
        <v>0</v>
      </c>
      <c r="U159" s="341">
        <v>0</v>
      </c>
      <c r="V159" s="341">
        <v>0</v>
      </c>
      <c r="W159" s="341">
        <v>0</v>
      </c>
      <c r="X159" s="281">
        <f t="shared" si="45"/>
        <v>0.02</v>
      </c>
      <c r="Y159" s="282">
        <f t="shared" si="46"/>
        <v>0.1</v>
      </c>
    </row>
    <row r="160" spans="2:25" x14ac:dyDescent="0.35">
      <c r="B160" s="18">
        <f t="shared" si="47"/>
        <v>141</v>
      </c>
      <c r="C160" s="85">
        <f t="shared" si="49"/>
        <v>0</v>
      </c>
      <c r="D160" s="85">
        <f t="shared" si="50"/>
        <v>0</v>
      </c>
      <c r="E160" s="84">
        <f t="shared" si="51"/>
        <v>0</v>
      </c>
      <c r="F160" s="135">
        <f t="shared" si="52"/>
        <v>0</v>
      </c>
      <c r="G160" s="413">
        <f t="shared" si="40"/>
        <v>0</v>
      </c>
      <c r="H160" s="413">
        <f t="shared" si="41"/>
        <v>0</v>
      </c>
      <c r="I160" s="275">
        <f t="shared" si="53"/>
        <v>0</v>
      </c>
      <c r="J160" s="275">
        <f t="shared" si="54"/>
        <v>0</v>
      </c>
      <c r="K160" s="137">
        <f t="shared" si="42"/>
        <v>0</v>
      </c>
      <c r="L160" s="15" t="s">
        <v>0</v>
      </c>
      <c r="M160" s="88">
        <v>0</v>
      </c>
      <c r="N160" s="88">
        <v>0</v>
      </c>
      <c r="O160" s="155">
        <v>1E+16</v>
      </c>
      <c r="P160" s="68">
        <v>109575</v>
      </c>
      <c r="Q160" s="3">
        <f t="shared" si="43"/>
        <v>64601</v>
      </c>
      <c r="R160" s="107">
        <f t="shared" si="48"/>
        <v>18.66</v>
      </c>
      <c r="S160" s="105">
        <f t="shared" si="44"/>
        <v>26311205.816876858</v>
      </c>
      <c r="T160" s="341">
        <v>0</v>
      </c>
      <c r="U160" s="341">
        <v>0</v>
      </c>
      <c r="V160" s="341">
        <v>0</v>
      </c>
      <c r="W160" s="341">
        <v>0</v>
      </c>
      <c r="X160" s="281">
        <f t="shared" si="45"/>
        <v>0.02</v>
      </c>
      <c r="Y160" s="282">
        <f t="shared" si="46"/>
        <v>0.1</v>
      </c>
    </row>
    <row r="161" spans="2:25" x14ac:dyDescent="0.35">
      <c r="B161" s="18">
        <f t="shared" si="47"/>
        <v>142</v>
      </c>
      <c r="C161" s="85">
        <f t="shared" si="49"/>
        <v>0</v>
      </c>
      <c r="D161" s="85">
        <f t="shared" si="50"/>
        <v>0</v>
      </c>
      <c r="E161" s="84">
        <f t="shared" si="51"/>
        <v>0</v>
      </c>
      <c r="F161" s="135">
        <f t="shared" si="52"/>
        <v>0</v>
      </c>
      <c r="G161" s="413">
        <f t="shared" si="40"/>
        <v>0</v>
      </c>
      <c r="H161" s="413">
        <f t="shared" si="41"/>
        <v>0</v>
      </c>
      <c r="I161" s="275">
        <f t="shared" si="53"/>
        <v>0</v>
      </c>
      <c r="J161" s="275">
        <f t="shared" si="54"/>
        <v>0</v>
      </c>
      <c r="K161" s="137">
        <f t="shared" si="42"/>
        <v>0</v>
      </c>
      <c r="L161" s="15" t="s">
        <v>0</v>
      </c>
      <c r="M161" s="88">
        <v>0</v>
      </c>
      <c r="N161" s="88">
        <v>0</v>
      </c>
      <c r="O161" s="155">
        <v>1E+16</v>
      </c>
      <c r="P161" s="68">
        <v>109575</v>
      </c>
      <c r="Q161" s="3">
        <f t="shared" si="43"/>
        <v>64601</v>
      </c>
      <c r="R161" s="107">
        <f t="shared" si="48"/>
        <v>18.66</v>
      </c>
      <c r="S161" s="105">
        <f t="shared" si="44"/>
        <v>26311205.816876858</v>
      </c>
      <c r="T161" s="341">
        <v>0</v>
      </c>
      <c r="U161" s="341">
        <v>0</v>
      </c>
      <c r="V161" s="341">
        <v>0</v>
      </c>
      <c r="W161" s="341">
        <v>0</v>
      </c>
      <c r="X161" s="281">
        <f t="shared" si="45"/>
        <v>0.02</v>
      </c>
      <c r="Y161" s="282">
        <f t="shared" si="46"/>
        <v>0.1</v>
      </c>
    </row>
    <row r="162" spans="2:25" x14ac:dyDescent="0.35">
      <c r="B162" s="18">
        <f t="shared" si="47"/>
        <v>143</v>
      </c>
      <c r="C162" s="85">
        <f t="shared" si="49"/>
        <v>0</v>
      </c>
      <c r="D162" s="85">
        <f t="shared" si="50"/>
        <v>0</v>
      </c>
      <c r="E162" s="84">
        <f t="shared" si="51"/>
        <v>0</v>
      </c>
      <c r="F162" s="135">
        <f t="shared" si="52"/>
        <v>0</v>
      </c>
      <c r="G162" s="413">
        <f t="shared" si="40"/>
        <v>0</v>
      </c>
      <c r="H162" s="413">
        <f t="shared" si="41"/>
        <v>0</v>
      </c>
      <c r="I162" s="275">
        <f t="shared" si="53"/>
        <v>0</v>
      </c>
      <c r="J162" s="275">
        <f t="shared" si="54"/>
        <v>0</v>
      </c>
      <c r="K162" s="137">
        <f t="shared" si="42"/>
        <v>0</v>
      </c>
      <c r="L162" s="15" t="s">
        <v>0</v>
      </c>
      <c r="M162" s="88">
        <v>0</v>
      </c>
      <c r="N162" s="88">
        <v>0</v>
      </c>
      <c r="O162" s="155">
        <v>1E+16</v>
      </c>
      <c r="P162" s="68">
        <v>109575</v>
      </c>
      <c r="Q162" s="3">
        <f t="shared" si="43"/>
        <v>64601</v>
      </c>
      <c r="R162" s="107">
        <f t="shared" si="48"/>
        <v>18.66</v>
      </c>
      <c r="S162" s="105">
        <f t="shared" si="44"/>
        <v>26311205.816876858</v>
      </c>
      <c r="T162" s="341">
        <v>0</v>
      </c>
      <c r="U162" s="341">
        <v>0</v>
      </c>
      <c r="V162" s="341">
        <v>0</v>
      </c>
      <c r="W162" s="341">
        <v>0</v>
      </c>
      <c r="X162" s="281">
        <f t="shared" si="45"/>
        <v>0.02</v>
      </c>
      <c r="Y162" s="282">
        <f t="shared" si="46"/>
        <v>0.1</v>
      </c>
    </row>
    <row r="163" spans="2:25" x14ac:dyDescent="0.35">
      <c r="B163" s="18">
        <f t="shared" si="47"/>
        <v>144</v>
      </c>
      <c r="C163" s="85">
        <f t="shared" si="49"/>
        <v>0</v>
      </c>
      <c r="D163" s="85">
        <f t="shared" si="50"/>
        <v>0</v>
      </c>
      <c r="E163" s="84">
        <f t="shared" si="51"/>
        <v>0</v>
      </c>
      <c r="F163" s="135">
        <f t="shared" si="52"/>
        <v>0</v>
      </c>
      <c r="G163" s="413">
        <f t="shared" si="40"/>
        <v>0</v>
      </c>
      <c r="H163" s="413">
        <f t="shared" si="41"/>
        <v>0</v>
      </c>
      <c r="I163" s="275">
        <f t="shared" si="53"/>
        <v>0</v>
      </c>
      <c r="J163" s="275">
        <f t="shared" si="54"/>
        <v>0</v>
      </c>
      <c r="K163" s="137">
        <f t="shared" si="42"/>
        <v>0</v>
      </c>
      <c r="L163" s="15" t="s">
        <v>0</v>
      </c>
      <c r="M163" s="88">
        <v>0</v>
      </c>
      <c r="N163" s="88">
        <v>0</v>
      </c>
      <c r="O163" s="155">
        <v>1E+16</v>
      </c>
      <c r="P163" s="68">
        <v>109575</v>
      </c>
      <c r="Q163" s="3">
        <f t="shared" si="43"/>
        <v>64601</v>
      </c>
      <c r="R163" s="107">
        <f t="shared" si="48"/>
        <v>18.66</v>
      </c>
      <c r="S163" s="105">
        <f t="shared" si="44"/>
        <v>26311205.816876858</v>
      </c>
      <c r="T163" s="341">
        <v>0</v>
      </c>
      <c r="U163" s="341">
        <v>0</v>
      </c>
      <c r="V163" s="341">
        <v>0</v>
      </c>
      <c r="W163" s="341">
        <v>0</v>
      </c>
      <c r="X163" s="281">
        <f t="shared" si="45"/>
        <v>0.02</v>
      </c>
      <c r="Y163" s="282">
        <f t="shared" si="46"/>
        <v>0.1</v>
      </c>
    </row>
    <row r="164" spans="2:25" x14ac:dyDescent="0.35">
      <c r="B164" s="18">
        <f t="shared" si="47"/>
        <v>145</v>
      </c>
      <c r="C164" s="85">
        <f t="shared" si="49"/>
        <v>0</v>
      </c>
      <c r="D164" s="85">
        <f t="shared" si="50"/>
        <v>0</v>
      </c>
      <c r="E164" s="84">
        <f t="shared" si="51"/>
        <v>0</v>
      </c>
      <c r="F164" s="135">
        <f t="shared" si="52"/>
        <v>0</v>
      </c>
      <c r="G164" s="413">
        <f t="shared" si="40"/>
        <v>0</v>
      </c>
      <c r="H164" s="413">
        <f t="shared" si="41"/>
        <v>0</v>
      </c>
      <c r="I164" s="275">
        <f t="shared" si="53"/>
        <v>0</v>
      </c>
      <c r="J164" s="275">
        <f t="shared" si="54"/>
        <v>0</v>
      </c>
      <c r="K164" s="137">
        <f t="shared" si="42"/>
        <v>0</v>
      </c>
      <c r="L164" s="15" t="s">
        <v>0</v>
      </c>
      <c r="M164" s="88">
        <v>0</v>
      </c>
      <c r="N164" s="88">
        <v>0</v>
      </c>
      <c r="O164" s="155">
        <v>1E+16</v>
      </c>
      <c r="P164" s="68">
        <v>109575</v>
      </c>
      <c r="Q164" s="3">
        <f t="shared" si="43"/>
        <v>64601</v>
      </c>
      <c r="R164" s="107">
        <f t="shared" si="48"/>
        <v>18.66</v>
      </c>
      <c r="S164" s="105">
        <f t="shared" si="44"/>
        <v>26311205.816876858</v>
      </c>
      <c r="T164" s="341">
        <v>0</v>
      </c>
      <c r="U164" s="341">
        <v>0</v>
      </c>
      <c r="V164" s="341">
        <v>0</v>
      </c>
      <c r="W164" s="341">
        <v>0</v>
      </c>
      <c r="X164" s="281">
        <f t="shared" si="45"/>
        <v>0.02</v>
      </c>
      <c r="Y164" s="282">
        <f t="shared" si="46"/>
        <v>0.1</v>
      </c>
    </row>
    <row r="165" spans="2:25" x14ac:dyDescent="0.35">
      <c r="B165" s="18">
        <f t="shared" si="47"/>
        <v>146</v>
      </c>
      <c r="C165" s="85">
        <f t="shared" si="49"/>
        <v>0</v>
      </c>
      <c r="D165" s="85">
        <f t="shared" si="50"/>
        <v>0</v>
      </c>
      <c r="E165" s="84">
        <f t="shared" si="51"/>
        <v>0</v>
      </c>
      <c r="F165" s="135">
        <f t="shared" si="52"/>
        <v>0</v>
      </c>
      <c r="G165" s="413">
        <f t="shared" si="40"/>
        <v>0</v>
      </c>
      <c r="H165" s="413">
        <f t="shared" si="41"/>
        <v>0</v>
      </c>
      <c r="I165" s="275">
        <f t="shared" si="53"/>
        <v>0</v>
      </c>
      <c r="J165" s="275">
        <f t="shared" si="54"/>
        <v>0</v>
      </c>
      <c r="K165" s="137">
        <f t="shared" si="42"/>
        <v>0</v>
      </c>
      <c r="L165" s="15" t="s">
        <v>0</v>
      </c>
      <c r="M165" s="88">
        <v>0</v>
      </c>
      <c r="N165" s="88">
        <v>0</v>
      </c>
      <c r="O165" s="155">
        <v>1E+16</v>
      </c>
      <c r="P165" s="68">
        <v>109575</v>
      </c>
      <c r="Q165" s="3">
        <f t="shared" si="43"/>
        <v>64601</v>
      </c>
      <c r="R165" s="107">
        <f t="shared" si="48"/>
        <v>18.66</v>
      </c>
      <c r="S165" s="105">
        <f t="shared" si="44"/>
        <v>26311205.816876858</v>
      </c>
      <c r="T165" s="341">
        <v>0</v>
      </c>
      <c r="U165" s="341">
        <v>0</v>
      </c>
      <c r="V165" s="341">
        <v>0</v>
      </c>
      <c r="W165" s="341">
        <v>0</v>
      </c>
      <c r="X165" s="281">
        <f t="shared" si="45"/>
        <v>0.02</v>
      </c>
      <c r="Y165" s="282">
        <f t="shared" si="46"/>
        <v>0.1</v>
      </c>
    </row>
    <row r="166" spans="2:25" x14ac:dyDescent="0.35">
      <c r="B166" s="18">
        <f t="shared" si="47"/>
        <v>147</v>
      </c>
      <c r="C166" s="85">
        <f t="shared" si="49"/>
        <v>0</v>
      </c>
      <c r="D166" s="85">
        <f t="shared" si="50"/>
        <v>0</v>
      </c>
      <c r="E166" s="84">
        <f t="shared" si="51"/>
        <v>0</v>
      </c>
      <c r="F166" s="135">
        <f t="shared" si="52"/>
        <v>0</v>
      </c>
      <c r="G166" s="413">
        <f t="shared" si="40"/>
        <v>0</v>
      </c>
      <c r="H166" s="413">
        <f t="shared" si="41"/>
        <v>0</v>
      </c>
      <c r="I166" s="275">
        <f t="shared" si="53"/>
        <v>0</v>
      </c>
      <c r="J166" s="275">
        <f t="shared" si="54"/>
        <v>0</v>
      </c>
      <c r="K166" s="137">
        <f t="shared" si="42"/>
        <v>0</v>
      </c>
      <c r="L166" s="15" t="s">
        <v>0</v>
      </c>
      <c r="M166" s="88">
        <v>0</v>
      </c>
      <c r="N166" s="88">
        <v>0</v>
      </c>
      <c r="O166" s="155">
        <v>1E+16</v>
      </c>
      <c r="P166" s="68">
        <v>109575</v>
      </c>
      <c r="Q166" s="3">
        <f t="shared" si="43"/>
        <v>64601</v>
      </c>
      <c r="R166" s="107">
        <f t="shared" si="48"/>
        <v>18.66</v>
      </c>
      <c r="S166" s="105">
        <f t="shared" si="44"/>
        <v>26311205.816876858</v>
      </c>
      <c r="T166" s="341">
        <v>0</v>
      </c>
      <c r="U166" s="341">
        <v>0</v>
      </c>
      <c r="V166" s="341">
        <v>0</v>
      </c>
      <c r="W166" s="341">
        <v>0</v>
      </c>
      <c r="X166" s="281">
        <f t="shared" si="45"/>
        <v>0.02</v>
      </c>
      <c r="Y166" s="282">
        <f t="shared" si="46"/>
        <v>0.1</v>
      </c>
    </row>
    <row r="167" spans="2:25" x14ac:dyDescent="0.35">
      <c r="B167" s="18">
        <f t="shared" si="47"/>
        <v>148</v>
      </c>
      <c r="C167" s="85">
        <f t="shared" si="49"/>
        <v>0</v>
      </c>
      <c r="D167" s="85">
        <f t="shared" si="50"/>
        <v>0</v>
      </c>
      <c r="E167" s="84">
        <f t="shared" si="51"/>
        <v>0</v>
      </c>
      <c r="F167" s="135">
        <f t="shared" si="52"/>
        <v>0</v>
      </c>
      <c r="G167" s="413">
        <f t="shared" si="40"/>
        <v>0</v>
      </c>
      <c r="H167" s="413">
        <f t="shared" si="41"/>
        <v>0</v>
      </c>
      <c r="I167" s="275">
        <f t="shared" si="53"/>
        <v>0</v>
      </c>
      <c r="J167" s="275">
        <f t="shared" si="54"/>
        <v>0</v>
      </c>
      <c r="K167" s="137">
        <f t="shared" si="42"/>
        <v>0</v>
      </c>
      <c r="L167" s="15" t="s">
        <v>0</v>
      </c>
      <c r="M167" s="88">
        <v>0</v>
      </c>
      <c r="N167" s="88">
        <v>0</v>
      </c>
      <c r="O167" s="155">
        <v>1E+16</v>
      </c>
      <c r="P167" s="68">
        <v>109575</v>
      </c>
      <c r="Q167" s="3">
        <f t="shared" si="43"/>
        <v>64601</v>
      </c>
      <c r="R167" s="107">
        <f t="shared" si="48"/>
        <v>18.66</v>
      </c>
      <c r="S167" s="105">
        <f t="shared" si="44"/>
        <v>26311205.816876858</v>
      </c>
      <c r="T167" s="341">
        <v>0</v>
      </c>
      <c r="U167" s="341">
        <v>0</v>
      </c>
      <c r="V167" s="341">
        <v>0</v>
      </c>
      <c r="W167" s="341">
        <v>0</v>
      </c>
      <c r="X167" s="281">
        <f t="shared" si="45"/>
        <v>0.02</v>
      </c>
      <c r="Y167" s="282">
        <f t="shared" si="46"/>
        <v>0.1</v>
      </c>
    </row>
    <row r="168" spans="2:25" x14ac:dyDescent="0.35">
      <c r="B168" s="18">
        <f t="shared" si="47"/>
        <v>149</v>
      </c>
      <c r="C168" s="85">
        <f t="shared" si="49"/>
        <v>0</v>
      </c>
      <c r="D168" s="85">
        <f t="shared" si="50"/>
        <v>0</v>
      </c>
      <c r="E168" s="84">
        <f t="shared" si="51"/>
        <v>0</v>
      </c>
      <c r="F168" s="135">
        <f t="shared" si="52"/>
        <v>0</v>
      </c>
      <c r="G168" s="413">
        <f t="shared" si="40"/>
        <v>0</v>
      </c>
      <c r="H168" s="413">
        <f t="shared" si="41"/>
        <v>0</v>
      </c>
      <c r="I168" s="275">
        <f t="shared" si="53"/>
        <v>0</v>
      </c>
      <c r="J168" s="275">
        <f t="shared" si="54"/>
        <v>0</v>
      </c>
      <c r="K168" s="137">
        <f t="shared" si="42"/>
        <v>0</v>
      </c>
      <c r="L168" s="15" t="s">
        <v>0</v>
      </c>
      <c r="M168" s="88">
        <v>0</v>
      </c>
      <c r="N168" s="88">
        <v>0</v>
      </c>
      <c r="O168" s="155">
        <v>1E+16</v>
      </c>
      <c r="P168" s="68">
        <v>109575</v>
      </c>
      <c r="Q168" s="3">
        <f t="shared" si="43"/>
        <v>64601</v>
      </c>
      <c r="R168" s="107">
        <f t="shared" si="48"/>
        <v>18.66</v>
      </c>
      <c r="S168" s="105">
        <f t="shared" si="44"/>
        <v>26311205.816876858</v>
      </c>
      <c r="T168" s="341">
        <v>0</v>
      </c>
      <c r="U168" s="341">
        <v>0</v>
      </c>
      <c r="V168" s="341">
        <v>0</v>
      </c>
      <c r="W168" s="341">
        <v>0</v>
      </c>
      <c r="X168" s="281">
        <f t="shared" si="45"/>
        <v>0.02</v>
      </c>
      <c r="Y168" s="282">
        <f t="shared" si="46"/>
        <v>0.1</v>
      </c>
    </row>
    <row r="169" spans="2:25" x14ac:dyDescent="0.35">
      <c r="B169" s="18">
        <f t="shared" si="47"/>
        <v>150</v>
      </c>
      <c r="C169" s="85">
        <f t="shared" si="49"/>
        <v>0</v>
      </c>
      <c r="D169" s="85">
        <f t="shared" si="50"/>
        <v>0</v>
      </c>
      <c r="E169" s="84">
        <f t="shared" si="51"/>
        <v>0</v>
      </c>
      <c r="F169" s="135">
        <f t="shared" si="52"/>
        <v>0</v>
      </c>
      <c r="G169" s="413">
        <f t="shared" si="40"/>
        <v>0</v>
      </c>
      <c r="H169" s="413">
        <f t="shared" si="41"/>
        <v>0</v>
      </c>
      <c r="I169" s="275">
        <f t="shared" si="53"/>
        <v>0</v>
      </c>
      <c r="J169" s="275">
        <f t="shared" si="54"/>
        <v>0</v>
      </c>
      <c r="K169" s="137">
        <f t="shared" si="42"/>
        <v>0</v>
      </c>
      <c r="L169" s="15" t="s">
        <v>0</v>
      </c>
      <c r="M169" s="88">
        <v>0</v>
      </c>
      <c r="N169" s="88">
        <v>0</v>
      </c>
      <c r="O169" s="155">
        <v>1E+16</v>
      </c>
      <c r="P169" s="68">
        <v>109575</v>
      </c>
      <c r="Q169" s="3">
        <f t="shared" si="43"/>
        <v>64601</v>
      </c>
      <c r="R169" s="107">
        <f t="shared" si="48"/>
        <v>18.66</v>
      </c>
      <c r="S169" s="105">
        <f t="shared" si="44"/>
        <v>26311205.816876858</v>
      </c>
      <c r="T169" s="341">
        <v>0</v>
      </c>
      <c r="U169" s="341">
        <v>0</v>
      </c>
      <c r="V169" s="341">
        <v>0</v>
      </c>
      <c r="W169" s="341">
        <v>0</v>
      </c>
      <c r="X169" s="281">
        <f t="shared" si="45"/>
        <v>0.02</v>
      </c>
      <c r="Y169" s="282">
        <f t="shared" si="46"/>
        <v>0.1</v>
      </c>
    </row>
    <row r="170" spans="2:25" x14ac:dyDescent="0.35">
      <c r="B170" s="18">
        <f t="shared" si="47"/>
        <v>151</v>
      </c>
      <c r="C170" s="85">
        <f t="shared" si="49"/>
        <v>0</v>
      </c>
      <c r="D170" s="85">
        <f t="shared" si="50"/>
        <v>0</v>
      </c>
      <c r="E170" s="84">
        <f t="shared" si="51"/>
        <v>0</v>
      </c>
      <c r="F170" s="135">
        <f t="shared" si="52"/>
        <v>0</v>
      </c>
      <c r="G170" s="413">
        <f t="shared" si="40"/>
        <v>0</v>
      </c>
      <c r="H170" s="413">
        <f t="shared" si="41"/>
        <v>0</v>
      </c>
      <c r="I170" s="275">
        <f t="shared" si="53"/>
        <v>0</v>
      </c>
      <c r="J170" s="275">
        <f t="shared" si="54"/>
        <v>0</v>
      </c>
      <c r="K170" s="137">
        <f t="shared" si="42"/>
        <v>0</v>
      </c>
      <c r="L170" s="15" t="s">
        <v>0</v>
      </c>
      <c r="M170" s="88">
        <v>0</v>
      </c>
      <c r="N170" s="88">
        <v>0</v>
      </c>
      <c r="O170" s="155">
        <v>1E+16</v>
      </c>
      <c r="P170" s="68">
        <v>109575</v>
      </c>
      <c r="Q170" s="3">
        <f t="shared" si="43"/>
        <v>64601</v>
      </c>
      <c r="R170" s="107">
        <f t="shared" si="48"/>
        <v>18.66</v>
      </c>
      <c r="S170" s="105">
        <f t="shared" si="44"/>
        <v>26311205.816876858</v>
      </c>
      <c r="T170" s="341">
        <v>0</v>
      </c>
      <c r="U170" s="341">
        <v>0</v>
      </c>
      <c r="V170" s="341">
        <v>0</v>
      </c>
      <c r="W170" s="341">
        <v>0</v>
      </c>
      <c r="X170" s="281">
        <f t="shared" si="45"/>
        <v>0.02</v>
      </c>
      <c r="Y170" s="282">
        <f t="shared" si="46"/>
        <v>0.1</v>
      </c>
    </row>
    <row r="171" spans="2:25" x14ac:dyDescent="0.35">
      <c r="B171" s="18">
        <f t="shared" si="47"/>
        <v>152</v>
      </c>
      <c r="C171" s="85">
        <f t="shared" si="49"/>
        <v>0</v>
      </c>
      <c r="D171" s="85">
        <f t="shared" si="50"/>
        <v>0</v>
      </c>
      <c r="E171" s="84">
        <f t="shared" si="51"/>
        <v>0</v>
      </c>
      <c r="F171" s="135">
        <f t="shared" si="52"/>
        <v>0</v>
      </c>
      <c r="G171" s="413">
        <f t="shared" si="40"/>
        <v>0</v>
      </c>
      <c r="H171" s="413">
        <f t="shared" si="41"/>
        <v>0</v>
      </c>
      <c r="I171" s="275">
        <f t="shared" si="53"/>
        <v>0</v>
      </c>
      <c r="J171" s="275">
        <f t="shared" si="54"/>
        <v>0</v>
      </c>
      <c r="K171" s="137">
        <f t="shared" si="42"/>
        <v>0</v>
      </c>
      <c r="L171" s="15" t="s">
        <v>0</v>
      </c>
      <c r="M171" s="88">
        <v>0</v>
      </c>
      <c r="N171" s="88">
        <v>0</v>
      </c>
      <c r="O171" s="155">
        <v>1E+16</v>
      </c>
      <c r="P171" s="68">
        <v>109575</v>
      </c>
      <c r="Q171" s="3">
        <f t="shared" si="43"/>
        <v>64601</v>
      </c>
      <c r="R171" s="107">
        <f t="shared" si="48"/>
        <v>18.66</v>
      </c>
      <c r="S171" s="105">
        <f t="shared" si="44"/>
        <v>26311205.816876858</v>
      </c>
      <c r="T171" s="341">
        <v>0</v>
      </c>
      <c r="U171" s="341">
        <v>0</v>
      </c>
      <c r="V171" s="341">
        <v>0</v>
      </c>
      <c r="W171" s="341">
        <v>0</v>
      </c>
      <c r="X171" s="281">
        <f t="shared" si="45"/>
        <v>0.02</v>
      </c>
      <c r="Y171" s="282">
        <f t="shared" si="46"/>
        <v>0.1</v>
      </c>
    </row>
    <row r="172" spans="2:25" x14ac:dyDescent="0.35">
      <c r="B172" s="18">
        <f t="shared" si="47"/>
        <v>153</v>
      </c>
      <c r="C172" s="85">
        <f t="shared" si="49"/>
        <v>0</v>
      </c>
      <c r="D172" s="85">
        <f t="shared" si="50"/>
        <v>0</v>
      </c>
      <c r="E172" s="84">
        <f t="shared" si="51"/>
        <v>0</v>
      </c>
      <c r="F172" s="135">
        <f t="shared" si="52"/>
        <v>0</v>
      </c>
      <c r="G172" s="413">
        <f t="shared" si="40"/>
        <v>0</v>
      </c>
      <c r="H172" s="413">
        <f t="shared" si="41"/>
        <v>0</v>
      </c>
      <c r="I172" s="275">
        <f t="shared" si="53"/>
        <v>0</v>
      </c>
      <c r="J172" s="275">
        <f t="shared" si="54"/>
        <v>0</v>
      </c>
      <c r="K172" s="137">
        <f t="shared" si="42"/>
        <v>0</v>
      </c>
      <c r="L172" s="15" t="s">
        <v>0</v>
      </c>
      <c r="M172" s="88">
        <v>0</v>
      </c>
      <c r="N172" s="88">
        <v>0</v>
      </c>
      <c r="O172" s="155">
        <v>1E+16</v>
      </c>
      <c r="P172" s="68">
        <v>109575</v>
      </c>
      <c r="Q172" s="3">
        <f t="shared" si="43"/>
        <v>64601</v>
      </c>
      <c r="R172" s="107">
        <f t="shared" si="48"/>
        <v>18.66</v>
      </c>
      <c r="S172" s="105">
        <f t="shared" si="44"/>
        <v>26311205.816876858</v>
      </c>
      <c r="T172" s="341">
        <v>0</v>
      </c>
      <c r="U172" s="341">
        <v>0</v>
      </c>
      <c r="V172" s="341">
        <v>0</v>
      </c>
      <c r="W172" s="341">
        <v>0</v>
      </c>
      <c r="X172" s="281">
        <f t="shared" si="45"/>
        <v>0.02</v>
      </c>
      <c r="Y172" s="282">
        <f t="shared" si="46"/>
        <v>0.1</v>
      </c>
    </row>
    <row r="173" spans="2:25" x14ac:dyDescent="0.35">
      <c r="B173" s="18">
        <f t="shared" si="47"/>
        <v>154</v>
      </c>
      <c r="C173" s="85">
        <f t="shared" si="49"/>
        <v>0</v>
      </c>
      <c r="D173" s="85">
        <f t="shared" si="50"/>
        <v>0</v>
      </c>
      <c r="E173" s="84">
        <f t="shared" si="51"/>
        <v>0</v>
      </c>
      <c r="F173" s="135">
        <f t="shared" si="52"/>
        <v>0</v>
      </c>
      <c r="G173" s="413">
        <f t="shared" si="40"/>
        <v>0</v>
      </c>
      <c r="H173" s="413">
        <f t="shared" si="41"/>
        <v>0</v>
      </c>
      <c r="I173" s="275">
        <f t="shared" si="53"/>
        <v>0</v>
      </c>
      <c r="J173" s="275">
        <f t="shared" si="54"/>
        <v>0</v>
      </c>
      <c r="K173" s="137">
        <f t="shared" si="42"/>
        <v>0</v>
      </c>
      <c r="L173" s="15" t="s">
        <v>0</v>
      </c>
      <c r="M173" s="88">
        <v>0</v>
      </c>
      <c r="N173" s="88">
        <v>0</v>
      </c>
      <c r="O173" s="155">
        <v>1E+16</v>
      </c>
      <c r="P173" s="68">
        <v>109575</v>
      </c>
      <c r="Q173" s="3">
        <f t="shared" si="43"/>
        <v>64601</v>
      </c>
      <c r="R173" s="107">
        <f t="shared" si="48"/>
        <v>18.66</v>
      </c>
      <c r="S173" s="105">
        <f t="shared" si="44"/>
        <v>26311205.816876858</v>
      </c>
      <c r="T173" s="341">
        <v>0</v>
      </c>
      <c r="U173" s="341">
        <v>0</v>
      </c>
      <c r="V173" s="341">
        <v>0</v>
      </c>
      <c r="W173" s="341">
        <v>0</v>
      </c>
      <c r="X173" s="281">
        <f t="shared" si="45"/>
        <v>0.02</v>
      </c>
      <c r="Y173" s="282">
        <f t="shared" si="46"/>
        <v>0.1</v>
      </c>
    </row>
    <row r="174" spans="2:25" x14ac:dyDescent="0.35">
      <c r="B174" s="18">
        <f t="shared" si="47"/>
        <v>155</v>
      </c>
      <c r="C174" s="85">
        <f t="shared" si="49"/>
        <v>0</v>
      </c>
      <c r="D174" s="85">
        <f t="shared" si="50"/>
        <v>0</v>
      </c>
      <c r="E174" s="84">
        <f t="shared" si="51"/>
        <v>0</v>
      </c>
      <c r="F174" s="135">
        <f t="shared" si="52"/>
        <v>0</v>
      </c>
      <c r="G174" s="413">
        <f t="shared" si="40"/>
        <v>0</v>
      </c>
      <c r="H174" s="413">
        <f t="shared" si="41"/>
        <v>0</v>
      </c>
      <c r="I174" s="275">
        <f t="shared" si="53"/>
        <v>0</v>
      </c>
      <c r="J174" s="275">
        <f t="shared" si="54"/>
        <v>0</v>
      </c>
      <c r="K174" s="137">
        <f t="shared" si="42"/>
        <v>0</v>
      </c>
      <c r="L174" s="15" t="s">
        <v>0</v>
      </c>
      <c r="M174" s="88">
        <v>0</v>
      </c>
      <c r="N174" s="88">
        <v>0</v>
      </c>
      <c r="O174" s="155">
        <v>1E+16</v>
      </c>
      <c r="P174" s="68">
        <v>109575</v>
      </c>
      <c r="Q174" s="3">
        <f t="shared" si="43"/>
        <v>64601</v>
      </c>
      <c r="R174" s="107">
        <f t="shared" si="48"/>
        <v>18.66</v>
      </c>
      <c r="S174" s="105">
        <f t="shared" si="44"/>
        <v>26311205.816876858</v>
      </c>
      <c r="T174" s="341">
        <v>0</v>
      </c>
      <c r="U174" s="341">
        <v>0</v>
      </c>
      <c r="V174" s="341">
        <v>0</v>
      </c>
      <c r="W174" s="341">
        <v>0</v>
      </c>
      <c r="X174" s="281">
        <f t="shared" si="45"/>
        <v>0.02</v>
      </c>
      <c r="Y174" s="282">
        <f t="shared" si="46"/>
        <v>0.1</v>
      </c>
    </row>
    <row r="175" spans="2:25" x14ac:dyDescent="0.35">
      <c r="B175" s="18">
        <f t="shared" si="47"/>
        <v>156</v>
      </c>
      <c r="C175" s="85">
        <f t="shared" si="49"/>
        <v>0</v>
      </c>
      <c r="D175" s="85">
        <f t="shared" si="50"/>
        <v>0</v>
      </c>
      <c r="E175" s="84">
        <f t="shared" si="51"/>
        <v>0</v>
      </c>
      <c r="F175" s="135">
        <f t="shared" si="52"/>
        <v>0</v>
      </c>
      <c r="G175" s="413">
        <f t="shared" si="40"/>
        <v>0</v>
      </c>
      <c r="H175" s="413">
        <f t="shared" si="41"/>
        <v>0</v>
      </c>
      <c r="I175" s="275">
        <f t="shared" si="53"/>
        <v>0</v>
      </c>
      <c r="J175" s="275">
        <f t="shared" si="54"/>
        <v>0</v>
      </c>
      <c r="K175" s="137">
        <f t="shared" si="42"/>
        <v>0</v>
      </c>
      <c r="L175" s="15" t="s">
        <v>0</v>
      </c>
      <c r="M175" s="88">
        <v>0</v>
      </c>
      <c r="N175" s="88">
        <v>0</v>
      </c>
      <c r="O175" s="155">
        <v>1E+16</v>
      </c>
      <c r="P175" s="68">
        <v>109575</v>
      </c>
      <c r="Q175" s="3">
        <f t="shared" si="43"/>
        <v>64601</v>
      </c>
      <c r="R175" s="107">
        <f t="shared" si="48"/>
        <v>18.66</v>
      </c>
      <c r="S175" s="105">
        <f t="shared" si="44"/>
        <v>26311205.816876858</v>
      </c>
      <c r="T175" s="341">
        <v>0</v>
      </c>
      <c r="U175" s="341">
        <v>0</v>
      </c>
      <c r="V175" s="341">
        <v>0</v>
      </c>
      <c r="W175" s="341">
        <v>0</v>
      </c>
      <c r="X175" s="281">
        <f t="shared" si="45"/>
        <v>0.02</v>
      </c>
      <c r="Y175" s="282">
        <f t="shared" si="46"/>
        <v>0.1</v>
      </c>
    </row>
    <row r="176" spans="2:25" x14ac:dyDescent="0.35">
      <c r="B176" s="18">
        <f t="shared" si="47"/>
        <v>157</v>
      </c>
      <c r="C176" s="85">
        <f t="shared" si="49"/>
        <v>0</v>
      </c>
      <c r="D176" s="85">
        <f t="shared" si="50"/>
        <v>0</v>
      </c>
      <c r="E176" s="84">
        <f t="shared" si="51"/>
        <v>0</v>
      </c>
      <c r="F176" s="135">
        <f t="shared" si="52"/>
        <v>0</v>
      </c>
      <c r="G176" s="413">
        <f t="shared" si="40"/>
        <v>0</v>
      </c>
      <c r="H176" s="413">
        <f t="shared" si="41"/>
        <v>0</v>
      </c>
      <c r="I176" s="275">
        <f t="shared" si="53"/>
        <v>0</v>
      </c>
      <c r="J176" s="275">
        <f t="shared" si="54"/>
        <v>0</v>
      </c>
      <c r="K176" s="137">
        <f t="shared" si="42"/>
        <v>0</v>
      </c>
      <c r="L176" s="15" t="s">
        <v>0</v>
      </c>
      <c r="M176" s="88">
        <v>0</v>
      </c>
      <c r="N176" s="88">
        <v>0</v>
      </c>
      <c r="O176" s="155">
        <v>1E+16</v>
      </c>
      <c r="P176" s="68">
        <v>109575</v>
      </c>
      <c r="Q176" s="3">
        <f t="shared" si="43"/>
        <v>64601</v>
      </c>
      <c r="R176" s="107">
        <f t="shared" si="48"/>
        <v>18.66</v>
      </c>
      <c r="S176" s="105">
        <f t="shared" si="44"/>
        <v>26311205.816876858</v>
      </c>
      <c r="T176" s="341">
        <v>0</v>
      </c>
      <c r="U176" s="341">
        <v>0</v>
      </c>
      <c r="V176" s="341">
        <v>0</v>
      </c>
      <c r="W176" s="341">
        <v>0</v>
      </c>
      <c r="X176" s="281">
        <f t="shared" si="45"/>
        <v>0.02</v>
      </c>
      <c r="Y176" s="282">
        <f t="shared" si="46"/>
        <v>0.1</v>
      </c>
    </row>
    <row r="177" spans="2:25" x14ac:dyDescent="0.35">
      <c r="B177" s="18">
        <f t="shared" si="47"/>
        <v>158</v>
      </c>
      <c r="C177" s="85">
        <f t="shared" si="49"/>
        <v>0</v>
      </c>
      <c r="D177" s="85">
        <f t="shared" si="50"/>
        <v>0</v>
      </c>
      <c r="E177" s="84">
        <f t="shared" si="51"/>
        <v>0</v>
      </c>
      <c r="F177" s="135">
        <f t="shared" si="52"/>
        <v>0</v>
      </c>
      <c r="G177" s="413">
        <f t="shared" si="40"/>
        <v>0</v>
      </c>
      <c r="H177" s="413">
        <f t="shared" si="41"/>
        <v>0</v>
      </c>
      <c r="I177" s="275">
        <f t="shared" si="53"/>
        <v>0</v>
      </c>
      <c r="J177" s="275">
        <f t="shared" si="54"/>
        <v>0</v>
      </c>
      <c r="K177" s="137">
        <f t="shared" si="42"/>
        <v>0</v>
      </c>
      <c r="L177" s="15" t="s">
        <v>0</v>
      </c>
      <c r="M177" s="88">
        <v>0</v>
      </c>
      <c r="N177" s="88">
        <v>0</v>
      </c>
      <c r="O177" s="155">
        <v>1E+16</v>
      </c>
      <c r="P177" s="68">
        <v>109575</v>
      </c>
      <c r="Q177" s="3">
        <f t="shared" si="43"/>
        <v>64601</v>
      </c>
      <c r="R177" s="107">
        <f t="shared" si="48"/>
        <v>18.66</v>
      </c>
      <c r="S177" s="105">
        <f t="shared" si="44"/>
        <v>26311205.816876858</v>
      </c>
      <c r="T177" s="341">
        <v>0</v>
      </c>
      <c r="U177" s="341">
        <v>0</v>
      </c>
      <c r="V177" s="341">
        <v>0</v>
      </c>
      <c r="W177" s="341">
        <v>0</v>
      </c>
      <c r="X177" s="281">
        <f t="shared" si="45"/>
        <v>0.02</v>
      </c>
      <c r="Y177" s="282">
        <f t="shared" si="46"/>
        <v>0.1</v>
      </c>
    </row>
    <row r="178" spans="2:25" x14ac:dyDescent="0.35">
      <c r="B178" s="18">
        <f t="shared" si="47"/>
        <v>159</v>
      </c>
      <c r="C178" s="85">
        <f t="shared" si="49"/>
        <v>0</v>
      </c>
      <c r="D178" s="85">
        <f t="shared" si="50"/>
        <v>0</v>
      </c>
      <c r="E178" s="84">
        <f t="shared" si="51"/>
        <v>0</v>
      </c>
      <c r="F178" s="135">
        <f t="shared" si="52"/>
        <v>0</v>
      </c>
      <c r="G178" s="413">
        <f t="shared" si="40"/>
        <v>0</v>
      </c>
      <c r="H178" s="413">
        <f t="shared" si="41"/>
        <v>0</v>
      </c>
      <c r="I178" s="275">
        <f t="shared" si="53"/>
        <v>0</v>
      </c>
      <c r="J178" s="275">
        <f t="shared" si="54"/>
        <v>0</v>
      </c>
      <c r="K178" s="137">
        <f t="shared" si="42"/>
        <v>0</v>
      </c>
      <c r="L178" s="15" t="s">
        <v>0</v>
      </c>
      <c r="M178" s="88">
        <v>0</v>
      </c>
      <c r="N178" s="88">
        <v>0</v>
      </c>
      <c r="O178" s="155">
        <v>1E+16</v>
      </c>
      <c r="P178" s="68">
        <v>109575</v>
      </c>
      <c r="Q178" s="3">
        <f t="shared" si="43"/>
        <v>64601</v>
      </c>
      <c r="R178" s="107">
        <f t="shared" si="48"/>
        <v>18.66</v>
      </c>
      <c r="S178" s="105">
        <f t="shared" si="44"/>
        <v>26311205.816876858</v>
      </c>
      <c r="T178" s="341">
        <v>0</v>
      </c>
      <c r="U178" s="341">
        <v>0</v>
      </c>
      <c r="V178" s="341">
        <v>0</v>
      </c>
      <c r="W178" s="341">
        <v>0</v>
      </c>
      <c r="X178" s="281">
        <f t="shared" si="45"/>
        <v>0.02</v>
      </c>
      <c r="Y178" s="282">
        <f t="shared" si="46"/>
        <v>0.1</v>
      </c>
    </row>
    <row r="179" spans="2:25" x14ac:dyDescent="0.35">
      <c r="B179" s="18">
        <f t="shared" si="47"/>
        <v>160</v>
      </c>
      <c r="C179" s="85">
        <f t="shared" si="49"/>
        <v>0</v>
      </c>
      <c r="D179" s="85">
        <f t="shared" si="50"/>
        <v>0</v>
      </c>
      <c r="E179" s="84">
        <f t="shared" si="51"/>
        <v>0</v>
      </c>
      <c r="F179" s="135">
        <f t="shared" si="52"/>
        <v>0</v>
      </c>
      <c r="G179" s="413">
        <f t="shared" si="40"/>
        <v>0</v>
      </c>
      <c r="H179" s="413">
        <f t="shared" si="41"/>
        <v>0</v>
      </c>
      <c r="I179" s="275">
        <f t="shared" si="53"/>
        <v>0</v>
      </c>
      <c r="J179" s="275">
        <f t="shared" si="54"/>
        <v>0</v>
      </c>
      <c r="K179" s="137">
        <f t="shared" si="42"/>
        <v>0</v>
      </c>
      <c r="L179" s="15" t="s">
        <v>0</v>
      </c>
      <c r="M179" s="88">
        <v>0</v>
      </c>
      <c r="N179" s="88">
        <v>0</v>
      </c>
      <c r="O179" s="155">
        <v>1E+16</v>
      </c>
      <c r="P179" s="68">
        <v>109575</v>
      </c>
      <c r="Q179" s="3">
        <f t="shared" si="43"/>
        <v>64601</v>
      </c>
      <c r="R179" s="107">
        <f t="shared" si="48"/>
        <v>18.66</v>
      </c>
      <c r="S179" s="105">
        <f t="shared" si="44"/>
        <v>26311205.816876858</v>
      </c>
      <c r="T179" s="341">
        <v>0</v>
      </c>
      <c r="U179" s="341">
        <v>0</v>
      </c>
      <c r="V179" s="341">
        <v>0</v>
      </c>
      <c r="W179" s="341">
        <v>0</v>
      </c>
      <c r="X179" s="281">
        <f t="shared" si="45"/>
        <v>0.02</v>
      </c>
      <c r="Y179" s="282">
        <f t="shared" si="46"/>
        <v>0.1</v>
      </c>
    </row>
    <row r="180" spans="2:25" x14ac:dyDescent="0.35">
      <c r="B180" s="18">
        <f t="shared" si="47"/>
        <v>161</v>
      </c>
      <c r="C180" s="85">
        <f t="shared" si="49"/>
        <v>0</v>
      </c>
      <c r="D180" s="85">
        <f t="shared" si="50"/>
        <v>0</v>
      </c>
      <c r="E180" s="84">
        <f t="shared" si="51"/>
        <v>0</v>
      </c>
      <c r="F180" s="135">
        <f t="shared" si="52"/>
        <v>0</v>
      </c>
      <c r="G180" s="413">
        <f t="shared" si="40"/>
        <v>0</v>
      </c>
      <c r="H180" s="413">
        <f t="shared" si="41"/>
        <v>0</v>
      </c>
      <c r="I180" s="275">
        <f t="shared" si="53"/>
        <v>0</v>
      </c>
      <c r="J180" s="275">
        <f t="shared" si="54"/>
        <v>0</v>
      </c>
      <c r="K180" s="137">
        <f t="shared" si="42"/>
        <v>0</v>
      </c>
      <c r="L180" s="15" t="s">
        <v>0</v>
      </c>
      <c r="M180" s="88">
        <v>0</v>
      </c>
      <c r="N180" s="88">
        <v>0</v>
      </c>
      <c r="O180" s="155">
        <v>1E+16</v>
      </c>
      <c r="P180" s="68">
        <v>109575</v>
      </c>
      <c r="Q180" s="3">
        <f t="shared" si="43"/>
        <v>64601</v>
      </c>
      <c r="R180" s="107">
        <f t="shared" si="48"/>
        <v>18.66</v>
      </c>
      <c r="S180" s="105">
        <f t="shared" si="44"/>
        <v>26311205.816876858</v>
      </c>
      <c r="T180" s="341">
        <v>0</v>
      </c>
      <c r="U180" s="341">
        <v>0</v>
      </c>
      <c r="V180" s="341">
        <v>0</v>
      </c>
      <c r="W180" s="341">
        <v>0</v>
      </c>
      <c r="X180" s="281">
        <f t="shared" si="45"/>
        <v>0.02</v>
      </c>
      <c r="Y180" s="282">
        <f t="shared" si="46"/>
        <v>0.1</v>
      </c>
    </row>
    <row r="181" spans="2:25" x14ac:dyDescent="0.35">
      <c r="B181" s="18">
        <f t="shared" si="47"/>
        <v>162</v>
      </c>
      <c r="C181" s="85">
        <f t="shared" si="49"/>
        <v>0</v>
      </c>
      <c r="D181" s="85">
        <f t="shared" si="50"/>
        <v>0</v>
      </c>
      <c r="E181" s="84">
        <f t="shared" si="51"/>
        <v>0</v>
      </c>
      <c r="F181" s="135">
        <f t="shared" si="52"/>
        <v>0</v>
      </c>
      <c r="G181" s="413">
        <f t="shared" si="40"/>
        <v>0</v>
      </c>
      <c r="H181" s="413">
        <f t="shared" si="41"/>
        <v>0</v>
      </c>
      <c r="I181" s="275">
        <f t="shared" si="53"/>
        <v>0</v>
      </c>
      <c r="J181" s="275">
        <f t="shared" si="54"/>
        <v>0</v>
      </c>
      <c r="K181" s="137">
        <f t="shared" si="42"/>
        <v>0</v>
      </c>
      <c r="L181" s="15" t="s">
        <v>0</v>
      </c>
      <c r="M181" s="88">
        <v>0</v>
      </c>
      <c r="N181" s="88">
        <v>0</v>
      </c>
      <c r="O181" s="155">
        <v>1E+16</v>
      </c>
      <c r="P181" s="68">
        <v>109575</v>
      </c>
      <c r="Q181" s="3">
        <f t="shared" si="43"/>
        <v>64601</v>
      </c>
      <c r="R181" s="107">
        <f t="shared" si="48"/>
        <v>18.66</v>
      </c>
      <c r="S181" s="105">
        <f t="shared" si="44"/>
        <v>26311205.816876858</v>
      </c>
      <c r="T181" s="341">
        <v>0</v>
      </c>
      <c r="U181" s="341">
        <v>0</v>
      </c>
      <c r="V181" s="341">
        <v>0</v>
      </c>
      <c r="W181" s="341">
        <v>0</v>
      </c>
      <c r="X181" s="281">
        <f t="shared" si="45"/>
        <v>0.02</v>
      </c>
      <c r="Y181" s="282">
        <f t="shared" si="46"/>
        <v>0.1</v>
      </c>
    </row>
    <row r="182" spans="2:25" x14ac:dyDescent="0.35">
      <c r="B182" s="18">
        <f t="shared" si="47"/>
        <v>163</v>
      </c>
      <c r="C182" s="85">
        <f t="shared" si="49"/>
        <v>0</v>
      </c>
      <c r="D182" s="85">
        <f t="shared" si="50"/>
        <v>0</v>
      </c>
      <c r="E182" s="84">
        <f t="shared" si="51"/>
        <v>0</v>
      </c>
      <c r="F182" s="135">
        <f t="shared" si="52"/>
        <v>0</v>
      </c>
      <c r="G182" s="413">
        <f t="shared" si="40"/>
        <v>0</v>
      </c>
      <c r="H182" s="413">
        <f t="shared" si="41"/>
        <v>0</v>
      </c>
      <c r="I182" s="275">
        <f t="shared" si="53"/>
        <v>0</v>
      </c>
      <c r="J182" s="275">
        <f t="shared" si="54"/>
        <v>0</v>
      </c>
      <c r="K182" s="137">
        <f t="shared" si="42"/>
        <v>0</v>
      </c>
      <c r="L182" s="15" t="s">
        <v>0</v>
      </c>
      <c r="M182" s="88">
        <v>0</v>
      </c>
      <c r="N182" s="88">
        <v>0</v>
      </c>
      <c r="O182" s="155">
        <v>1E+16</v>
      </c>
      <c r="P182" s="68">
        <v>109575</v>
      </c>
      <c r="Q182" s="3">
        <f t="shared" si="43"/>
        <v>64601</v>
      </c>
      <c r="R182" s="107">
        <f t="shared" si="48"/>
        <v>18.66</v>
      </c>
      <c r="S182" s="105">
        <f t="shared" si="44"/>
        <v>26311205.816876858</v>
      </c>
      <c r="T182" s="341">
        <v>0</v>
      </c>
      <c r="U182" s="341">
        <v>0</v>
      </c>
      <c r="V182" s="341">
        <v>0</v>
      </c>
      <c r="W182" s="341">
        <v>0</v>
      </c>
      <c r="X182" s="281">
        <f t="shared" si="45"/>
        <v>0.02</v>
      </c>
      <c r="Y182" s="282">
        <f t="shared" si="46"/>
        <v>0.1</v>
      </c>
    </row>
    <row r="183" spans="2:25" x14ac:dyDescent="0.35">
      <c r="B183" s="18">
        <f t="shared" si="47"/>
        <v>164</v>
      </c>
      <c r="C183" s="85">
        <f t="shared" si="49"/>
        <v>0</v>
      </c>
      <c r="D183" s="85">
        <f t="shared" si="50"/>
        <v>0</v>
      </c>
      <c r="E183" s="84">
        <f t="shared" si="51"/>
        <v>0</v>
      </c>
      <c r="F183" s="135">
        <f t="shared" si="52"/>
        <v>0</v>
      </c>
      <c r="G183" s="413">
        <f t="shared" si="40"/>
        <v>0</v>
      </c>
      <c r="H183" s="413">
        <f t="shared" si="41"/>
        <v>0</v>
      </c>
      <c r="I183" s="275">
        <f t="shared" si="53"/>
        <v>0</v>
      </c>
      <c r="J183" s="275">
        <f t="shared" si="54"/>
        <v>0</v>
      </c>
      <c r="K183" s="137">
        <f t="shared" si="42"/>
        <v>0</v>
      </c>
      <c r="L183" s="15" t="s">
        <v>0</v>
      </c>
      <c r="M183" s="88">
        <v>0</v>
      </c>
      <c r="N183" s="88">
        <v>0</v>
      </c>
      <c r="O183" s="155">
        <v>1E+16</v>
      </c>
      <c r="P183" s="68">
        <v>109575</v>
      </c>
      <c r="Q183" s="3">
        <f t="shared" si="43"/>
        <v>64601</v>
      </c>
      <c r="R183" s="107">
        <f t="shared" si="48"/>
        <v>18.66</v>
      </c>
      <c r="S183" s="105">
        <f t="shared" si="44"/>
        <v>26311205.816876858</v>
      </c>
      <c r="T183" s="341">
        <v>0</v>
      </c>
      <c r="U183" s="341">
        <v>0</v>
      </c>
      <c r="V183" s="341">
        <v>0</v>
      </c>
      <c r="W183" s="341">
        <v>0</v>
      </c>
      <c r="X183" s="281">
        <f t="shared" si="45"/>
        <v>0.02</v>
      </c>
      <c r="Y183" s="282">
        <f t="shared" si="46"/>
        <v>0.1</v>
      </c>
    </row>
    <row r="184" spans="2:25" x14ac:dyDescent="0.35">
      <c r="B184" s="18">
        <f t="shared" si="47"/>
        <v>165</v>
      </c>
      <c r="C184" s="85">
        <f t="shared" si="49"/>
        <v>0</v>
      </c>
      <c r="D184" s="85">
        <f t="shared" si="50"/>
        <v>0</v>
      </c>
      <c r="E184" s="84">
        <f t="shared" si="51"/>
        <v>0</v>
      </c>
      <c r="F184" s="135">
        <f t="shared" si="52"/>
        <v>0</v>
      </c>
      <c r="G184" s="413">
        <f t="shared" si="40"/>
        <v>0</v>
      </c>
      <c r="H184" s="413">
        <f t="shared" si="41"/>
        <v>0</v>
      </c>
      <c r="I184" s="275">
        <f t="shared" si="53"/>
        <v>0</v>
      </c>
      <c r="J184" s="275">
        <f t="shared" si="54"/>
        <v>0</v>
      </c>
      <c r="K184" s="137">
        <f t="shared" si="42"/>
        <v>0</v>
      </c>
      <c r="L184" s="15" t="s">
        <v>0</v>
      </c>
      <c r="M184" s="88">
        <v>0</v>
      </c>
      <c r="N184" s="88">
        <v>0</v>
      </c>
      <c r="O184" s="155">
        <v>1E+16</v>
      </c>
      <c r="P184" s="68">
        <v>109575</v>
      </c>
      <c r="Q184" s="3">
        <f t="shared" si="43"/>
        <v>64601</v>
      </c>
      <c r="R184" s="107">
        <f t="shared" si="48"/>
        <v>18.66</v>
      </c>
      <c r="S184" s="105">
        <f t="shared" si="44"/>
        <v>26311205.816876858</v>
      </c>
      <c r="T184" s="341">
        <v>0</v>
      </c>
      <c r="U184" s="341">
        <v>0</v>
      </c>
      <c r="V184" s="341">
        <v>0</v>
      </c>
      <c r="W184" s="341">
        <v>0</v>
      </c>
      <c r="X184" s="281">
        <f t="shared" si="45"/>
        <v>0.02</v>
      </c>
      <c r="Y184" s="282">
        <f t="shared" si="46"/>
        <v>0.1</v>
      </c>
    </row>
    <row r="185" spans="2:25" x14ac:dyDescent="0.35">
      <c r="B185" s="18">
        <f t="shared" si="47"/>
        <v>166</v>
      </c>
      <c r="C185" s="85">
        <f t="shared" si="49"/>
        <v>0</v>
      </c>
      <c r="D185" s="85">
        <f t="shared" si="50"/>
        <v>0</v>
      </c>
      <c r="E185" s="84">
        <f t="shared" si="51"/>
        <v>0</v>
      </c>
      <c r="F185" s="135">
        <f t="shared" si="52"/>
        <v>0</v>
      </c>
      <c r="G185" s="413">
        <f t="shared" si="40"/>
        <v>0</v>
      </c>
      <c r="H185" s="413">
        <f t="shared" si="41"/>
        <v>0</v>
      </c>
      <c r="I185" s="275">
        <f t="shared" si="53"/>
        <v>0</v>
      </c>
      <c r="J185" s="275">
        <f t="shared" si="54"/>
        <v>0</v>
      </c>
      <c r="K185" s="137">
        <f t="shared" si="42"/>
        <v>0</v>
      </c>
      <c r="L185" s="15" t="s">
        <v>0</v>
      </c>
      <c r="M185" s="88">
        <v>0</v>
      </c>
      <c r="N185" s="88">
        <v>0</v>
      </c>
      <c r="O185" s="155">
        <v>1E+16</v>
      </c>
      <c r="P185" s="68">
        <v>109575</v>
      </c>
      <c r="Q185" s="3">
        <f t="shared" si="43"/>
        <v>64601</v>
      </c>
      <c r="R185" s="107">
        <f t="shared" si="48"/>
        <v>18.66</v>
      </c>
      <c r="S185" s="105">
        <f t="shared" si="44"/>
        <v>26311205.816876858</v>
      </c>
      <c r="T185" s="341">
        <v>0</v>
      </c>
      <c r="U185" s="341">
        <v>0</v>
      </c>
      <c r="V185" s="341">
        <v>0</v>
      </c>
      <c r="W185" s="341">
        <v>0</v>
      </c>
      <c r="X185" s="281">
        <f t="shared" si="45"/>
        <v>0.02</v>
      </c>
      <c r="Y185" s="282">
        <f t="shared" si="46"/>
        <v>0.1</v>
      </c>
    </row>
    <row r="186" spans="2:25" x14ac:dyDescent="0.35">
      <c r="B186" s="18">
        <f t="shared" si="47"/>
        <v>167</v>
      </c>
      <c r="C186" s="85">
        <f t="shared" si="49"/>
        <v>0</v>
      </c>
      <c r="D186" s="85">
        <f t="shared" si="50"/>
        <v>0</v>
      </c>
      <c r="E186" s="84">
        <f t="shared" si="51"/>
        <v>0</v>
      </c>
      <c r="F186" s="135">
        <f t="shared" si="52"/>
        <v>0</v>
      </c>
      <c r="G186" s="413">
        <f t="shared" si="40"/>
        <v>0</v>
      </c>
      <c r="H186" s="413">
        <f t="shared" si="41"/>
        <v>0</v>
      </c>
      <c r="I186" s="275">
        <f t="shared" si="53"/>
        <v>0</v>
      </c>
      <c r="J186" s="275">
        <f t="shared" si="54"/>
        <v>0</v>
      </c>
      <c r="K186" s="137">
        <f t="shared" si="42"/>
        <v>0</v>
      </c>
      <c r="L186" s="15" t="s">
        <v>0</v>
      </c>
      <c r="M186" s="88">
        <v>0</v>
      </c>
      <c r="N186" s="88">
        <v>0</v>
      </c>
      <c r="O186" s="155">
        <v>1E+16</v>
      </c>
      <c r="P186" s="68">
        <v>109575</v>
      </c>
      <c r="Q186" s="3">
        <f t="shared" si="43"/>
        <v>64601</v>
      </c>
      <c r="R186" s="107">
        <f t="shared" si="48"/>
        <v>18.66</v>
      </c>
      <c r="S186" s="105">
        <f t="shared" si="44"/>
        <v>26311205.816876858</v>
      </c>
      <c r="T186" s="341">
        <v>0</v>
      </c>
      <c r="U186" s="341">
        <v>0</v>
      </c>
      <c r="V186" s="341">
        <v>0</v>
      </c>
      <c r="W186" s="341">
        <v>0</v>
      </c>
      <c r="X186" s="281">
        <f t="shared" si="45"/>
        <v>0.02</v>
      </c>
      <c r="Y186" s="282">
        <f t="shared" si="46"/>
        <v>0.1</v>
      </c>
    </row>
    <row r="187" spans="2:25" x14ac:dyDescent="0.35">
      <c r="B187" s="18">
        <f t="shared" si="47"/>
        <v>168</v>
      </c>
      <c r="C187" s="85">
        <f t="shared" si="49"/>
        <v>0</v>
      </c>
      <c r="D187" s="85">
        <f t="shared" si="50"/>
        <v>0</v>
      </c>
      <c r="E187" s="84">
        <f t="shared" si="51"/>
        <v>0</v>
      </c>
      <c r="F187" s="135">
        <f t="shared" si="52"/>
        <v>0</v>
      </c>
      <c r="G187" s="413">
        <f t="shared" si="40"/>
        <v>0</v>
      </c>
      <c r="H187" s="413">
        <f t="shared" si="41"/>
        <v>0</v>
      </c>
      <c r="I187" s="275">
        <f t="shared" si="53"/>
        <v>0</v>
      </c>
      <c r="J187" s="275">
        <f t="shared" si="54"/>
        <v>0</v>
      </c>
      <c r="K187" s="137">
        <f t="shared" si="42"/>
        <v>0</v>
      </c>
      <c r="L187" s="15" t="s">
        <v>0</v>
      </c>
      <c r="M187" s="88">
        <v>0</v>
      </c>
      <c r="N187" s="88">
        <v>0</v>
      </c>
      <c r="O187" s="155">
        <v>1E+16</v>
      </c>
      <c r="P187" s="68">
        <v>109575</v>
      </c>
      <c r="Q187" s="3">
        <f t="shared" si="43"/>
        <v>64601</v>
      </c>
      <c r="R187" s="107">
        <f t="shared" si="48"/>
        <v>18.66</v>
      </c>
      <c r="S187" s="105">
        <f t="shared" si="44"/>
        <v>26311205.816876858</v>
      </c>
      <c r="T187" s="341">
        <v>0</v>
      </c>
      <c r="U187" s="341">
        <v>0</v>
      </c>
      <c r="V187" s="341">
        <v>0</v>
      </c>
      <c r="W187" s="341">
        <v>0</v>
      </c>
      <c r="X187" s="281">
        <f t="shared" si="45"/>
        <v>0.02</v>
      </c>
      <c r="Y187" s="282">
        <f t="shared" si="46"/>
        <v>0.1</v>
      </c>
    </row>
    <row r="188" spans="2:25" x14ac:dyDescent="0.35">
      <c r="B188" s="18">
        <f t="shared" si="47"/>
        <v>169</v>
      </c>
      <c r="C188" s="85">
        <f t="shared" si="49"/>
        <v>0</v>
      </c>
      <c r="D188" s="85">
        <f t="shared" si="50"/>
        <v>0</v>
      </c>
      <c r="E188" s="84">
        <f t="shared" si="51"/>
        <v>0</v>
      </c>
      <c r="F188" s="135">
        <f t="shared" si="52"/>
        <v>0</v>
      </c>
      <c r="G188" s="413">
        <f t="shared" si="40"/>
        <v>0</v>
      </c>
      <c r="H188" s="413">
        <f t="shared" si="41"/>
        <v>0</v>
      </c>
      <c r="I188" s="275">
        <f t="shared" si="53"/>
        <v>0</v>
      </c>
      <c r="J188" s="275">
        <f t="shared" si="54"/>
        <v>0</v>
      </c>
      <c r="K188" s="137">
        <f t="shared" si="42"/>
        <v>0</v>
      </c>
      <c r="L188" s="15" t="s">
        <v>0</v>
      </c>
      <c r="M188" s="88">
        <v>0</v>
      </c>
      <c r="N188" s="88">
        <v>0</v>
      </c>
      <c r="O188" s="155">
        <v>1E+16</v>
      </c>
      <c r="P188" s="68">
        <v>109575</v>
      </c>
      <c r="Q188" s="3">
        <f t="shared" si="43"/>
        <v>64601</v>
      </c>
      <c r="R188" s="107">
        <f t="shared" si="48"/>
        <v>18.66</v>
      </c>
      <c r="S188" s="105">
        <f t="shared" si="44"/>
        <v>26311205.816876858</v>
      </c>
      <c r="T188" s="341">
        <v>0</v>
      </c>
      <c r="U188" s="341">
        <v>0</v>
      </c>
      <c r="V188" s="341">
        <v>0</v>
      </c>
      <c r="W188" s="341">
        <v>0</v>
      </c>
      <c r="X188" s="281">
        <f t="shared" si="45"/>
        <v>0.02</v>
      </c>
      <c r="Y188" s="282">
        <f t="shared" si="46"/>
        <v>0.1</v>
      </c>
    </row>
    <row r="189" spans="2:25" x14ac:dyDescent="0.35">
      <c r="B189" s="18">
        <f t="shared" si="47"/>
        <v>170</v>
      </c>
      <c r="C189" s="85">
        <f t="shared" si="49"/>
        <v>0</v>
      </c>
      <c r="D189" s="85">
        <f t="shared" si="50"/>
        <v>0</v>
      </c>
      <c r="E189" s="84">
        <f t="shared" si="51"/>
        <v>0</v>
      </c>
      <c r="F189" s="135">
        <f t="shared" si="52"/>
        <v>0</v>
      </c>
      <c r="G189" s="413">
        <f t="shared" si="40"/>
        <v>0</v>
      </c>
      <c r="H189" s="413">
        <f t="shared" si="41"/>
        <v>0</v>
      </c>
      <c r="I189" s="275">
        <f t="shared" si="53"/>
        <v>0</v>
      </c>
      <c r="J189" s="275">
        <f t="shared" si="54"/>
        <v>0</v>
      </c>
      <c r="K189" s="137">
        <f t="shared" si="42"/>
        <v>0</v>
      </c>
      <c r="L189" s="15" t="s">
        <v>0</v>
      </c>
      <c r="M189" s="88">
        <v>0</v>
      </c>
      <c r="N189" s="88">
        <v>0</v>
      </c>
      <c r="O189" s="155">
        <v>1E+16</v>
      </c>
      <c r="P189" s="68">
        <v>109575</v>
      </c>
      <c r="Q189" s="3">
        <f t="shared" si="43"/>
        <v>64601</v>
      </c>
      <c r="R189" s="107">
        <f t="shared" si="48"/>
        <v>18.66</v>
      </c>
      <c r="S189" s="105">
        <f t="shared" si="44"/>
        <v>26311205.816876858</v>
      </c>
      <c r="T189" s="341">
        <v>0</v>
      </c>
      <c r="U189" s="341">
        <v>0</v>
      </c>
      <c r="V189" s="341">
        <v>0</v>
      </c>
      <c r="W189" s="341">
        <v>0</v>
      </c>
      <c r="X189" s="281">
        <f t="shared" si="45"/>
        <v>0.02</v>
      </c>
      <c r="Y189" s="282">
        <f t="shared" si="46"/>
        <v>0.1</v>
      </c>
    </row>
    <row r="190" spans="2:25" x14ac:dyDescent="0.35">
      <c r="B190" s="18">
        <f t="shared" si="47"/>
        <v>171</v>
      </c>
      <c r="C190" s="85">
        <f t="shared" si="49"/>
        <v>0</v>
      </c>
      <c r="D190" s="85">
        <f t="shared" si="50"/>
        <v>0</v>
      </c>
      <c r="E190" s="84">
        <f t="shared" si="51"/>
        <v>0</v>
      </c>
      <c r="F190" s="135">
        <f t="shared" si="52"/>
        <v>0</v>
      </c>
      <c r="G190" s="413">
        <f t="shared" si="40"/>
        <v>0</v>
      </c>
      <c r="H190" s="413">
        <f t="shared" si="41"/>
        <v>0</v>
      </c>
      <c r="I190" s="275">
        <f t="shared" si="53"/>
        <v>0</v>
      </c>
      <c r="J190" s="275">
        <f t="shared" si="54"/>
        <v>0</v>
      </c>
      <c r="K190" s="137">
        <f t="shared" si="42"/>
        <v>0</v>
      </c>
      <c r="L190" s="15" t="s">
        <v>0</v>
      </c>
      <c r="M190" s="88">
        <v>0</v>
      </c>
      <c r="N190" s="88">
        <v>0</v>
      </c>
      <c r="O190" s="155">
        <v>1E+16</v>
      </c>
      <c r="P190" s="68">
        <v>109575</v>
      </c>
      <c r="Q190" s="3">
        <f t="shared" si="43"/>
        <v>64601</v>
      </c>
      <c r="R190" s="107">
        <f t="shared" si="48"/>
        <v>18.66</v>
      </c>
      <c r="S190" s="105">
        <f t="shared" si="44"/>
        <v>26311205.816876858</v>
      </c>
      <c r="T190" s="341">
        <v>0</v>
      </c>
      <c r="U190" s="341">
        <v>0</v>
      </c>
      <c r="V190" s="341">
        <v>0</v>
      </c>
      <c r="W190" s="341">
        <v>0</v>
      </c>
      <c r="X190" s="281">
        <f t="shared" si="45"/>
        <v>0.02</v>
      </c>
      <c r="Y190" s="282">
        <f t="shared" si="46"/>
        <v>0.1</v>
      </c>
    </row>
    <row r="191" spans="2:25" x14ac:dyDescent="0.35">
      <c r="B191" s="18">
        <f t="shared" si="47"/>
        <v>172</v>
      </c>
      <c r="C191" s="85">
        <f t="shared" si="49"/>
        <v>0</v>
      </c>
      <c r="D191" s="85">
        <f t="shared" si="50"/>
        <v>0</v>
      </c>
      <c r="E191" s="84">
        <f t="shared" si="51"/>
        <v>0</v>
      </c>
      <c r="F191" s="135">
        <f t="shared" si="52"/>
        <v>0</v>
      </c>
      <c r="G191" s="413">
        <f t="shared" si="40"/>
        <v>0</v>
      </c>
      <c r="H191" s="413">
        <f t="shared" si="41"/>
        <v>0</v>
      </c>
      <c r="I191" s="275">
        <f t="shared" si="53"/>
        <v>0</v>
      </c>
      <c r="J191" s="275">
        <f t="shared" si="54"/>
        <v>0</v>
      </c>
      <c r="K191" s="137">
        <f t="shared" si="42"/>
        <v>0</v>
      </c>
      <c r="L191" s="15" t="s">
        <v>0</v>
      </c>
      <c r="M191" s="88">
        <v>0</v>
      </c>
      <c r="N191" s="88">
        <v>0</v>
      </c>
      <c r="O191" s="155">
        <v>1E+16</v>
      </c>
      <c r="P191" s="68">
        <v>109575</v>
      </c>
      <c r="Q191" s="3">
        <f t="shared" si="43"/>
        <v>64601</v>
      </c>
      <c r="R191" s="107">
        <f t="shared" si="48"/>
        <v>18.66</v>
      </c>
      <c r="S191" s="105">
        <f t="shared" si="44"/>
        <v>26311205.816876858</v>
      </c>
      <c r="T191" s="341">
        <v>0</v>
      </c>
      <c r="U191" s="341">
        <v>0</v>
      </c>
      <c r="V191" s="341">
        <v>0</v>
      </c>
      <c r="W191" s="341">
        <v>0</v>
      </c>
      <c r="X191" s="281">
        <f t="shared" si="45"/>
        <v>0.02</v>
      </c>
      <c r="Y191" s="282">
        <f t="shared" si="46"/>
        <v>0.1</v>
      </c>
    </row>
    <row r="192" spans="2:25" x14ac:dyDescent="0.35">
      <c r="B192" s="18">
        <f t="shared" si="47"/>
        <v>173</v>
      </c>
      <c r="C192" s="85">
        <f t="shared" si="49"/>
        <v>0</v>
      </c>
      <c r="D192" s="85">
        <f t="shared" si="50"/>
        <v>0</v>
      </c>
      <c r="E192" s="84">
        <f t="shared" si="51"/>
        <v>0</v>
      </c>
      <c r="F192" s="135">
        <f t="shared" si="52"/>
        <v>0</v>
      </c>
      <c r="G192" s="413">
        <f t="shared" si="40"/>
        <v>0</v>
      </c>
      <c r="H192" s="413">
        <f t="shared" si="41"/>
        <v>0</v>
      </c>
      <c r="I192" s="275">
        <f t="shared" si="53"/>
        <v>0</v>
      </c>
      <c r="J192" s="275">
        <f t="shared" si="54"/>
        <v>0</v>
      </c>
      <c r="K192" s="137">
        <f t="shared" si="42"/>
        <v>0</v>
      </c>
      <c r="L192" s="15" t="s">
        <v>0</v>
      </c>
      <c r="M192" s="88">
        <v>0</v>
      </c>
      <c r="N192" s="88">
        <v>0</v>
      </c>
      <c r="O192" s="155">
        <v>1E+16</v>
      </c>
      <c r="P192" s="68">
        <v>109575</v>
      </c>
      <c r="Q192" s="3">
        <f t="shared" si="43"/>
        <v>64601</v>
      </c>
      <c r="R192" s="107">
        <f t="shared" si="48"/>
        <v>18.66</v>
      </c>
      <c r="S192" s="105">
        <f t="shared" si="44"/>
        <v>26311205.816876858</v>
      </c>
      <c r="T192" s="341">
        <v>0</v>
      </c>
      <c r="U192" s="341">
        <v>0</v>
      </c>
      <c r="V192" s="341">
        <v>0</v>
      </c>
      <c r="W192" s="341">
        <v>0</v>
      </c>
      <c r="X192" s="281">
        <f t="shared" si="45"/>
        <v>0.02</v>
      </c>
      <c r="Y192" s="282">
        <f t="shared" si="46"/>
        <v>0.1</v>
      </c>
    </row>
    <row r="193" spans="2:25" x14ac:dyDescent="0.35">
      <c r="B193" s="18">
        <f t="shared" si="47"/>
        <v>174</v>
      </c>
      <c r="C193" s="85">
        <f t="shared" si="49"/>
        <v>0</v>
      </c>
      <c r="D193" s="85">
        <f t="shared" si="50"/>
        <v>0</v>
      </c>
      <c r="E193" s="84">
        <f t="shared" si="51"/>
        <v>0</v>
      </c>
      <c r="F193" s="135">
        <f t="shared" si="52"/>
        <v>0</v>
      </c>
      <c r="G193" s="413">
        <f t="shared" si="40"/>
        <v>0</v>
      </c>
      <c r="H193" s="413">
        <f t="shared" si="41"/>
        <v>0</v>
      </c>
      <c r="I193" s="275">
        <f t="shared" si="53"/>
        <v>0</v>
      </c>
      <c r="J193" s="275">
        <f t="shared" si="54"/>
        <v>0</v>
      </c>
      <c r="K193" s="137">
        <f t="shared" si="42"/>
        <v>0</v>
      </c>
      <c r="L193" s="15" t="s">
        <v>0</v>
      </c>
      <c r="M193" s="88">
        <v>0</v>
      </c>
      <c r="N193" s="88">
        <v>0</v>
      </c>
      <c r="O193" s="155">
        <v>1E+16</v>
      </c>
      <c r="P193" s="68">
        <v>109575</v>
      </c>
      <c r="Q193" s="3">
        <f t="shared" si="43"/>
        <v>64601</v>
      </c>
      <c r="R193" s="107">
        <f t="shared" si="48"/>
        <v>18.66</v>
      </c>
      <c r="S193" s="105">
        <f t="shared" si="44"/>
        <v>26311205.816876858</v>
      </c>
      <c r="T193" s="341">
        <v>0</v>
      </c>
      <c r="U193" s="341">
        <v>0</v>
      </c>
      <c r="V193" s="341">
        <v>0</v>
      </c>
      <c r="W193" s="341">
        <v>0</v>
      </c>
      <c r="X193" s="281">
        <f t="shared" si="45"/>
        <v>0.02</v>
      </c>
      <c r="Y193" s="282">
        <f t="shared" si="46"/>
        <v>0.1</v>
      </c>
    </row>
    <row r="194" spans="2:25" x14ac:dyDescent="0.35">
      <c r="B194" s="18">
        <f t="shared" si="47"/>
        <v>175</v>
      </c>
      <c r="C194" s="85">
        <f t="shared" si="49"/>
        <v>0</v>
      </c>
      <c r="D194" s="85">
        <f t="shared" si="50"/>
        <v>0</v>
      </c>
      <c r="E194" s="84">
        <f t="shared" si="51"/>
        <v>0</v>
      </c>
      <c r="F194" s="135">
        <f t="shared" si="52"/>
        <v>0</v>
      </c>
      <c r="G194" s="413">
        <f t="shared" si="40"/>
        <v>0</v>
      </c>
      <c r="H194" s="413">
        <f t="shared" si="41"/>
        <v>0</v>
      </c>
      <c r="I194" s="275">
        <f t="shared" si="53"/>
        <v>0</v>
      </c>
      <c r="J194" s="275">
        <f t="shared" si="54"/>
        <v>0</v>
      </c>
      <c r="K194" s="137">
        <f t="shared" si="42"/>
        <v>0</v>
      </c>
      <c r="L194" s="15" t="s">
        <v>0</v>
      </c>
      <c r="M194" s="88">
        <v>0</v>
      </c>
      <c r="N194" s="88">
        <v>0</v>
      </c>
      <c r="O194" s="155">
        <v>1E+16</v>
      </c>
      <c r="P194" s="68">
        <v>109575</v>
      </c>
      <c r="Q194" s="3">
        <f t="shared" si="43"/>
        <v>64601</v>
      </c>
      <c r="R194" s="107">
        <f t="shared" si="48"/>
        <v>18.66</v>
      </c>
      <c r="S194" s="105">
        <f t="shared" si="44"/>
        <v>26311205.816876858</v>
      </c>
      <c r="T194" s="341">
        <v>0</v>
      </c>
      <c r="U194" s="341">
        <v>0</v>
      </c>
      <c r="V194" s="341">
        <v>0</v>
      </c>
      <c r="W194" s="341">
        <v>0</v>
      </c>
      <c r="X194" s="281">
        <f t="shared" si="45"/>
        <v>0.02</v>
      </c>
      <c r="Y194" s="282">
        <f t="shared" si="46"/>
        <v>0.1</v>
      </c>
    </row>
    <row r="195" spans="2:25" x14ac:dyDescent="0.35">
      <c r="B195" s="18">
        <f t="shared" si="47"/>
        <v>176</v>
      </c>
      <c r="C195" s="85">
        <f t="shared" si="49"/>
        <v>0</v>
      </c>
      <c r="D195" s="85">
        <f t="shared" si="50"/>
        <v>0</v>
      </c>
      <c r="E195" s="84">
        <f t="shared" si="51"/>
        <v>0</v>
      </c>
      <c r="F195" s="135">
        <f t="shared" si="52"/>
        <v>0</v>
      </c>
      <c r="G195" s="413">
        <f t="shared" si="40"/>
        <v>0</v>
      </c>
      <c r="H195" s="413">
        <f t="shared" si="41"/>
        <v>0</v>
      </c>
      <c r="I195" s="275">
        <f t="shared" si="53"/>
        <v>0</v>
      </c>
      <c r="J195" s="275">
        <f t="shared" si="54"/>
        <v>0</v>
      </c>
      <c r="K195" s="137">
        <f t="shared" si="42"/>
        <v>0</v>
      </c>
      <c r="L195" s="15" t="s">
        <v>0</v>
      </c>
      <c r="M195" s="88">
        <v>0</v>
      </c>
      <c r="N195" s="88">
        <v>0</v>
      </c>
      <c r="O195" s="155">
        <v>1E+16</v>
      </c>
      <c r="P195" s="68">
        <v>109575</v>
      </c>
      <c r="Q195" s="3">
        <f t="shared" si="43"/>
        <v>64601</v>
      </c>
      <c r="R195" s="107">
        <f t="shared" si="48"/>
        <v>18.66</v>
      </c>
      <c r="S195" s="105">
        <f t="shared" si="44"/>
        <v>26311205.816876858</v>
      </c>
      <c r="T195" s="341">
        <v>0</v>
      </c>
      <c r="U195" s="341">
        <v>0</v>
      </c>
      <c r="V195" s="341">
        <v>0</v>
      </c>
      <c r="W195" s="341">
        <v>0</v>
      </c>
      <c r="X195" s="281">
        <f t="shared" si="45"/>
        <v>0.02</v>
      </c>
      <c r="Y195" s="282">
        <f t="shared" si="46"/>
        <v>0.1</v>
      </c>
    </row>
    <row r="196" spans="2:25" x14ac:dyDescent="0.35">
      <c r="B196" s="18">
        <f t="shared" si="47"/>
        <v>177</v>
      </c>
      <c r="C196" s="85">
        <f t="shared" si="49"/>
        <v>0</v>
      </c>
      <c r="D196" s="85">
        <f t="shared" si="50"/>
        <v>0</v>
      </c>
      <c r="E196" s="84">
        <f t="shared" si="51"/>
        <v>0</v>
      </c>
      <c r="F196" s="135">
        <f t="shared" si="52"/>
        <v>0</v>
      </c>
      <c r="G196" s="413">
        <f t="shared" si="40"/>
        <v>0</v>
      </c>
      <c r="H196" s="413">
        <f t="shared" si="41"/>
        <v>0</v>
      </c>
      <c r="I196" s="275">
        <f t="shared" si="53"/>
        <v>0</v>
      </c>
      <c r="J196" s="275">
        <f t="shared" si="54"/>
        <v>0</v>
      </c>
      <c r="K196" s="137">
        <f t="shared" si="42"/>
        <v>0</v>
      </c>
      <c r="L196" s="15" t="s">
        <v>0</v>
      </c>
      <c r="M196" s="88">
        <v>0</v>
      </c>
      <c r="N196" s="88">
        <v>0</v>
      </c>
      <c r="O196" s="155">
        <v>1E+16</v>
      </c>
      <c r="P196" s="68">
        <v>109575</v>
      </c>
      <c r="Q196" s="3">
        <f t="shared" si="43"/>
        <v>64601</v>
      </c>
      <c r="R196" s="107">
        <f t="shared" si="48"/>
        <v>18.66</v>
      </c>
      <c r="S196" s="105">
        <f t="shared" si="44"/>
        <v>26311205.816876858</v>
      </c>
      <c r="T196" s="341">
        <v>0</v>
      </c>
      <c r="U196" s="341">
        <v>0</v>
      </c>
      <c r="V196" s="341">
        <v>0</v>
      </c>
      <c r="W196" s="341">
        <v>0</v>
      </c>
      <c r="X196" s="281">
        <f t="shared" si="45"/>
        <v>0.02</v>
      </c>
      <c r="Y196" s="282">
        <f t="shared" si="46"/>
        <v>0.1</v>
      </c>
    </row>
    <row r="197" spans="2:25" x14ac:dyDescent="0.35">
      <c r="B197" s="18">
        <f t="shared" si="47"/>
        <v>178</v>
      </c>
      <c r="C197" s="85">
        <f t="shared" si="49"/>
        <v>0</v>
      </c>
      <c r="D197" s="85">
        <f t="shared" si="50"/>
        <v>0</v>
      </c>
      <c r="E197" s="84">
        <f t="shared" si="51"/>
        <v>0</v>
      </c>
      <c r="F197" s="135">
        <f t="shared" si="52"/>
        <v>0</v>
      </c>
      <c r="G197" s="413">
        <f t="shared" si="40"/>
        <v>0</v>
      </c>
      <c r="H197" s="413">
        <f t="shared" si="41"/>
        <v>0</v>
      </c>
      <c r="I197" s="275">
        <f t="shared" si="53"/>
        <v>0</v>
      </c>
      <c r="J197" s="275">
        <f t="shared" si="54"/>
        <v>0</v>
      </c>
      <c r="K197" s="137">
        <f t="shared" si="42"/>
        <v>0</v>
      </c>
      <c r="L197" s="15" t="s">
        <v>0</v>
      </c>
      <c r="M197" s="88">
        <v>0</v>
      </c>
      <c r="N197" s="88">
        <v>0</v>
      </c>
      <c r="O197" s="155">
        <v>1E+16</v>
      </c>
      <c r="P197" s="68">
        <v>109575</v>
      </c>
      <c r="Q197" s="3">
        <f t="shared" si="43"/>
        <v>64601</v>
      </c>
      <c r="R197" s="107">
        <f t="shared" si="48"/>
        <v>18.66</v>
      </c>
      <c r="S197" s="105">
        <f t="shared" si="44"/>
        <v>26311205.816876858</v>
      </c>
      <c r="T197" s="341">
        <v>0</v>
      </c>
      <c r="U197" s="341">
        <v>0</v>
      </c>
      <c r="V197" s="341">
        <v>0</v>
      </c>
      <c r="W197" s="341">
        <v>0</v>
      </c>
      <c r="X197" s="281">
        <f t="shared" si="45"/>
        <v>0.02</v>
      </c>
      <c r="Y197" s="282">
        <f t="shared" si="46"/>
        <v>0.1</v>
      </c>
    </row>
    <row r="198" spans="2:25" x14ac:dyDescent="0.35">
      <c r="B198" s="18">
        <f t="shared" si="47"/>
        <v>179</v>
      </c>
      <c r="C198" s="85">
        <f t="shared" si="49"/>
        <v>0</v>
      </c>
      <c r="D198" s="85">
        <f t="shared" si="50"/>
        <v>0</v>
      </c>
      <c r="E198" s="84">
        <f t="shared" si="51"/>
        <v>0</v>
      </c>
      <c r="F198" s="135">
        <f t="shared" si="52"/>
        <v>0</v>
      </c>
      <c r="G198" s="413">
        <f t="shared" si="40"/>
        <v>0</v>
      </c>
      <c r="H198" s="413">
        <f t="shared" si="41"/>
        <v>0</v>
      </c>
      <c r="I198" s="275">
        <f t="shared" si="53"/>
        <v>0</v>
      </c>
      <c r="J198" s="275">
        <f t="shared" si="54"/>
        <v>0</v>
      </c>
      <c r="K198" s="137">
        <f t="shared" si="42"/>
        <v>0</v>
      </c>
      <c r="L198" s="15" t="s">
        <v>0</v>
      </c>
      <c r="M198" s="88">
        <v>0</v>
      </c>
      <c r="N198" s="88">
        <v>0</v>
      </c>
      <c r="O198" s="155">
        <v>1E+16</v>
      </c>
      <c r="P198" s="68">
        <v>109575</v>
      </c>
      <c r="Q198" s="3">
        <f t="shared" si="43"/>
        <v>64601</v>
      </c>
      <c r="R198" s="107">
        <f t="shared" si="48"/>
        <v>18.66</v>
      </c>
      <c r="S198" s="105">
        <f t="shared" si="44"/>
        <v>26311205.816876858</v>
      </c>
      <c r="T198" s="341">
        <v>0</v>
      </c>
      <c r="U198" s="341">
        <v>0</v>
      </c>
      <c r="V198" s="341">
        <v>0</v>
      </c>
      <c r="W198" s="341">
        <v>0</v>
      </c>
      <c r="X198" s="281">
        <f t="shared" si="45"/>
        <v>0.02</v>
      </c>
      <c r="Y198" s="282">
        <f t="shared" si="46"/>
        <v>0.1</v>
      </c>
    </row>
    <row r="199" spans="2:25" x14ac:dyDescent="0.35">
      <c r="B199" s="18">
        <f t="shared" si="47"/>
        <v>180</v>
      </c>
      <c r="C199" s="85">
        <f t="shared" si="49"/>
        <v>0</v>
      </c>
      <c r="D199" s="85">
        <f t="shared" si="50"/>
        <v>0</v>
      </c>
      <c r="E199" s="84">
        <f t="shared" si="51"/>
        <v>0</v>
      </c>
      <c r="F199" s="135">
        <f t="shared" si="52"/>
        <v>0</v>
      </c>
      <c r="G199" s="413">
        <f t="shared" si="40"/>
        <v>0</v>
      </c>
      <c r="H199" s="413">
        <f t="shared" si="41"/>
        <v>0</v>
      </c>
      <c r="I199" s="275">
        <f t="shared" si="53"/>
        <v>0</v>
      </c>
      <c r="J199" s="275">
        <f t="shared" si="54"/>
        <v>0</v>
      </c>
      <c r="K199" s="137">
        <f t="shared" si="42"/>
        <v>0</v>
      </c>
      <c r="L199" s="15" t="s">
        <v>0</v>
      </c>
      <c r="M199" s="88">
        <v>0</v>
      </c>
      <c r="N199" s="88">
        <v>0</v>
      </c>
      <c r="O199" s="155">
        <v>1E+16</v>
      </c>
      <c r="P199" s="68">
        <v>109575</v>
      </c>
      <c r="Q199" s="3">
        <f t="shared" si="43"/>
        <v>64601</v>
      </c>
      <c r="R199" s="107">
        <f t="shared" si="48"/>
        <v>18.66</v>
      </c>
      <c r="S199" s="105">
        <f t="shared" si="44"/>
        <v>26311205.816876858</v>
      </c>
      <c r="T199" s="341">
        <v>0</v>
      </c>
      <c r="U199" s="341">
        <v>0</v>
      </c>
      <c r="V199" s="341">
        <v>0</v>
      </c>
      <c r="W199" s="341">
        <v>0</v>
      </c>
      <c r="X199" s="281">
        <f t="shared" si="45"/>
        <v>0.02</v>
      </c>
      <c r="Y199" s="282">
        <f t="shared" si="46"/>
        <v>0.1</v>
      </c>
    </row>
    <row r="200" spans="2:25" x14ac:dyDescent="0.35">
      <c r="B200" s="18">
        <f t="shared" si="47"/>
        <v>181</v>
      </c>
      <c r="C200" s="85">
        <f t="shared" si="49"/>
        <v>0</v>
      </c>
      <c r="D200" s="85">
        <f t="shared" si="50"/>
        <v>0</v>
      </c>
      <c r="E200" s="84">
        <f t="shared" si="51"/>
        <v>0</v>
      </c>
      <c r="F200" s="135">
        <f t="shared" si="52"/>
        <v>0</v>
      </c>
      <c r="G200" s="413">
        <f t="shared" si="40"/>
        <v>0</v>
      </c>
      <c r="H200" s="413">
        <f t="shared" si="41"/>
        <v>0</v>
      </c>
      <c r="I200" s="275">
        <f t="shared" si="53"/>
        <v>0</v>
      </c>
      <c r="J200" s="275">
        <f t="shared" si="54"/>
        <v>0</v>
      </c>
      <c r="K200" s="137">
        <f t="shared" si="42"/>
        <v>0</v>
      </c>
      <c r="L200" s="15" t="s">
        <v>0</v>
      </c>
      <c r="M200" s="88">
        <v>0</v>
      </c>
      <c r="N200" s="88">
        <v>0</v>
      </c>
      <c r="O200" s="155">
        <v>1E+16</v>
      </c>
      <c r="P200" s="68">
        <v>109575</v>
      </c>
      <c r="Q200" s="3">
        <f t="shared" si="43"/>
        <v>64601</v>
      </c>
      <c r="R200" s="107">
        <f t="shared" si="48"/>
        <v>18.66</v>
      </c>
      <c r="S200" s="105">
        <f t="shared" si="44"/>
        <v>26311205.816876858</v>
      </c>
      <c r="T200" s="341">
        <v>0</v>
      </c>
      <c r="U200" s="341">
        <v>0</v>
      </c>
      <c r="V200" s="341">
        <v>0</v>
      </c>
      <c r="W200" s="341">
        <v>0</v>
      </c>
      <c r="X200" s="281">
        <f t="shared" si="45"/>
        <v>0.02</v>
      </c>
      <c r="Y200" s="282">
        <f t="shared" si="46"/>
        <v>0.1</v>
      </c>
    </row>
    <row r="201" spans="2:25" x14ac:dyDescent="0.35">
      <c r="B201" s="18">
        <f t="shared" si="47"/>
        <v>182</v>
      </c>
      <c r="C201" s="85">
        <f t="shared" si="49"/>
        <v>0</v>
      </c>
      <c r="D201" s="85">
        <f t="shared" si="50"/>
        <v>0</v>
      </c>
      <c r="E201" s="84">
        <f t="shared" si="51"/>
        <v>0</v>
      </c>
      <c r="F201" s="135">
        <f t="shared" si="52"/>
        <v>0</v>
      </c>
      <c r="G201" s="413">
        <f t="shared" si="40"/>
        <v>0</v>
      </c>
      <c r="H201" s="413">
        <f t="shared" si="41"/>
        <v>0</v>
      </c>
      <c r="I201" s="275">
        <f t="shared" si="53"/>
        <v>0</v>
      </c>
      <c r="J201" s="275">
        <f t="shared" si="54"/>
        <v>0</v>
      </c>
      <c r="K201" s="137">
        <f t="shared" si="42"/>
        <v>0</v>
      </c>
      <c r="L201" s="15" t="s">
        <v>0</v>
      </c>
      <c r="M201" s="88">
        <v>0</v>
      </c>
      <c r="N201" s="88">
        <v>0</v>
      </c>
      <c r="O201" s="155">
        <v>1E+16</v>
      </c>
      <c r="P201" s="68">
        <v>109575</v>
      </c>
      <c r="Q201" s="3">
        <f t="shared" si="43"/>
        <v>64601</v>
      </c>
      <c r="R201" s="107">
        <f t="shared" si="48"/>
        <v>18.66</v>
      </c>
      <c r="S201" s="105">
        <f t="shared" si="44"/>
        <v>26311205.816876858</v>
      </c>
      <c r="T201" s="341">
        <v>0</v>
      </c>
      <c r="U201" s="341">
        <v>0</v>
      </c>
      <c r="V201" s="341">
        <v>0</v>
      </c>
      <c r="W201" s="341">
        <v>0</v>
      </c>
      <c r="X201" s="281">
        <f t="shared" si="45"/>
        <v>0.02</v>
      </c>
      <c r="Y201" s="282">
        <f t="shared" si="46"/>
        <v>0.1</v>
      </c>
    </row>
    <row r="202" spans="2:25" x14ac:dyDescent="0.35">
      <c r="B202" s="18">
        <f t="shared" si="47"/>
        <v>183</v>
      </c>
      <c r="C202" s="85">
        <f t="shared" si="49"/>
        <v>0</v>
      </c>
      <c r="D202" s="85">
        <f t="shared" si="50"/>
        <v>0</v>
      </c>
      <c r="E202" s="84">
        <f t="shared" si="51"/>
        <v>0</v>
      </c>
      <c r="F202" s="135">
        <f t="shared" si="52"/>
        <v>0</v>
      </c>
      <c r="G202" s="413">
        <f t="shared" si="40"/>
        <v>0</v>
      </c>
      <c r="H202" s="413">
        <f t="shared" si="41"/>
        <v>0</v>
      </c>
      <c r="I202" s="275">
        <f t="shared" si="53"/>
        <v>0</v>
      </c>
      <c r="J202" s="275">
        <f t="shared" si="54"/>
        <v>0</v>
      </c>
      <c r="K202" s="137">
        <f t="shared" si="42"/>
        <v>0</v>
      </c>
      <c r="L202" s="15" t="s">
        <v>0</v>
      </c>
      <c r="M202" s="88">
        <v>0</v>
      </c>
      <c r="N202" s="88">
        <v>0</v>
      </c>
      <c r="O202" s="155">
        <v>1E+16</v>
      </c>
      <c r="P202" s="68">
        <v>109575</v>
      </c>
      <c r="Q202" s="3">
        <f t="shared" si="43"/>
        <v>64601</v>
      </c>
      <c r="R202" s="107">
        <f t="shared" si="48"/>
        <v>18.66</v>
      </c>
      <c r="S202" s="105">
        <f t="shared" si="44"/>
        <v>26311205.816876858</v>
      </c>
      <c r="T202" s="341">
        <v>0</v>
      </c>
      <c r="U202" s="341">
        <v>0</v>
      </c>
      <c r="V202" s="341">
        <v>0</v>
      </c>
      <c r="W202" s="341">
        <v>0</v>
      </c>
      <c r="X202" s="281">
        <f t="shared" si="45"/>
        <v>0.02</v>
      </c>
      <c r="Y202" s="282">
        <f t="shared" si="46"/>
        <v>0.1</v>
      </c>
    </row>
    <row r="203" spans="2:25" x14ac:dyDescent="0.35">
      <c r="B203" s="18">
        <f t="shared" si="47"/>
        <v>184</v>
      </c>
      <c r="C203" s="85">
        <f t="shared" si="49"/>
        <v>0</v>
      </c>
      <c r="D203" s="85">
        <f t="shared" si="50"/>
        <v>0</v>
      </c>
      <c r="E203" s="84">
        <f t="shared" si="51"/>
        <v>0</v>
      </c>
      <c r="F203" s="135">
        <f t="shared" si="52"/>
        <v>0</v>
      </c>
      <c r="G203" s="413">
        <f t="shared" si="40"/>
        <v>0</v>
      </c>
      <c r="H203" s="413">
        <f t="shared" si="41"/>
        <v>0</v>
      </c>
      <c r="I203" s="275">
        <f t="shared" si="53"/>
        <v>0</v>
      </c>
      <c r="J203" s="275">
        <f t="shared" si="54"/>
        <v>0</v>
      </c>
      <c r="K203" s="137">
        <f t="shared" si="42"/>
        <v>0</v>
      </c>
      <c r="L203" s="15" t="s">
        <v>0</v>
      </c>
      <c r="M203" s="88">
        <v>0</v>
      </c>
      <c r="N203" s="88">
        <v>0</v>
      </c>
      <c r="O203" s="155">
        <v>1E+16</v>
      </c>
      <c r="P203" s="68">
        <v>109575</v>
      </c>
      <c r="Q203" s="3">
        <f t="shared" si="43"/>
        <v>64601</v>
      </c>
      <c r="R203" s="107">
        <f t="shared" si="48"/>
        <v>18.66</v>
      </c>
      <c r="S203" s="105">
        <f t="shared" si="44"/>
        <v>26311205.816876858</v>
      </c>
      <c r="T203" s="341">
        <v>0</v>
      </c>
      <c r="U203" s="341">
        <v>0</v>
      </c>
      <c r="V203" s="341">
        <v>0</v>
      </c>
      <c r="W203" s="341">
        <v>0</v>
      </c>
      <c r="X203" s="281">
        <f t="shared" si="45"/>
        <v>0.02</v>
      </c>
      <c r="Y203" s="282">
        <f t="shared" si="46"/>
        <v>0.1</v>
      </c>
    </row>
    <row r="204" spans="2:25" x14ac:dyDescent="0.35">
      <c r="B204" s="18">
        <f t="shared" si="47"/>
        <v>185</v>
      </c>
      <c r="C204" s="85">
        <f t="shared" si="49"/>
        <v>0</v>
      </c>
      <c r="D204" s="85">
        <f t="shared" si="50"/>
        <v>0</v>
      </c>
      <c r="E204" s="84">
        <f t="shared" si="51"/>
        <v>0</v>
      </c>
      <c r="F204" s="135">
        <f t="shared" si="52"/>
        <v>0</v>
      </c>
      <c r="G204" s="413">
        <f t="shared" si="40"/>
        <v>0</v>
      </c>
      <c r="H204" s="413">
        <f t="shared" si="41"/>
        <v>0</v>
      </c>
      <c r="I204" s="275">
        <f t="shared" si="53"/>
        <v>0</v>
      </c>
      <c r="J204" s="275">
        <f t="shared" si="54"/>
        <v>0</v>
      </c>
      <c r="K204" s="137">
        <f t="shared" si="42"/>
        <v>0</v>
      </c>
      <c r="L204" s="15" t="s">
        <v>0</v>
      </c>
      <c r="M204" s="88">
        <v>0</v>
      </c>
      <c r="N204" s="88">
        <v>0</v>
      </c>
      <c r="O204" s="155">
        <v>1E+16</v>
      </c>
      <c r="P204" s="68">
        <v>109575</v>
      </c>
      <c r="Q204" s="3">
        <f t="shared" si="43"/>
        <v>64601</v>
      </c>
      <c r="R204" s="107">
        <f t="shared" si="48"/>
        <v>18.66</v>
      </c>
      <c r="S204" s="105">
        <f t="shared" si="44"/>
        <v>26311205.816876858</v>
      </c>
      <c r="T204" s="341">
        <v>0</v>
      </c>
      <c r="U204" s="341">
        <v>0</v>
      </c>
      <c r="V204" s="341">
        <v>0</v>
      </c>
      <c r="W204" s="341">
        <v>0</v>
      </c>
      <c r="X204" s="281">
        <f t="shared" si="45"/>
        <v>0.02</v>
      </c>
      <c r="Y204" s="282">
        <f t="shared" si="46"/>
        <v>0.1</v>
      </c>
    </row>
    <row r="205" spans="2:25" x14ac:dyDescent="0.35">
      <c r="B205" s="18">
        <f t="shared" si="47"/>
        <v>186</v>
      </c>
      <c r="C205" s="85">
        <f t="shared" si="49"/>
        <v>0</v>
      </c>
      <c r="D205" s="85">
        <f t="shared" si="50"/>
        <v>0</v>
      </c>
      <c r="E205" s="84">
        <f t="shared" si="51"/>
        <v>0</v>
      </c>
      <c r="F205" s="135">
        <f t="shared" si="52"/>
        <v>0</v>
      </c>
      <c r="G205" s="413">
        <f t="shared" si="40"/>
        <v>0</v>
      </c>
      <c r="H205" s="413">
        <f t="shared" si="41"/>
        <v>0</v>
      </c>
      <c r="I205" s="275">
        <f t="shared" si="53"/>
        <v>0</v>
      </c>
      <c r="J205" s="275">
        <f t="shared" si="54"/>
        <v>0</v>
      </c>
      <c r="K205" s="137">
        <f t="shared" si="42"/>
        <v>0</v>
      </c>
      <c r="L205" s="15" t="s">
        <v>0</v>
      </c>
      <c r="M205" s="88">
        <v>0</v>
      </c>
      <c r="N205" s="88">
        <v>0</v>
      </c>
      <c r="O205" s="155">
        <v>1E+16</v>
      </c>
      <c r="P205" s="68">
        <v>109575</v>
      </c>
      <c r="Q205" s="3">
        <f t="shared" si="43"/>
        <v>64601</v>
      </c>
      <c r="R205" s="107">
        <f t="shared" si="48"/>
        <v>18.66</v>
      </c>
      <c r="S205" s="105">
        <f t="shared" si="44"/>
        <v>26311205.816876858</v>
      </c>
      <c r="T205" s="341">
        <v>0</v>
      </c>
      <c r="U205" s="341">
        <v>0</v>
      </c>
      <c r="V205" s="341">
        <v>0</v>
      </c>
      <c r="W205" s="341">
        <v>0</v>
      </c>
      <c r="X205" s="281">
        <f t="shared" si="45"/>
        <v>0.02</v>
      </c>
      <c r="Y205" s="282">
        <f t="shared" si="46"/>
        <v>0.1</v>
      </c>
    </row>
    <row r="206" spans="2:25" x14ac:dyDescent="0.35">
      <c r="B206" s="18">
        <f t="shared" si="47"/>
        <v>187</v>
      </c>
      <c r="C206" s="85">
        <f t="shared" si="49"/>
        <v>0</v>
      </c>
      <c r="D206" s="85">
        <f t="shared" si="50"/>
        <v>0</v>
      </c>
      <c r="E206" s="84">
        <f t="shared" si="51"/>
        <v>0</v>
      </c>
      <c r="F206" s="135">
        <f t="shared" si="52"/>
        <v>0</v>
      </c>
      <c r="G206" s="413">
        <f t="shared" si="40"/>
        <v>0</v>
      </c>
      <c r="H206" s="413">
        <f t="shared" si="41"/>
        <v>0</v>
      </c>
      <c r="I206" s="275">
        <f t="shared" si="53"/>
        <v>0</v>
      </c>
      <c r="J206" s="275">
        <f t="shared" si="54"/>
        <v>0</v>
      </c>
      <c r="K206" s="137">
        <f t="shared" si="42"/>
        <v>0</v>
      </c>
      <c r="L206" s="15" t="s">
        <v>0</v>
      </c>
      <c r="M206" s="88">
        <v>0</v>
      </c>
      <c r="N206" s="88">
        <v>0</v>
      </c>
      <c r="O206" s="155">
        <v>1E+16</v>
      </c>
      <c r="P206" s="68">
        <v>109575</v>
      </c>
      <c r="Q206" s="3">
        <f t="shared" si="43"/>
        <v>64601</v>
      </c>
      <c r="R206" s="107">
        <f t="shared" si="48"/>
        <v>18.66</v>
      </c>
      <c r="S206" s="105">
        <f t="shared" si="44"/>
        <v>26311205.816876858</v>
      </c>
      <c r="T206" s="341">
        <v>0</v>
      </c>
      <c r="U206" s="341">
        <v>0</v>
      </c>
      <c r="V206" s="341">
        <v>0</v>
      </c>
      <c r="W206" s="341">
        <v>0</v>
      </c>
      <c r="X206" s="281">
        <f t="shared" si="45"/>
        <v>0.02</v>
      </c>
      <c r="Y206" s="282">
        <f t="shared" si="46"/>
        <v>0.1</v>
      </c>
    </row>
    <row r="207" spans="2:25" x14ac:dyDescent="0.35">
      <c r="B207" s="18">
        <f t="shared" si="47"/>
        <v>188</v>
      </c>
      <c r="C207" s="85">
        <f t="shared" si="49"/>
        <v>0</v>
      </c>
      <c r="D207" s="85">
        <f t="shared" si="50"/>
        <v>0</v>
      </c>
      <c r="E207" s="84">
        <f t="shared" si="51"/>
        <v>0</v>
      </c>
      <c r="F207" s="135">
        <f t="shared" si="52"/>
        <v>0</v>
      </c>
      <c r="G207" s="413">
        <f t="shared" si="40"/>
        <v>0</v>
      </c>
      <c r="H207" s="413">
        <f t="shared" si="41"/>
        <v>0</v>
      </c>
      <c r="I207" s="275">
        <f t="shared" si="53"/>
        <v>0</v>
      </c>
      <c r="J207" s="275">
        <f t="shared" si="54"/>
        <v>0</v>
      </c>
      <c r="K207" s="137">
        <f t="shared" si="42"/>
        <v>0</v>
      </c>
      <c r="L207" s="15" t="s">
        <v>0</v>
      </c>
      <c r="M207" s="88">
        <v>0</v>
      </c>
      <c r="N207" s="88">
        <v>0</v>
      </c>
      <c r="O207" s="155">
        <v>1E+16</v>
      </c>
      <c r="P207" s="68">
        <v>109575</v>
      </c>
      <c r="Q207" s="3">
        <f t="shared" si="43"/>
        <v>64601</v>
      </c>
      <c r="R207" s="107">
        <f t="shared" si="48"/>
        <v>18.66</v>
      </c>
      <c r="S207" s="105">
        <f t="shared" si="44"/>
        <v>26311205.816876858</v>
      </c>
      <c r="T207" s="341">
        <v>0</v>
      </c>
      <c r="U207" s="341">
        <v>0</v>
      </c>
      <c r="V207" s="341">
        <v>0</v>
      </c>
      <c r="W207" s="341">
        <v>0</v>
      </c>
      <c r="X207" s="281">
        <f t="shared" si="45"/>
        <v>0.02</v>
      </c>
      <c r="Y207" s="282">
        <f t="shared" si="46"/>
        <v>0.1</v>
      </c>
    </row>
    <row r="208" spans="2:25" x14ac:dyDescent="0.35">
      <c r="B208" s="18">
        <f t="shared" si="47"/>
        <v>189</v>
      </c>
      <c r="C208" s="85">
        <f t="shared" si="49"/>
        <v>0</v>
      </c>
      <c r="D208" s="85">
        <f t="shared" si="50"/>
        <v>0</v>
      </c>
      <c r="E208" s="84">
        <f t="shared" si="51"/>
        <v>0</v>
      </c>
      <c r="F208" s="135">
        <f t="shared" si="52"/>
        <v>0</v>
      </c>
      <c r="G208" s="413">
        <f t="shared" si="40"/>
        <v>0</v>
      </c>
      <c r="H208" s="413">
        <f t="shared" si="41"/>
        <v>0</v>
      </c>
      <c r="I208" s="275">
        <f t="shared" si="53"/>
        <v>0</v>
      </c>
      <c r="J208" s="275">
        <f t="shared" si="54"/>
        <v>0</v>
      </c>
      <c r="K208" s="137">
        <f t="shared" si="42"/>
        <v>0</v>
      </c>
      <c r="L208" s="15" t="s">
        <v>0</v>
      </c>
      <c r="M208" s="88">
        <v>0</v>
      </c>
      <c r="N208" s="88">
        <v>0</v>
      </c>
      <c r="O208" s="155">
        <v>1E+16</v>
      </c>
      <c r="P208" s="68">
        <v>109575</v>
      </c>
      <c r="Q208" s="3">
        <f t="shared" si="43"/>
        <v>64601</v>
      </c>
      <c r="R208" s="107">
        <f t="shared" si="48"/>
        <v>18.66</v>
      </c>
      <c r="S208" s="105">
        <f t="shared" si="44"/>
        <v>26311205.816876858</v>
      </c>
      <c r="T208" s="341">
        <v>0</v>
      </c>
      <c r="U208" s="341">
        <v>0</v>
      </c>
      <c r="V208" s="341">
        <v>0</v>
      </c>
      <c r="W208" s="341">
        <v>0</v>
      </c>
      <c r="X208" s="281">
        <f t="shared" si="45"/>
        <v>0.02</v>
      </c>
      <c r="Y208" s="282">
        <f t="shared" si="46"/>
        <v>0.1</v>
      </c>
    </row>
    <row r="209" spans="2:25" x14ac:dyDescent="0.35">
      <c r="B209" s="18">
        <f t="shared" si="47"/>
        <v>190</v>
      </c>
      <c r="C209" s="85">
        <f t="shared" si="49"/>
        <v>0</v>
      </c>
      <c r="D209" s="85">
        <f t="shared" si="50"/>
        <v>0</v>
      </c>
      <c r="E209" s="84">
        <f t="shared" si="51"/>
        <v>0</v>
      </c>
      <c r="F209" s="135">
        <f t="shared" si="52"/>
        <v>0</v>
      </c>
      <c r="G209" s="413">
        <f t="shared" si="40"/>
        <v>0</v>
      </c>
      <c r="H209" s="413">
        <f t="shared" si="41"/>
        <v>0</v>
      </c>
      <c r="I209" s="275">
        <f t="shared" si="53"/>
        <v>0</v>
      </c>
      <c r="J209" s="275">
        <f t="shared" si="54"/>
        <v>0</v>
      </c>
      <c r="K209" s="137">
        <f t="shared" si="42"/>
        <v>0</v>
      </c>
      <c r="L209" s="15" t="s">
        <v>0</v>
      </c>
      <c r="M209" s="88">
        <v>0</v>
      </c>
      <c r="N209" s="88">
        <v>0</v>
      </c>
      <c r="O209" s="155">
        <v>1E+16</v>
      </c>
      <c r="P209" s="68">
        <v>109575</v>
      </c>
      <c r="Q209" s="3">
        <f t="shared" si="43"/>
        <v>64601</v>
      </c>
      <c r="R209" s="107">
        <f t="shared" si="48"/>
        <v>18.66</v>
      </c>
      <c r="S209" s="105">
        <f t="shared" si="44"/>
        <v>26311205.816876858</v>
      </c>
      <c r="T209" s="341">
        <v>0</v>
      </c>
      <c r="U209" s="341">
        <v>0</v>
      </c>
      <c r="V209" s="341">
        <v>0</v>
      </c>
      <c r="W209" s="341">
        <v>0</v>
      </c>
      <c r="X209" s="281">
        <f t="shared" si="45"/>
        <v>0.02</v>
      </c>
      <c r="Y209" s="282">
        <f t="shared" si="46"/>
        <v>0.1</v>
      </c>
    </row>
    <row r="210" spans="2:25" x14ac:dyDescent="0.35">
      <c r="B210" s="18">
        <f t="shared" si="47"/>
        <v>191</v>
      </c>
      <c r="C210" s="85">
        <f t="shared" si="49"/>
        <v>0</v>
      </c>
      <c r="D210" s="85">
        <f t="shared" si="50"/>
        <v>0</v>
      </c>
      <c r="E210" s="84">
        <f t="shared" si="51"/>
        <v>0</v>
      </c>
      <c r="F210" s="135">
        <f t="shared" si="52"/>
        <v>0</v>
      </c>
      <c r="G210" s="413">
        <f t="shared" si="40"/>
        <v>0</v>
      </c>
      <c r="H210" s="413">
        <f t="shared" si="41"/>
        <v>0</v>
      </c>
      <c r="I210" s="275">
        <f t="shared" si="53"/>
        <v>0</v>
      </c>
      <c r="J210" s="275">
        <f t="shared" si="54"/>
        <v>0</v>
      </c>
      <c r="K210" s="137">
        <f t="shared" si="42"/>
        <v>0</v>
      </c>
      <c r="L210" s="15" t="s">
        <v>0</v>
      </c>
      <c r="M210" s="88">
        <v>0</v>
      </c>
      <c r="N210" s="88">
        <v>0</v>
      </c>
      <c r="O210" s="155">
        <v>1E+16</v>
      </c>
      <c r="P210" s="68">
        <v>109575</v>
      </c>
      <c r="Q210" s="3">
        <f t="shared" si="43"/>
        <v>64601</v>
      </c>
      <c r="R210" s="107">
        <f t="shared" si="48"/>
        <v>18.66</v>
      </c>
      <c r="S210" s="105">
        <f t="shared" si="44"/>
        <v>26311205.816876858</v>
      </c>
      <c r="T210" s="341">
        <v>0</v>
      </c>
      <c r="U210" s="341">
        <v>0</v>
      </c>
      <c r="V210" s="341">
        <v>0</v>
      </c>
      <c r="W210" s="341">
        <v>0</v>
      </c>
      <c r="X210" s="281">
        <f t="shared" si="45"/>
        <v>0.02</v>
      </c>
      <c r="Y210" s="282">
        <f t="shared" si="46"/>
        <v>0.1</v>
      </c>
    </row>
    <row r="211" spans="2:25" x14ac:dyDescent="0.35">
      <c r="B211" s="18">
        <f t="shared" si="47"/>
        <v>192</v>
      </c>
      <c r="C211" s="85">
        <f t="shared" si="49"/>
        <v>0</v>
      </c>
      <c r="D211" s="85">
        <f t="shared" si="50"/>
        <v>0</v>
      </c>
      <c r="E211" s="84">
        <f t="shared" si="51"/>
        <v>0</v>
      </c>
      <c r="F211" s="135">
        <f t="shared" si="52"/>
        <v>0</v>
      </c>
      <c r="G211" s="413">
        <f t="shared" si="40"/>
        <v>0</v>
      </c>
      <c r="H211" s="413">
        <f t="shared" si="41"/>
        <v>0</v>
      </c>
      <c r="I211" s="275">
        <f t="shared" si="53"/>
        <v>0</v>
      </c>
      <c r="J211" s="275">
        <f t="shared" si="54"/>
        <v>0</v>
      </c>
      <c r="K211" s="137">
        <f t="shared" si="42"/>
        <v>0</v>
      </c>
      <c r="L211" s="15" t="s">
        <v>0</v>
      </c>
      <c r="M211" s="88">
        <v>0</v>
      </c>
      <c r="N211" s="88">
        <v>0</v>
      </c>
      <c r="O211" s="155">
        <v>1E+16</v>
      </c>
      <c r="P211" s="68">
        <v>109575</v>
      </c>
      <c r="Q211" s="3">
        <f t="shared" si="43"/>
        <v>64601</v>
      </c>
      <c r="R211" s="107">
        <f t="shared" si="48"/>
        <v>18.66</v>
      </c>
      <c r="S211" s="105">
        <f t="shared" si="44"/>
        <v>26311205.816876858</v>
      </c>
      <c r="T211" s="341">
        <v>0</v>
      </c>
      <c r="U211" s="341">
        <v>0</v>
      </c>
      <c r="V211" s="341">
        <v>0</v>
      </c>
      <c r="W211" s="341">
        <v>0</v>
      </c>
      <c r="X211" s="281">
        <f t="shared" si="45"/>
        <v>0.02</v>
      </c>
      <c r="Y211" s="282">
        <f t="shared" si="46"/>
        <v>0.1</v>
      </c>
    </row>
    <row r="212" spans="2:25" x14ac:dyDescent="0.35">
      <c r="B212" s="18">
        <f t="shared" si="47"/>
        <v>193</v>
      </c>
      <c r="C212" s="85">
        <f t="shared" si="49"/>
        <v>0</v>
      </c>
      <c r="D212" s="85">
        <f t="shared" si="50"/>
        <v>0</v>
      </c>
      <c r="E212" s="84">
        <f t="shared" si="51"/>
        <v>0</v>
      </c>
      <c r="F212" s="135">
        <f t="shared" si="52"/>
        <v>0</v>
      </c>
      <c r="G212" s="413">
        <f t="shared" ref="G212:G260" si="55">BSGamma(L212,1/S212,1/O212,Q212,X212,Y212,T212)*N212</f>
        <v>0</v>
      </c>
      <c r="H212" s="413">
        <f t="shared" ref="H212:H260" si="56">BSVega(L212,1/S212,1/O212,Q212,X212,Y212,T212)*N212*1000000</f>
        <v>0</v>
      </c>
      <c r="I212" s="275">
        <f t="shared" si="53"/>
        <v>0</v>
      </c>
      <c r="J212" s="275">
        <f t="shared" si="54"/>
        <v>0</v>
      </c>
      <c r="K212" s="137">
        <f t="shared" ref="K212:K260" si="57">(E212-N212*EXP(-($I$10-$I$11)*1/365)*BSPrice(L212,1/(S212*EXP(-($I$10-$I$11)*1/365)),1/O212,Q212+1,X212,Y212,T212)*1000000)*(1)</f>
        <v>0</v>
      </c>
      <c r="L212" s="15" t="s">
        <v>0</v>
      </c>
      <c r="M212" s="88">
        <v>0</v>
      </c>
      <c r="N212" s="88">
        <v>0</v>
      </c>
      <c r="O212" s="155">
        <v>1E+16</v>
      </c>
      <c r="P212" s="68">
        <v>109575</v>
      </c>
      <c r="Q212" s="3">
        <f t="shared" ref="Q212:Q260" si="58">(P212-$H$2)</f>
        <v>64601</v>
      </c>
      <c r="R212" s="107">
        <f t="shared" si="48"/>
        <v>18.66</v>
      </c>
      <c r="S212" s="105">
        <f t="shared" ref="S212:S260" si="59">IF(L212="D",1,R212*EXP(-($I$10-$I$11)*Q212/365))</f>
        <v>26311205.816876858</v>
      </c>
      <c r="T212" s="341">
        <v>0</v>
      </c>
      <c r="U212" s="341">
        <v>0</v>
      </c>
      <c r="V212" s="341">
        <v>0</v>
      </c>
      <c r="W212" s="341">
        <v>0</v>
      </c>
      <c r="X212" s="281">
        <f t="shared" ref="X212:X260" si="60">$I$10</f>
        <v>0.02</v>
      </c>
      <c r="Y212" s="282">
        <f t="shared" si="46"/>
        <v>0.1</v>
      </c>
    </row>
    <row r="213" spans="2:25" x14ac:dyDescent="0.35">
      <c r="B213" s="18">
        <f t="shared" si="47"/>
        <v>194</v>
      </c>
      <c r="C213" s="85">
        <f t="shared" si="49"/>
        <v>0</v>
      </c>
      <c r="D213" s="85">
        <f t="shared" si="50"/>
        <v>0</v>
      </c>
      <c r="E213" s="84">
        <f t="shared" si="51"/>
        <v>0</v>
      </c>
      <c r="F213" s="135">
        <f t="shared" si="52"/>
        <v>0</v>
      </c>
      <c r="G213" s="413">
        <f t="shared" si="55"/>
        <v>0</v>
      </c>
      <c r="H213" s="413">
        <f t="shared" si="56"/>
        <v>0</v>
      </c>
      <c r="I213" s="275">
        <f t="shared" si="53"/>
        <v>0</v>
      </c>
      <c r="J213" s="275">
        <f t="shared" si="54"/>
        <v>0</v>
      </c>
      <c r="K213" s="137">
        <f t="shared" si="57"/>
        <v>0</v>
      </c>
      <c r="L213" s="15" t="s">
        <v>0</v>
      </c>
      <c r="M213" s="88">
        <v>0</v>
      </c>
      <c r="N213" s="88">
        <v>0</v>
      </c>
      <c r="O213" s="155">
        <v>1E+16</v>
      </c>
      <c r="P213" s="68">
        <v>109575</v>
      </c>
      <c r="Q213" s="3">
        <f t="shared" si="58"/>
        <v>64601</v>
      </c>
      <c r="R213" s="107">
        <f t="shared" si="48"/>
        <v>18.66</v>
      </c>
      <c r="S213" s="105">
        <f t="shared" si="59"/>
        <v>26311205.816876858</v>
      </c>
      <c r="T213" s="341">
        <v>0</v>
      </c>
      <c r="U213" s="341">
        <v>0</v>
      </c>
      <c r="V213" s="341">
        <v>0</v>
      </c>
      <c r="W213" s="341">
        <v>0</v>
      </c>
      <c r="X213" s="281">
        <f t="shared" si="60"/>
        <v>0.02</v>
      </c>
      <c r="Y213" s="282">
        <f t="shared" si="46"/>
        <v>0.1</v>
      </c>
    </row>
    <row r="214" spans="2:25" x14ac:dyDescent="0.35">
      <c r="B214" s="18">
        <f t="shared" si="47"/>
        <v>195</v>
      </c>
      <c r="C214" s="85">
        <f t="shared" si="49"/>
        <v>0</v>
      </c>
      <c r="D214" s="85">
        <f t="shared" si="50"/>
        <v>0</v>
      </c>
      <c r="E214" s="84">
        <f t="shared" si="51"/>
        <v>0</v>
      </c>
      <c r="F214" s="135">
        <f t="shared" si="52"/>
        <v>0</v>
      </c>
      <c r="G214" s="413">
        <f t="shared" si="55"/>
        <v>0</v>
      </c>
      <c r="H214" s="413">
        <f t="shared" si="56"/>
        <v>0</v>
      </c>
      <c r="I214" s="275">
        <f t="shared" si="53"/>
        <v>0</v>
      </c>
      <c r="J214" s="275">
        <f t="shared" si="54"/>
        <v>0</v>
      </c>
      <c r="K214" s="137">
        <f t="shared" si="57"/>
        <v>0</v>
      </c>
      <c r="L214" s="15" t="s">
        <v>0</v>
      </c>
      <c r="M214" s="88">
        <v>0</v>
      </c>
      <c r="N214" s="88">
        <v>0</v>
      </c>
      <c r="O214" s="155">
        <v>1E+16</v>
      </c>
      <c r="P214" s="68">
        <v>109575</v>
      </c>
      <c r="Q214" s="3">
        <f t="shared" si="58"/>
        <v>64601</v>
      </c>
      <c r="R214" s="107">
        <f t="shared" si="48"/>
        <v>18.66</v>
      </c>
      <c r="S214" s="105">
        <f t="shared" si="59"/>
        <v>26311205.816876858</v>
      </c>
      <c r="T214" s="341">
        <v>0</v>
      </c>
      <c r="U214" s="341">
        <v>0</v>
      </c>
      <c r="V214" s="341">
        <v>0</v>
      </c>
      <c r="W214" s="341">
        <v>0</v>
      </c>
      <c r="X214" s="281">
        <f t="shared" si="60"/>
        <v>0.02</v>
      </c>
      <c r="Y214" s="282">
        <f t="shared" ref="Y214:Y260" si="61">Y213</f>
        <v>0.1</v>
      </c>
    </row>
    <row r="215" spans="2:25" x14ac:dyDescent="0.35">
      <c r="B215" s="18">
        <f t="shared" ref="B215:B260" si="62">B214+1</f>
        <v>196</v>
      </c>
      <c r="C215" s="85">
        <f t="shared" si="49"/>
        <v>0</v>
      </c>
      <c r="D215" s="85">
        <f t="shared" si="50"/>
        <v>0</v>
      </c>
      <c r="E215" s="84">
        <f t="shared" si="51"/>
        <v>0</v>
      </c>
      <c r="F215" s="135">
        <f t="shared" si="52"/>
        <v>0</v>
      </c>
      <c r="G215" s="413">
        <f t="shared" si="55"/>
        <v>0</v>
      </c>
      <c r="H215" s="413">
        <f t="shared" si="56"/>
        <v>0</v>
      </c>
      <c r="I215" s="275">
        <f t="shared" si="53"/>
        <v>0</v>
      </c>
      <c r="J215" s="275">
        <f t="shared" si="54"/>
        <v>0</v>
      </c>
      <c r="K215" s="137">
        <f t="shared" si="57"/>
        <v>0</v>
      </c>
      <c r="L215" s="15" t="s">
        <v>0</v>
      </c>
      <c r="M215" s="88">
        <v>0</v>
      </c>
      <c r="N215" s="88">
        <v>0</v>
      </c>
      <c r="O215" s="155">
        <v>1E+16</v>
      </c>
      <c r="P215" s="68">
        <v>109575</v>
      </c>
      <c r="Q215" s="3">
        <f t="shared" si="58"/>
        <v>64601</v>
      </c>
      <c r="R215" s="107">
        <f t="shared" si="48"/>
        <v>18.66</v>
      </c>
      <c r="S215" s="105">
        <f t="shared" si="59"/>
        <v>26311205.816876858</v>
      </c>
      <c r="T215" s="341">
        <v>0</v>
      </c>
      <c r="U215" s="341">
        <v>0</v>
      </c>
      <c r="V215" s="341">
        <v>0</v>
      </c>
      <c r="W215" s="341">
        <v>0</v>
      </c>
      <c r="X215" s="281">
        <f t="shared" si="60"/>
        <v>0.02</v>
      </c>
      <c r="Y215" s="282">
        <f t="shared" si="61"/>
        <v>0.1</v>
      </c>
    </row>
    <row r="216" spans="2:25" x14ac:dyDescent="0.35">
      <c r="B216" s="18">
        <f t="shared" si="62"/>
        <v>197</v>
      </c>
      <c r="C216" s="85">
        <f t="shared" si="49"/>
        <v>0</v>
      </c>
      <c r="D216" s="85">
        <f t="shared" si="50"/>
        <v>0</v>
      </c>
      <c r="E216" s="84">
        <f t="shared" si="51"/>
        <v>0</v>
      </c>
      <c r="F216" s="135">
        <f t="shared" si="52"/>
        <v>0</v>
      </c>
      <c r="G216" s="413">
        <f t="shared" si="55"/>
        <v>0</v>
      </c>
      <c r="H216" s="413">
        <f t="shared" si="56"/>
        <v>0</v>
      </c>
      <c r="I216" s="275">
        <f t="shared" si="53"/>
        <v>0</v>
      </c>
      <c r="J216" s="275">
        <f t="shared" si="54"/>
        <v>0</v>
      </c>
      <c r="K216" s="137">
        <f t="shared" si="57"/>
        <v>0</v>
      </c>
      <c r="L216" s="15" t="s">
        <v>0</v>
      </c>
      <c r="M216" s="88">
        <v>0</v>
      </c>
      <c r="N216" s="88">
        <v>0</v>
      </c>
      <c r="O216" s="155">
        <v>1E+16</v>
      </c>
      <c r="P216" s="68">
        <v>109575</v>
      </c>
      <c r="Q216" s="3">
        <f t="shared" si="58"/>
        <v>64601</v>
      </c>
      <c r="R216" s="107">
        <f t="shared" si="48"/>
        <v>18.66</v>
      </c>
      <c r="S216" s="105">
        <f t="shared" si="59"/>
        <v>26311205.816876858</v>
      </c>
      <c r="T216" s="341">
        <v>0</v>
      </c>
      <c r="U216" s="341">
        <v>0</v>
      </c>
      <c r="V216" s="341">
        <v>0</v>
      </c>
      <c r="W216" s="341">
        <v>0</v>
      </c>
      <c r="X216" s="281">
        <f t="shared" si="60"/>
        <v>0.02</v>
      </c>
      <c r="Y216" s="282">
        <f t="shared" si="61"/>
        <v>0.1</v>
      </c>
    </row>
    <row r="217" spans="2:25" x14ac:dyDescent="0.35">
      <c r="B217" s="18">
        <f t="shared" si="62"/>
        <v>198</v>
      </c>
      <c r="C217" s="85">
        <f t="shared" si="49"/>
        <v>0</v>
      </c>
      <c r="D217" s="85">
        <f t="shared" si="50"/>
        <v>0</v>
      </c>
      <c r="E217" s="84">
        <f t="shared" si="51"/>
        <v>0</v>
      </c>
      <c r="F217" s="135">
        <f t="shared" si="52"/>
        <v>0</v>
      </c>
      <c r="G217" s="413">
        <f t="shared" si="55"/>
        <v>0</v>
      </c>
      <c r="H217" s="413">
        <f t="shared" si="56"/>
        <v>0</v>
      </c>
      <c r="I217" s="275">
        <f t="shared" si="53"/>
        <v>0</v>
      </c>
      <c r="J217" s="275">
        <f t="shared" si="54"/>
        <v>0</v>
      </c>
      <c r="K217" s="137">
        <f t="shared" si="57"/>
        <v>0</v>
      </c>
      <c r="L217" s="15" t="s">
        <v>0</v>
      </c>
      <c r="M217" s="88">
        <v>0</v>
      </c>
      <c r="N217" s="88">
        <v>0</v>
      </c>
      <c r="O217" s="155">
        <v>1E+16</v>
      </c>
      <c r="P217" s="68">
        <v>109575</v>
      </c>
      <c r="Q217" s="3">
        <f t="shared" si="58"/>
        <v>64601</v>
      </c>
      <c r="R217" s="107">
        <f t="shared" ref="R217:R260" si="63">IF(L217="D",1,$I$6)</f>
        <v>18.66</v>
      </c>
      <c r="S217" s="105">
        <f t="shared" si="59"/>
        <v>26311205.816876858</v>
      </c>
      <c r="T217" s="341">
        <v>0</v>
      </c>
      <c r="U217" s="341">
        <v>0</v>
      </c>
      <c r="V217" s="341">
        <v>0</v>
      </c>
      <c r="W217" s="341">
        <v>0</v>
      </c>
      <c r="X217" s="281">
        <f t="shared" si="60"/>
        <v>0.02</v>
      </c>
      <c r="Y217" s="282">
        <f t="shared" si="61"/>
        <v>0.1</v>
      </c>
    </row>
    <row r="218" spans="2:25" x14ac:dyDescent="0.35">
      <c r="B218" s="18">
        <f t="shared" si="62"/>
        <v>199</v>
      </c>
      <c r="C218" s="85">
        <f t="shared" si="49"/>
        <v>0</v>
      </c>
      <c r="D218" s="85">
        <f t="shared" si="50"/>
        <v>0</v>
      </c>
      <c r="E218" s="84">
        <f t="shared" si="51"/>
        <v>0</v>
      </c>
      <c r="F218" s="135">
        <f t="shared" si="52"/>
        <v>0</v>
      </c>
      <c r="G218" s="413">
        <f t="shared" si="55"/>
        <v>0</v>
      </c>
      <c r="H218" s="413">
        <f t="shared" si="56"/>
        <v>0</v>
      </c>
      <c r="I218" s="275">
        <f t="shared" si="53"/>
        <v>0</v>
      </c>
      <c r="J218" s="275">
        <f t="shared" si="54"/>
        <v>0</v>
      </c>
      <c r="K218" s="137">
        <f t="shared" si="57"/>
        <v>0</v>
      </c>
      <c r="L218" s="15" t="s">
        <v>0</v>
      </c>
      <c r="M218" s="88">
        <v>0</v>
      </c>
      <c r="N218" s="88">
        <v>0</v>
      </c>
      <c r="O218" s="155">
        <v>1E+16</v>
      </c>
      <c r="P218" s="68">
        <v>109575</v>
      </c>
      <c r="Q218" s="3">
        <f t="shared" si="58"/>
        <v>64601</v>
      </c>
      <c r="R218" s="107">
        <f t="shared" si="63"/>
        <v>18.66</v>
      </c>
      <c r="S218" s="105">
        <f t="shared" si="59"/>
        <v>26311205.816876858</v>
      </c>
      <c r="T218" s="341">
        <v>0</v>
      </c>
      <c r="U218" s="341">
        <v>0</v>
      </c>
      <c r="V218" s="341">
        <v>0</v>
      </c>
      <c r="W218" s="341">
        <v>0</v>
      </c>
      <c r="X218" s="281">
        <f t="shared" si="60"/>
        <v>0.02</v>
      </c>
      <c r="Y218" s="282">
        <f t="shared" si="61"/>
        <v>0.1</v>
      </c>
    </row>
    <row r="219" spans="2:25" x14ac:dyDescent="0.35">
      <c r="B219" s="18">
        <f t="shared" si="62"/>
        <v>200</v>
      </c>
      <c r="C219" s="85">
        <f t="shared" si="49"/>
        <v>0</v>
      </c>
      <c r="D219" s="85">
        <f t="shared" si="50"/>
        <v>0</v>
      </c>
      <c r="E219" s="84">
        <f t="shared" si="51"/>
        <v>0</v>
      </c>
      <c r="F219" s="135">
        <f t="shared" si="52"/>
        <v>0</v>
      </c>
      <c r="G219" s="413">
        <f t="shared" si="55"/>
        <v>0</v>
      </c>
      <c r="H219" s="413">
        <f t="shared" si="56"/>
        <v>0</v>
      </c>
      <c r="I219" s="275">
        <f t="shared" si="53"/>
        <v>0</v>
      </c>
      <c r="J219" s="275">
        <f t="shared" si="54"/>
        <v>0</v>
      </c>
      <c r="K219" s="137">
        <f t="shared" si="57"/>
        <v>0</v>
      </c>
      <c r="L219" s="15" t="s">
        <v>0</v>
      </c>
      <c r="M219" s="88">
        <v>0</v>
      </c>
      <c r="N219" s="88">
        <v>0</v>
      </c>
      <c r="O219" s="155">
        <v>1E+16</v>
      </c>
      <c r="P219" s="68">
        <v>109575</v>
      </c>
      <c r="Q219" s="3">
        <f t="shared" si="58"/>
        <v>64601</v>
      </c>
      <c r="R219" s="107">
        <f t="shared" si="63"/>
        <v>18.66</v>
      </c>
      <c r="S219" s="105">
        <f t="shared" si="59"/>
        <v>26311205.816876858</v>
      </c>
      <c r="T219" s="341">
        <v>0</v>
      </c>
      <c r="U219" s="341">
        <v>0</v>
      </c>
      <c r="V219" s="341">
        <v>0</v>
      </c>
      <c r="W219" s="341">
        <v>0</v>
      </c>
      <c r="X219" s="281">
        <f t="shared" si="60"/>
        <v>0.02</v>
      </c>
      <c r="Y219" s="282">
        <f t="shared" si="61"/>
        <v>0.1</v>
      </c>
    </row>
    <row r="220" spans="2:25" x14ac:dyDescent="0.35">
      <c r="B220" s="18">
        <f t="shared" si="62"/>
        <v>201</v>
      </c>
      <c r="C220" s="85">
        <f t="shared" si="49"/>
        <v>0</v>
      </c>
      <c r="D220" s="85">
        <f t="shared" si="50"/>
        <v>0</v>
      </c>
      <c r="E220" s="84">
        <f t="shared" si="51"/>
        <v>0</v>
      </c>
      <c r="F220" s="135">
        <f t="shared" si="52"/>
        <v>0</v>
      </c>
      <c r="G220" s="413">
        <f t="shared" si="55"/>
        <v>0</v>
      </c>
      <c r="H220" s="413">
        <f t="shared" si="56"/>
        <v>0</v>
      </c>
      <c r="I220" s="275">
        <f t="shared" si="53"/>
        <v>0</v>
      </c>
      <c r="J220" s="275">
        <f t="shared" si="54"/>
        <v>0</v>
      </c>
      <c r="K220" s="137">
        <f t="shared" si="57"/>
        <v>0</v>
      </c>
      <c r="L220" s="15" t="s">
        <v>0</v>
      </c>
      <c r="M220" s="88">
        <v>0</v>
      </c>
      <c r="N220" s="88">
        <v>0</v>
      </c>
      <c r="O220" s="155">
        <v>1E+16</v>
      </c>
      <c r="P220" s="68">
        <v>109575</v>
      </c>
      <c r="Q220" s="3">
        <f t="shared" si="58"/>
        <v>64601</v>
      </c>
      <c r="R220" s="107">
        <f t="shared" si="63"/>
        <v>18.66</v>
      </c>
      <c r="S220" s="105">
        <f t="shared" si="59"/>
        <v>26311205.816876858</v>
      </c>
      <c r="T220" s="341">
        <v>0</v>
      </c>
      <c r="U220" s="341">
        <v>0</v>
      </c>
      <c r="V220" s="341">
        <v>0</v>
      </c>
      <c r="W220" s="341">
        <v>0</v>
      </c>
      <c r="X220" s="281">
        <f t="shared" si="60"/>
        <v>0.02</v>
      </c>
      <c r="Y220" s="282">
        <f t="shared" si="61"/>
        <v>0.1</v>
      </c>
    </row>
    <row r="221" spans="2:25" x14ac:dyDescent="0.35">
      <c r="B221" s="18">
        <f t="shared" si="62"/>
        <v>202</v>
      </c>
      <c r="C221" s="85">
        <f t="shared" si="49"/>
        <v>0</v>
      </c>
      <c r="D221" s="85">
        <f t="shared" si="50"/>
        <v>0</v>
      </c>
      <c r="E221" s="84">
        <f t="shared" si="51"/>
        <v>0</v>
      </c>
      <c r="F221" s="135">
        <f t="shared" si="52"/>
        <v>0</v>
      </c>
      <c r="G221" s="413">
        <f t="shared" si="55"/>
        <v>0</v>
      </c>
      <c r="H221" s="413">
        <f t="shared" si="56"/>
        <v>0</v>
      </c>
      <c r="I221" s="275">
        <f t="shared" si="53"/>
        <v>0</v>
      </c>
      <c r="J221" s="275">
        <f t="shared" si="54"/>
        <v>0</v>
      </c>
      <c r="K221" s="137">
        <f t="shared" si="57"/>
        <v>0</v>
      </c>
      <c r="L221" s="15" t="s">
        <v>0</v>
      </c>
      <c r="M221" s="88">
        <v>0</v>
      </c>
      <c r="N221" s="88">
        <v>0</v>
      </c>
      <c r="O221" s="155">
        <v>1E+16</v>
      </c>
      <c r="P221" s="68">
        <v>109575</v>
      </c>
      <c r="Q221" s="3">
        <f t="shared" si="58"/>
        <v>64601</v>
      </c>
      <c r="R221" s="107">
        <f t="shared" si="63"/>
        <v>18.66</v>
      </c>
      <c r="S221" s="105">
        <f t="shared" si="59"/>
        <v>26311205.816876858</v>
      </c>
      <c r="T221" s="341">
        <v>0</v>
      </c>
      <c r="U221" s="341">
        <v>0</v>
      </c>
      <c r="V221" s="341">
        <v>0</v>
      </c>
      <c r="W221" s="341">
        <v>0</v>
      </c>
      <c r="X221" s="281">
        <f t="shared" si="60"/>
        <v>0.02</v>
      </c>
      <c r="Y221" s="282">
        <f t="shared" si="61"/>
        <v>0.1</v>
      </c>
    </row>
    <row r="222" spans="2:25" x14ac:dyDescent="0.35">
      <c r="B222" s="18">
        <f t="shared" si="62"/>
        <v>203</v>
      </c>
      <c r="C222" s="85">
        <f t="shared" ref="C222:C260" si="64">AI222</f>
        <v>0</v>
      </c>
      <c r="D222" s="85">
        <f t="shared" ref="D222:D260" si="65">E222</f>
        <v>0</v>
      </c>
      <c r="E222" s="84">
        <f t="shared" ref="E222:E260" si="66">N222*BSPrice(L222,1/S222,1/O222,Q222,X222,Y222,T222)*1000000</f>
        <v>0</v>
      </c>
      <c r="F222" s="135">
        <f t="shared" ref="F222:F260" si="67">N222*BSDelta(L222,1/S222,1/O222,Q222,X222,Y222,T222)</f>
        <v>0</v>
      </c>
      <c r="G222" s="413">
        <f t="shared" si="55"/>
        <v>0</v>
      </c>
      <c r="H222" s="413">
        <f t="shared" si="56"/>
        <v>0</v>
      </c>
      <c r="I222" s="275">
        <f t="shared" ref="I222:I260" si="68">N222*BSDailyRhoUSD(L222,1/S222,1/O222,Q222,X222,Y222,T222)*1000000</f>
        <v>0</v>
      </c>
      <c r="J222" s="275">
        <f t="shared" ref="J222:J260" si="69">N222*BSDailyRhoExt(L222,1/S222,1/O222,Q222,X222,Y222,T222)*1000000</f>
        <v>0</v>
      </c>
      <c r="K222" s="137">
        <f t="shared" si="57"/>
        <v>0</v>
      </c>
      <c r="L222" s="15" t="s">
        <v>0</v>
      </c>
      <c r="M222" s="88">
        <v>0</v>
      </c>
      <c r="N222" s="88">
        <v>0</v>
      </c>
      <c r="O222" s="155">
        <v>1E+16</v>
      </c>
      <c r="P222" s="68">
        <v>109575</v>
      </c>
      <c r="Q222" s="3">
        <f t="shared" si="58"/>
        <v>64601</v>
      </c>
      <c r="R222" s="107">
        <f t="shared" si="63"/>
        <v>18.66</v>
      </c>
      <c r="S222" s="105">
        <f t="shared" si="59"/>
        <v>26311205.816876858</v>
      </c>
      <c r="T222" s="341">
        <v>0</v>
      </c>
      <c r="U222" s="341">
        <v>0</v>
      </c>
      <c r="V222" s="341">
        <v>0</v>
      </c>
      <c r="W222" s="341">
        <v>0</v>
      </c>
      <c r="X222" s="281">
        <f t="shared" si="60"/>
        <v>0.02</v>
      </c>
      <c r="Y222" s="282">
        <f t="shared" si="61"/>
        <v>0.1</v>
      </c>
    </row>
    <row r="223" spans="2:25" x14ac:dyDescent="0.35">
      <c r="B223" s="18">
        <f t="shared" si="62"/>
        <v>204</v>
      </c>
      <c r="C223" s="85">
        <f t="shared" si="64"/>
        <v>0</v>
      </c>
      <c r="D223" s="85">
        <f t="shared" si="65"/>
        <v>0</v>
      </c>
      <c r="E223" s="84">
        <f t="shared" si="66"/>
        <v>0</v>
      </c>
      <c r="F223" s="135">
        <f t="shared" si="67"/>
        <v>0</v>
      </c>
      <c r="G223" s="413">
        <f t="shared" si="55"/>
        <v>0</v>
      </c>
      <c r="H223" s="413">
        <f t="shared" si="56"/>
        <v>0</v>
      </c>
      <c r="I223" s="275">
        <f t="shared" si="68"/>
        <v>0</v>
      </c>
      <c r="J223" s="275">
        <f t="shared" si="69"/>
        <v>0</v>
      </c>
      <c r="K223" s="137">
        <f t="shared" si="57"/>
        <v>0</v>
      </c>
      <c r="L223" s="15" t="s">
        <v>0</v>
      </c>
      <c r="M223" s="88">
        <v>0</v>
      </c>
      <c r="N223" s="88">
        <v>0</v>
      </c>
      <c r="O223" s="155">
        <v>1E+16</v>
      </c>
      <c r="P223" s="68">
        <v>109575</v>
      </c>
      <c r="Q223" s="3">
        <f t="shared" si="58"/>
        <v>64601</v>
      </c>
      <c r="R223" s="107">
        <f t="shared" si="63"/>
        <v>18.66</v>
      </c>
      <c r="S223" s="105">
        <f t="shared" si="59"/>
        <v>26311205.816876858</v>
      </c>
      <c r="T223" s="341">
        <v>0</v>
      </c>
      <c r="U223" s="341">
        <v>0</v>
      </c>
      <c r="V223" s="341">
        <v>0</v>
      </c>
      <c r="W223" s="341">
        <v>0</v>
      </c>
      <c r="X223" s="281">
        <f t="shared" si="60"/>
        <v>0.02</v>
      </c>
      <c r="Y223" s="282">
        <f t="shared" si="61"/>
        <v>0.1</v>
      </c>
    </row>
    <row r="224" spans="2:25" x14ac:dyDescent="0.35">
      <c r="B224" s="18">
        <f t="shared" si="62"/>
        <v>205</v>
      </c>
      <c r="C224" s="85">
        <f t="shared" si="64"/>
        <v>0</v>
      </c>
      <c r="D224" s="85">
        <f t="shared" si="65"/>
        <v>0</v>
      </c>
      <c r="E224" s="84">
        <f t="shared" si="66"/>
        <v>0</v>
      </c>
      <c r="F224" s="135">
        <f t="shared" si="67"/>
        <v>0</v>
      </c>
      <c r="G224" s="413">
        <f t="shared" si="55"/>
        <v>0</v>
      </c>
      <c r="H224" s="413">
        <f t="shared" si="56"/>
        <v>0</v>
      </c>
      <c r="I224" s="275">
        <f t="shared" si="68"/>
        <v>0</v>
      </c>
      <c r="J224" s="275">
        <f t="shared" si="69"/>
        <v>0</v>
      </c>
      <c r="K224" s="137">
        <f t="shared" si="57"/>
        <v>0</v>
      </c>
      <c r="L224" s="15" t="s">
        <v>0</v>
      </c>
      <c r="M224" s="88">
        <v>0</v>
      </c>
      <c r="N224" s="88">
        <v>0</v>
      </c>
      <c r="O224" s="155">
        <v>1E+16</v>
      </c>
      <c r="P224" s="68">
        <v>109575</v>
      </c>
      <c r="Q224" s="3">
        <f t="shared" si="58"/>
        <v>64601</v>
      </c>
      <c r="R224" s="107">
        <f t="shared" si="63"/>
        <v>18.66</v>
      </c>
      <c r="S224" s="105">
        <f t="shared" si="59"/>
        <v>26311205.816876858</v>
      </c>
      <c r="T224" s="341">
        <v>0</v>
      </c>
      <c r="U224" s="341">
        <v>0</v>
      </c>
      <c r="V224" s="341">
        <v>0</v>
      </c>
      <c r="W224" s="341">
        <v>0</v>
      </c>
      <c r="X224" s="281">
        <f t="shared" si="60"/>
        <v>0.02</v>
      </c>
      <c r="Y224" s="282">
        <f t="shared" si="61"/>
        <v>0.1</v>
      </c>
    </row>
    <row r="225" spans="2:25" x14ac:dyDescent="0.35">
      <c r="B225" s="18">
        <f t="shared" si="62"/>
        <v>206</v>
      </c>
      <c r="C225" s="85">
        <f t="shared" si="64"/>
        <v>0</v>
      </c>
      <c r="D225" s="85">
        <f t="shared" si="65"/>
        <v>0</v>
      </c>
      <c r="E225" s="84">
        <f t="shared" si="66"/>
        <v>0</v>
      </c>
      <c r="F225" s="135">
        <f t="shared" si="67"/>
        <v>0</v>
      </c>
      <c r="G225" s="413">
        <f t="shared" si="55"/>
        <v>0</v>
      </c>
      <c r="H225" s="413">
        <f t="shared" si="56"/>
        <v>0</v>
      </c>
      <c r="I225" s="275">
        <f t="shared" si="68"/>
        <v>0</v>
      </c>
      <c r="J225" s="275">
        <f t="shared" si="69"/>
        <v>0</v>
      </c>
      <c r="K225" s="137">
        <f t="shared" si="57"/>
        <v>0</v>
      </c>
      <c r="L225" s="15" t="s">
        <v>0</v>
      </c>
      <c r="M225" s="88">
        <v>0</v>
      </c>
      <c r="N225" s="88">
        <v>0</v>
      </c>
      <c r="O225" s="155">
        <v>1E+16</v>
      </c>
      <c r="P225" s="68">
        <v>109575</v>
      </c>
      <c r="Q225" s="3">
        <f t="shared" si="58"/>
        <v>64601</v>
      </c>
      <c r="R225" s="107">
        <f t="shared" si="63"/>
        <v>18.66</v>
      </c>
      <c r="S225" s="105">
        <f t="shared" si="59"/>
        <v>26311205.816876858</v>
      </c>
      <c r="T225" s="341">
        <v>0</v>
      </c>
      <c r="U225" s="341">
        <v>0</v>
      </c>
      <c r="V225" s="341">
        <v>0</v>
      </c>
      <c r="W225" s="341">
        <v>0</v>
      </c>
      <c r="X225" s="281">
        <f t="shared" si="60"/>
        <v>0.02</v>
      </c>
      <c r="Y225" s="282">
        <f t="shared" si="61"/>
        <v>0.1</v>
      </c>
    </row>
    <row r="226" spans="2:25" x14ac:dyDescent="0.35">
      <c r="B226" s="18">
        <f t="shared" si="62"/>
        <v>207</v>
      </c>
      <c r="C226" s="85">
        <f t="shared" si="64"/>
        <v>0</v>
      </c>
      <c r="D226" s="85">
        <f t="shared" si="65"/>
        <v>0</v>
      </c>
      <c r="E226" s="84">
        <f t="shared" si="66"/>
        <v>0</v>
      </c>
      <c r="F226" s="135">
        <f t="shared" si="67"/>
        <v>0</v>
      </c>
      <c r="G226" s="413">
        <f t="shared" si="55"/>
        <v>0</v>
      </c>
      <c r="H226" s="413">
        <f t="shared" si="56"/>
        <v>0</v>
      </c>
      <c r="I226" s="275">
        <f t="shared" si="68"/>
        <v>0</v>
      </c>
      <c r="J226" s="275">
        <f t="shared" si="69"/>
        <v>0</v>
      </c>
      <c r="K226" s="137">
        <f t="shared" si="57"/>
        <v>0</v>
      </c>
      <c r="L226" s="15" t="s">
        <v>0</v>
      </c>
      <c r="M226" s="88">
        <v>0</v>
      </c>
      <c r="N226" s="88">
        <v>0</v>
      </c>
      <c r="O226" s="155">
        <v>1E+16</v>
      </c>
      <c r="P226" s="68">
        <v>109575</v>
      </c>
      <c r="Q226" s="3">
        <f t="shared" si="58"/>
        <v>64601</v>
      </c>
      <c r="R226" s="107">
        <f t="shared" si="63"/>
        <v>18.66</v>
      </c>
      <c r="S226" s="105">
        <f t="shared" si="59"/>
        <v>26311205.816876858</v>
      </c>
      <c r="T226" s="341">
        <v>0</v>
      </c>
      <c r="U226" s="341">
        <v>0</v>
      </c>
      <c r="V226" s="341">
        <v>0</v>
      </c>
      <c r="W226" s="341">
        <v>0</v>
      </c>
      <c r="X226" s="281">
        <f t="shared" si="60"/>
        <v>0.02</v>
      </c>
      <c r="Y226" s="282">
        <f t="shared" si="61"/>
        <v>0.1</v>
      </c>
    </row>
    <row r="227" spans="2:25" x14ac:dyDescent="0.35">
      <c r="B227" s="18">
        <f t="shared" si="62"/>
        <v>208</v>
      </c>
      <c r="C227" s="85">
        <f t="shared" si="64"/>
        <v>0</v>
      </c>
      <c r="D227" s="85">
        <f t="shared" si="65"/>
        <v>0</v>
      </c>
      <c r="E227" s="84">
        <f t="shared" si="66"/>
        <v>0</v>
      </c>
      <c r="F227" s="135">
        <f t="shared" si="67"/>
        <v>0</v>
      </c>
      <c r="G227" s="413">
        <f t="shared" si="55"/>
        <v>0</v>
      </c>
      <c r="H227" s="413">
        <f t="shared" si="56"/>
        <v>0</v>
      </c>
      <c r="I227" s="275">
        <f t="shared" si="68"/>
        <v>0</v>
      </c>
      <c r="J227" s="275">
        <f t="shared" si="69"/>
        <v>0</v>
      </c>
      <c r="K227" s="137">
        <f t="shared" si="57"/>
        <v>0</v>
      </c>
      <c r="L227" s="15" t="s">
        <v>0</v>
      </c>
      <c r="M227" s="88">
        <v>0</v>
      </c>
      <c r="N227" s="88">
        <v>0</v>
      </c>
      <c r="O227" s="155">
        <v>1E+16</v>
      </c>
      <c r="P227" s="68">
        <v>109575</v>
      </c>
      <c r="Q227" s="3">
        <f t="shared" si="58"/>
        <v>64601</v>
      </c>
      <c r="R227" s="107">
        <f t="shared" si="63"/>
        <v>18.66</v>
      </c>
      <c r="S227" s="105">
        <f t="shared" si="59"/>
        <v>26311205.816876858</v>
      </c>
      <c r="T227" s="341">
        <v>0</v>
      </c>
      <c r="U227" s="341">
        <v>0</v>
      </c>
      <c r="V227" s="341">
        <v>0</v>
      </c>
      <c r="W227" s="341">
        <v>0</v>
      </c>
      <c r="X227" s="281">
        <f t="shared" si="60"/>
        <v>0.02</v>
      </c>
      <c r="Y227" s="282">
        <f t="shared" si="61"/>
        <v>0.1</v>
      </c>
    </row>
    <row r="228" spans="2:25" x14ac:dyDescent="0.35">
      <c r="B228" s="18">
        <f t="shared" si="62"/>
        <v>209</v>
      </c>
      <c r="C228" s="85">
        <f t="shared" si="64"/>
        <v>0</v>
      </c>
      <c r="D228" s="85">
        <f t="shared" si="65"/>
        <v>0</v>
      </c>
      <c r="E228" s="84">
        <f t="shared" si="66"/>
        <v>0</v>
      </c>
      <c r="F228" s="135">
        <f t="shared" si="67"/>
        <v>0</v>
      </c>
      <c r="G228" s="413">
        <f t="shared" si="55"/>
        <v>0</v>
      </c>
      <c r="H228" s="413">
        <f t="shared" si="56"/>
        <v>0</v>
      </c>
      <c r="I228" s="275">
        <f t="shared" si="68"/>
        <v>0</v>
      </c>
      <c r="J228" s="275">
        <f t="shared" si="69"/>
        <v>0</v>
      </c>
      <c r="K228" s="137">
        <f t="shared" si="57"/>
        <v>0</v>
      </c>
      <c r="L228" s="15" t="s">
        <v>0</v>
      </c>
      <c r="M228" s="88">
        <v>0</v>
      </c>
      <c r="N228" s="88">
        <v>0</v>
      </c>
      <c r="O228" s="155">
        <v>1E+16</v>
      </c>
      <c r="P228" s="68">
        <v>109575</v>
      </c>
      <c r="Q228" s="3">
        <f t="shared" si="58"/>
        <v>64601</v>
      </c>
      <c r="R228" s="107">
        <f t="shared" si="63"/>
        <v>18.66</v>
      </c>
      <c r="S228" s="105">
        <f t="shared" si="59"/>
        <v>26311205.816876858</v>
      </c>
      <c r="T228" s="341">
        <v>0</v>
      </c>
      <c r="U228" s="341">
        <v>0</v>
      </c>
      <c r="V228" s="341">
        <v>0</v>
      </c>
      <c r="W228" s="341">
        <v>0</v>
      </c>
      <c r="X228" s="281">
        <f t="shared" si="60"/>
        <v>0.02</v>
      </c>
      <c r="Y228" s="282">
        <f t="shared" si="61"/>
        <v>0.1</v>
      </c>
    </row>
    <row r="229" spans="2:25" x14ac:dyDescent="0.35">
      <c r="B229" s="18">
        <f t="shared" si="62"/>
        <v>210</v>
      </c>
      <c r="C229" s="85">
        <f t="shared" si="64"/>
        <v>0</v>
      </c>
      <c r="D229" s="85">
        <f t="shared" si="65"/>
        <v>0</v>
      </c>
      <c r="E229" s="84">
        <f t="shared" si="66"/>
        <v>0</v>
      </c>
      <c r="F229" s="135">
        <f t="shared" si="67"/>
        <v>0</v>
      </c>
      <c r="G229" s="413">
        <f t="shared" si="55"/>
        <v>0</v>
      </c>
      <c r="H229" s="413">
        <f t="shared" si="56"/>
        <v>0</v>
      </c>
      <c r="I229" s="275">
        <f t="shared" si="68"/>
        <v>0</v>
      </c>
      <c r="J229" s="275">
        <f t="shared" si="69"/>
        <v>0</v>
      </c>
      <c r="K229" s="137">
        <f t="shared" si="57"/>
        <v>0</v>
      </c>
      <c r="L229" s="15" t="s">
        <v>0</v>
      </c>
      <c r="M229" s="88">
        <v>0</v>
      </c>
      <c r="N229" s="88">
        <v>0</v>
      </c>
      <c r="O229" s="155">
        <v>1E+16</v>
      </c>
      <c r="P229" s="68">
        <v>109575</v>
      </c>
      <c r="Q229" s="3">
        <f t="shared" si="58"/>
        <v>64601</v>
      </c>
      <c r="R229" s="107">
        <f t="shared" si="63"/>
        <v>18.66</v>
      </c>
      <c r="S229" s="105">
        <f t="shared" si="59"/>
        <v>26311205.816876858</v>
      </c>
      <c r="T229" s="341">
        <v>0</v>
      </c>
      <c r="U229" s="341">
        <v>0</v>
      </c>
      <c r="V229" s="341">
        <v>0</v>
      </c>
      <c r="W229" s="341">
        <v>0</v>
      </c>
      <c r="X229" s="281">
        <f t="shared" si="60"/>
        <v>0.02</v>
      </c>
      <c r="Y229" s="282">
        <f t="shared" si="61"/>
        <v>0.1</v>
      </c>
    </row>
    <row r="230" spans="2:25" x14ac:dyDescent="0.35">
      <c r="B230" s="18">
        <f t="shared" si="62"/>
        <v>211</v>
      </c>
      <c r="C230" s="85">
        <f t="shared" si="64"/>
        <v>0</v>
      </c>
      <c r="D230" s="85">
        <f t="shared" si="65"/>
        <v>0</v>
      </c>
      <c r="E230" s="84">
        <f t="shared" si="66"/>
        <v>0</v>
      </c>
      <c r="F230" s="135">
        <f t="shared" si="67"/>
        <v>0</v>
      </c>
      <c r="G230" s="413">
        <f t="shared" si="55"/>
        <v>0</v>
      </c>
      <c r="H230" s="413">
        <f t="shared" si="56"/>
        <v>0</v>
      </c>
      <c r="I230" s="275">
        <f t="shared" si="68"/>
        <v>0</v>
      </c>
      <c r="J230" s="275">
        <f t="shared" si="69"/>
        <v>0</v>
      </c>
      <c r="K230" s="137">
        <f t="shared" si="57"/>
        <v>0</v>
      </c>
      <c r="L230" s="15" t="s">
        <v>0</v>
      </c>
      <c r="M230" s="88">
        <v>0</v>
      </c>
      <c r="N230" s="88">
        <v>0</v>
      </c>
      <c r="O230" s="155">
        <v>1E+16</v>
      </c>
      <c r="P230" s="68">
        <v>109575</v>
      </c>
      <c r="Q230" s="3">
        <f t="shared" si="58"/>
        <v>64601</v>
      </c>
      <c r="R230" s="107">
        <f t="shared" si="63"/>
        <v>18.66</v>
      </c>
      <c r="S230" s="105">
        <f t="shared" si="59"/>
        <v>26311205.816876858</v>
      </c>
      <c r="T230" s="341">
        <v>0</v>
      </c>
      <c r="U230" s="341">
        <v>0</v>
      </c>
      <c r="V230" s="341">
        <v>0</v>
      </c>
      <c r="W230" s="341">
        <v>0</v>
      </c>
      <c r="X230" s="281">
        <f t="shared" si="60"/>
        <v>0.02</v>
      </c>
      <c r="Y230" s="282">
        <f t="shared" si="61"/>
        <v>0.1</v>
      </c>
    </row>
    <row r="231" spans="2:25" x14ac:dyDescent="0.35">
      <c r="B231" s="18">
        <f t="shared" si="62"/>
        <v>212</v>
      </c>
      <c r="C231" s="85">
        <f t="shared" si="64"/>
        <v>0</v>
      </c>
      <c r="D231" s="85">
        <f t="shared" si="65"/>
        <v>0</v>
      </c>
      <c r="E231" s="84">
        <f t="shared" si="66"/>
        <v>0</v>
      </c>
      <c r="F231" s="135">
        <f t="shared" si="67"/>
        <v>0</v>
      </c>
      <c r="G231" s="413">
        <f t="shared" si="55"/>
        <v>0</v>
      </c>
      <c r="H231" s="413">
        <f t="shared" si="56"/>
        <v>0</v>
      </c>
      <c r="I231" s="275">
        <f t="shared" si="68"/>
        <v>0</v>
      </c>
      <c r="J231" s="275">
        <f t="shared" si="69"/>
        <v>0</v>
      </c>
      <c r="K231" s="137">
        <f t="shared" si="57"/>
        <v>0</v>
      </c>
      <c r="L231" s="15" t="s">
        <v>0</v>
      </c>
      <c r="M231" s="88">
        <v>0</v>
      </c>
      <c r="N231" s="88">
        <v>0</v>
      </c>
      <c r="O231" s="155">
        <v>1E+16</v>
      </c>
      <c r="P231" s="68">
        <v>109575</v>
      </c>
      <c r="Q231" s="3">
        <f t="shared" si="58"/>
        <v>64601</v>
      </c>
      <c r="R231" s="107">
        <f t="shared" si="63"/>
        <v>18.66</v>
      </c>
      <c r="S231" s="105">
        <f t="shared" si="59"/>
        <v>26311205.816876858</v>
      </c>
      <c r="T231" s="341">
        <v>0</v>
      </c>
      <c r="U231" s="341">
        <v>0</v>
      </c>
      <c r="V231" s="341">
        <v>0</v>
      </c>
      <c r="W231" s="341">
        <v>0</v>
      </c>
      <c r="X231" s="281">
        <f t="shared" si="60"/>
        <v>0.02</v>
      </c>
      <c r="Y231" s="282">
        <f t="shared" si="61"/>
        <v>0.1</v>
      </c>
    </row>
    <row r="232" spans="2:25" x14ac:dyDescent="0.35">
      <c r="B232" s="18">
        <f t="shared" si="62"/>
        <v>213</v>
      </c>
      <c r="C232" s="85">
        <f t="shared" si="64"/>
        <v>0</v>
      </c>
      <c r="D232" s="85">
        <f t="shared" si="65"/>
        <v>0</v>
      </c>
      <c r="E232" s="84">
        <f t="shared" si="66"/>
        <v>0</v>
      </c>
      <c r="F232" s="135">
        <f t="shared" si="67"/>
        <v>0</v>
      </c>
      <c r="G232" s="413">
        <f t="shared" si="55"/>
        <v>0</v>
      </c>
      <c r="H232" s="413">
        <f t="shared" si="56"/>
        <v>0</v>
      </c>
      <c r="I232" s="275">
        <f t="shared" si="68"/>
        <v>0</v>
      </c>
      <c r="J232" s="275">
        <f t="shared" si="69"/>
        <v>0</v>
      </c>
      <c r="K232" s="137">
        <f t="shared" si="57"/>
        <v>0</v>
      </c>
      <c r="L232" s="15" t="s">
        <v>0</v>
      </c>
      <c r="M232" s="88">
        <v>0</v>
      </c>
      <c r="N232" s="88">
        <v>0</v>
      </c>
      <c r="O232" s="155">
        <v>1E+16</v>
      </c>
      <c r="P232" s="68">
        <v>109575</v>
      </c>
      <c r="Q232" s="3">
        <f t="shared" si="58"/>
        <v>64601</v>
      </c>
      <c r="R232" s="107">
        <f t="shared" si="63"/>
        <v>18.66</v>
      </c>
      <c r="S232" s="105">
        <f t="shared" si="59"/>
        <v>26311205.816876858</v>
      </c>
      <c r="T232" s="341">
        <v>0</v>
      </c>
      <c r="U232" s="341">
        <v>0</v>
      </c>
      <c r="V232" s="341">
        <v>0</v>
      </c>
      <c r="W232" s="341">
        <v>0</v>
      </c>
      <c r="X232" s="281">
        <f t="shared" si="60"/>
        <v>0.02</v>
      </c>
      <c r="Y232" s="282">
        <f t="shared" si="61"/>
        <v>0.1</v>
      </c>
    </row>
    <row r="233" spans="2:25" x14ac:dyDescent="0.35">
      <c r="B233" s="18">
        <f t="shared" si="62"/>
        <v>214</v>
      </c>
      <c r="C233" s="85">
        <f t="shared" si="64"/>
        <v>0</v>
      </c>
      <c r="D233" s="85">
        <f t="shared" si="65"/>
        <v>0</v>
      </c>
      <c r="E233" s="84">
        <f t="shared" si="66"/>
        <v>0</v>
      </c>
      <c r="F233" s="135">
        <f t="shared" si="67"/>
        <v>0</v>
      </c>
      <c r="G233" s="413">
        <f t="shared" si="55"/>
        <v>0</v>
      </c>
      <c r="H233" s="413">
        <f t="shared" si="56"/>
        <v>0</v>
      </c>
      <c r="I233" s="275">
        <f t="shared" si="68"/>
        <v>0</v>
      </c>
      <c r="J233" s="275">
        <f t="shared" si="69"/>
        <v>0</v>
      </c>
      <c r="K233" s="137">
        <f t="shared" si="57"/>
        <v>0</v>
      </c>
      <c r="L233" s="15" t="s">
        <v>0</v>
      </c>
      <c r="M233" s="88">
        <v>0</v>
      </c>
      <c r="N233" s="88">
        <v>0</v>
      </c>
      <c r="O233" s="155">
        <v>1E+16</v>
      </c>
      <c r="P233" s="68">
        <v>109575</v>
      </c>
      <c r="Q233" s="3">
        <f t="shared" si="58"/>
        <v>64601</v>
      </c>
      <c r="R233" s="107">
        <f t="shared" si="63"/>
        <v>18.66</v>
      </c>
      <c r="S233" s="105">
        <f t="shared" si="59"/>
        <v>26311205.816876858</v>
      </c>
      <c r="T233" s="341">
        <v>0</v>
      </c>
      <c r="U233" s="341">
        <v>0</v>
      </c>
      <c r="V233" s="341">
        <v>0</v>
      </c>
      <c r="W233" s="341">
        <v>0</v>
      </c>
      <c r="X233" s="281">
        <f t="shared" si="60"/>
        <v>0.02</v>
      </c>
      <c r="Y233" s="282">
        <f t="shared" si="61"/>
        <v>0.1</v>
      </c>
    </row>
    <row r="234" spans="2:25" x14ac:dyDescent="0.35">
      <c r="B234" s="18">
        <f t="shared" si="62"/>
        <v>215</v>
      </c>
      <c r="C234" s="85">
        <f t="shared" si="64"/>
        <v>0</v>
      </c>
      <c r="D234" s="85">
        <f t="shared" si="65"/>
        <v>0</v>
      </c>
      <c r="E234" s="84">
        <f t="shared" si="66"/>
        <v>0</v>
      </c>
      <c r="F234" s="135">
        <f t="shared" si="67"/>
        <v>0</v>
      </c>
      <c r="G234" s="413">
        <f t="shared" si="55"/>
        <v>0</v>
      </c>
      <c r="H234" s="413">
        <f t="shared" si="56"/>
        <v>0</v>
      </c>
      <c r="I234" s="275">
        <f t="shared" si="68"/>
        <v>0</v>
      </c>
      <c r="J234" s="275">
        <f t="shared" si="69"/>
        <v>0</v>
      </c>
      <c r="K234" s="137">
        <f t="shared" si="57"/>
        <v>0</v>
      </c>
      <c r="L234" s="15" t="s">
        <v>0</v>
      </c>
      <c r="M234" s="88">
        <v>0</v>
      </c>
      <c r="N234" s="88">
        <v>0</v>
      </c>
      <c r="O234" s="155">
        <v>1E+16</v>
      </c>
      <c r="P234" s="68">
        <v>109575</v>
      </c>
      <c r="Q234" s="3">
        <f t="shared" si="58"/>
        <v>64601</v>
      </c>
      <c r="R234" s="107">
        <f t="shared" si="63"/>
        <v>18.66</v>
      </c>
      <c r="S234" s="105">
        <f t="shared" si="59"/>
        <v>26311205.816876858</v>
      </c>
      <c r="T234" s="341">
        <v>0</v>
      </c>
      <c r="U234" s="341">
        <v>0</v>
      </c>
      <c r="V234" s="341">
        <v>0</v>
      </c>
      <c r="W234" s="341">
        <v>0</v>
      </c>
      <c r="X234" s="281">
        <f t="shared" si="60"/>
        <v>0.02</v>
      </c>
      <c r="Y234" s="282">
        <f t="shared" si="61"/>
        <v>0.1</v>
      </c>
    </row>
    <row r="235" spans="2:25" x14ac:dyDescent="0.35">
      <c r="B235" s="18">
        <f t="shared" si="62"/>
        <v>216</v>
      </c>
      <c r="C235" s="85">
        <f t="shared" si="64"/>
        <v>0</v>
      </c>
      <c r="D235" s="85">
        <f t="shared" si="65"/>
        <v>0</v>
      </c>
      <c r="E235" s="84">
        <f t="shared" si="66"/>
        <v>0</v>
      </c>
      <c r="F235" s="135">
        <f t="shared" si="67"/>
        <v>0</v>
      </c>
      <c r="G235" s="413">
        <f t="shared" si="55"/>
        <v>0</v>
      </c>
      <c r="H235" s="413">
        <f t="shared" si="56"/>
        <v>0</v>
      </c>
      <c r="I235" s="275">
        <f t="shared" si="68"/>
        <v>0</v>
      </c>
      <c r="J235" s="275">
        <f t="shared" si="69"/>
        <v>0</v>
      </c>
      <c r="K235" s="137">
        <f t="shared" si="57"/>
        <v>0</v>
      </c>
      <c r="L235" s="15" t="s">
        <v>0</v>
      </c>
      <c r="M235" s="88">
        <v>0</v>
      </c>
      <c r="N235" s="88">
        <v>0</v>
      </c>
      <c r="O235" s="155">
        <v>1E+16</v>
      </c>
      <c r="P235" s="68">
        <v>109575</v>
      </c>
      <c r="Q235" s="3">
        <f t="shared" si="58"/>
        <v>64601</v>
      </c>
      <c r="R235" s="107">
        <f t="shared" si="63"/>
        <v>18.66</v>
      </c>
      <c r="S235" s="105">
        <f t="shared" si="59"/>
        <v>26311205.816876858</v>
      </c>
      <c r="T235" s="341">
        <v>0</v>
      </c>
      <c r="U235" s="341">
        <v>0</v>
      </c>
      <c r="V235" s="341">
        <v>0</v>
      </c>
      <c r="W235" s="341">
        <v>0</v>
      </c>
      <c r="X235" s="281">
        <f t="shared" si="60"/>
        <v>0.02</v>
      </c>
      <c r="Y235" s="282">
        <f t="shared" si="61"/>
        <v>0.1</v>
      </c>
    </row>
    <row r="236" spans="2:25" x14ac:dyDescent="0.35">
      <c r="B236" s="18">
        <f t="shared" si="62"/>
        <v>217</v>
      </c>
      <c r="C236" s="85">
        <f t="shared" si="64"/>
        <v>0</v>
      </c>
      <c r="D236" s="85">
        <f t="shared" si="65"/>
        <v>0</v>
      </c>
      <c r="E236" s="84">
        <f t="shared" si="66"/>
        <v>0</v>
      </c>
      <c r="F236" s="135">
        <f t="shared" si="67"/>
        <v>0</v>
      </c>
      <c r="G236" s="413">
        <f t="shared" si="55"/>
        <v>0</v>
      </c>
      <c r="H236" s="413">
        <f t="shared" si="56"/>
        <v>0</v>
      </c>
      <c r="I236" s="275">
        <f t="shared" si="68"/>
        <v>0</v>
      </c>
      <c r="J236" s="275">
        <f t="shared" si="69"/>
        <v>0</v>
      </c>
      <c r="K236" s="137">
        <f t="shared" si="57"/>
        <v>0</v>
      </c>
      <c r="L236" s="15" t="s">
        <v>0</v>
      </c>
      <c r="M236" s="88">
        <v>0</v>
      </c>
      <c r="N236" s="88">
        <v>0</v>
      </c>
      <c r="O236" s="155">
        <v>1E+16</v>
      </c>
      <c r="P236" s="68">
        <v>109575</v>
      </c>
      <c r="Q236" s="3">
        <f t="shared" si="58"/>
        <v>64601</v>
      </c>
      <c r="R236" s="107">
        <f t="shared" si="63"/>
        <v>18.66</v>
      </c>
      <c r="S236" s="105">
        <f t="shared" si="59"/>
        <v>26311205.816876858</v>
      </c>
      <c r="T236" s="341">
        <v>0</v>
      </c>
      <c r="U236" s="341">
        <v>0</v>
      </c>
      <c r="V236" s="341">
        <v>0</v>
      </c>
      <c r="W236" s="341">
        <v>0</v>
      </c>
      <c r="X236" s="281">
        <f t="shared" si="60"/>
        <v>0.02</v>
      </c>
      <c r="Y236" s="282">
        <f t="shared" si="61"/>
        <v>0.1</v>
      </c>
    </row>
    <row r="237" spans="2:25" x14ac:dyDescent="0.35">
      <c r="B237" s="18">
        <f t="shared" si="62"/>
        <v>218</v>
      </c>
      <c r="C237" s="85">
        <f t="shared" si="64"/>
        <v>0</v>
      </c>
      <c r="D237" s="85">
        <f t="shared" si="65"/>
        <v>0</v>
      </c>
      <c r="E237" s="84">
        <f t="shared" si="66"/>
        <v>0</v>
      </c>
      <c r="F237" s="135">
        <f t="shared" si="67"/>
        <v>0</v>
      </c>
      <c r="G237" s="413">
        <f t="shared" si="55"/>
        <v>0</v>
      </c>
      <c r="H237" s="413">
        <f t="shared" si="56"/>
        <v>0</v>
      </c>
      <c r="I237" s="275">
        <f t="shared" si="68"/>
        <v>0</v>
      </c>
      <c r="J237" s="275">
        <f t="shared" si="69"/>
        <v>0</v>
      </c>
      <c r="K237" s="137">
        <f t="shared" si="57"/>
        <v>0</v>
      </c>
      <c r="L237" s="15" t="s">
        <v>0</v>
      </c>
      <c r="M237" s="88">
        <v>0</v>
      </c>
      <c r="N237" s="88">
        <v>0</v>
      </c>
      <c r="O237" s="155">
        <v>1E+16</v>
      </c>
      <c r="P237" s="68">
        <v>109575</v>
      </c>
      <c r="Q237" s="3">
        <f t="shared" si="58"/>
        <v>64601</v>
      </c>
      <c r="R237" s="107">
        <f t="shared" si="63"/>
        <v>18.66</v>
      </c>
      <c r="S237" s="105">
        <f t="shared" si="59"/>
        <v>26311205.816876858</v>
      </c>
      <c r="T237" s="341">
        <v>0</v>
      </c>
      <c r="U237" s="341">
        <v>0</v>
      </c>
      <c r="V237" s="341">
        <v>0</v>
      </c>
      <c r="W237" s="341">
        <v>0</v>
      </c>
      <c r="X237" s="281">
        <f t="shared" si="60"/>
        <v>0.02</v>
      </c>
      <c r="Y237" s="282">
        <f t="shared" si="61"/>
        <v>0.1</v>
      </c>
    </row>
    <row r="238" spans="2:25" x14ac:dyDescent="0.35">
      <c r="B238" s="18">
        <f t="shared" si="62"/>
        <v>219</v>
      </c>
      <c r="C238" s="85">
        <f t="shared" si="64"/>
        <v>0</v>
      </c>
      <c r="D238" s="85">
        <f t="shared" si="65"/>
        <v>0</v>
      </c>
      <c r="E238" s="84">
        <f t="shared" si="66"/>
        <v>0</v>
      </c>
      <c r="F238" s="135">
        <f t="shared" si="67"/>
        <v>0</v>
      </c>
      <c r="G238" s="413">
        <f t="shared" si="55"/>
        <v>0</v>
      </c>
      <c r="H238" s="413">
        <f t="shared" si="56"/>
        <v>0</v>
      </c>
      <c r="I238" s="275">
        <f t="shared" si="68"/>
        <v>0</v>
      </c>
      <c r="J238" s="275">
        <f t="shared" si="69"/>
        <v>0</v>
      </c>
      <c r="K238" s="137">
        <f t="shared" si="57"/>
        <v>0</v>
      </c>
      <c r="L238" s="15" t="s">
        <v>0</v>
      </c>
      <c r="M238" s="88">
        <v>0</v>
      </c>
      <c r="N238" s="88">
        <v>0</v>
      </c>
      <c r="O238" s="155">
        <v>1E+16</v>
      </c>
      <c r="P238" s="68">
        <v>109575</v>
      </c>
      <c r="Q238" s="3">
        <f t="shared" si="58"/>
        <v>64601</v>
      </c>
      <c r="R238" s="107">
        <f t="shared" si="63"/>
        <v>18.66</v>
      </c>
      <c r="S238" s="105">
        <f t="shared" si="59"/>
        <v>26311205.816876858</v>
      </c>
      <c r="T238" s="341">
        <v>0</v>
      </c>
      <c r="U238" s="341">
        <v>0</v>
      </c>
      <c r="V238" s="341">
        <v>0</v>
      </c>
      <c r="W238" s="341">
        <v>0</v>
      </c>
      <c r="X238" s="281">
        <f t="shared" si="60"/>
        <v>0.02</v>
      </c>
      <c r="Y238" s="282">
        <f t="shared" si="61"/>
        <v>0.1</v>
      </c>
    </row>
    <row r="239" spans="2:25" x14ac:dyDescent="0.35">
      <c r="B239" s="18">
        <f t="shared" si="62"/>
        <v>220</v>
      </c>
      <c r="C239" s="85">
        <f t="shared" si="64"/>
        <v>0</v>
      </c>
      <c r="D239" s="85">
        <f t="shared" si="65"/>
        <v>0</v>
      </c>
      <c r="E239" s="84">
        <f t="shared" si="66"/>
        <v>0</v>
      </c>
      <c r="F239" s="135">
        <f t="shared" si="67"/>
        <v>0</v>
      </c>
      <c r="G239" s="413">
        <f t="shared" si="55"/>
        <v>0</v>
      </c>
      <c r="H239" s="413">
        <f t="shared" si="56"/>
        <v>0</v>
      </c>
      <c r="I239" s="275">
        <f t="shared" si="68"/>
        <v>0</v>
      </c>
      <c r="J239" s="275">
        <f t="shared" si="69"/>
        <v>0</v>
      </c>
      <c r="K239" s="137">
        <f t="shared" si="57"/>
        <v>0</v>
      </c>
      <c r="L239" s="15" t="s">
        <v>0</v>
      </c>
      <c r="M239" s="88">
        <v>0</v>
      </c>
      <c r="N239" s="88">
        <v>0</v>
      </c>
      <c r="O239" s="155">
        <v>1E+16</v>
      </c>
      <c r="P239" s="68">
        <v>109575</v>
      </c>
      <c r="Q239" s="3">
        <f t="shared" si="58"/>
        <v>64601</v>
      </c>
      <c r="R239" s="107">
        <f t="shared" si="63"/>
        <v>18.66</v>
      </c>
      <c r="S239" s="105">
        <f t="shared" si="59"/>
        <v>26311205.816876858</v>
      </c>
      <c r="T239" s="341">
        <v>0</v>
      </c>
      <c r="U239" s="341">
        <v>0</v>
      </c>
      <c r="V239" s="341">
        <v>0</v>
      </c>
      <c r="W239" s="341">
        <v>0</v>
      </c>
      <c r="X239" s="281">
        <f t="shared" si="60"/>
        <v>0.02</v>
      </c>
      <c r="Y239" s="282">
        <f t="shared" si="61"/>
        <v>0.1</v>
      </c>
    </row>
    <row r="240" spans="2:25" x14ac:dyDescent="0.35">
      <c r="B240" s="18">
        <f t="shared" si="62"/>
        <v>221</v>
      </c>
      <c r="C240" s="85">
        <f t="shared" si="64"/>
        <v>0</v>
      </c>
      <c r="D240" s="85">
        <f t="shared" si="65"/>
        <v>0</v>
      </c>
      <c r="E240" s="84">
        <f t="shared" si="66"/>
        <v>0</v>
      </c>
      <c r="F240" s="135">
        <f t="shared" si="67"/>
        <v>0</v>
      </c>
      <c r="G240" s="413">
        <f t="shared" si="55"/>
        <v>0</v>
      </c>
      <c r="H240" s="413">
        <f t="shared" si="56"/>
        <v>0</v>
      </c>
      <c r="I240" s="275">
        <f t="shared" si="68"/>
        <v>0</v>
      </c>
      <c r="J240" s="275">
        <f t="shared" si="69"/>
        <v>0</v>
      </c>
      <c r="K240" s="137">
        <f t="shared" si="57"/>
        <v>0</v>
      </c>
      <c r="L240" s="15" t="s">
        <v>0</v>
      </c>
      <c r="M240" s="88">
        <v>0</v>
      </c>
      <c r="N240" s="88">
        <v>0</v>
      </c>
      <c r="O240" s="155">
        <v>1E+16</v>
      </c>
      <c r="P240" s="68">
        <v>109575</v>
      </c>
      <c r="Q240" s="3">
        <f t="shared" si="58"/>
        <v>64601</v>
      </c>
      <c r="R240" s="107">
        <f t="shared" si="63"/>
        <v>18.66</v>
      </c>
      <c r="S240" s="105">
        <f t="shared" si="59"/>
        <v>26311205.816876858</v>
      </c>
      <c r="T240" s="341">
        <v>0</v>
      </c>
      <c r="U240" s="341">
        <v>0</v>
      </c>
      <c r="V240" s="341">
        <v>0</v>
      </c>
      <c r="W240" s="341">
        <v>0</v>
      </c>
      <c r="X240" s="281">
        <f t="shared" si="60"/>
        <v>0.02</v>
      </c>
      <c r="Y240" s="282">
        <f t="shared" si="61"/>
        <v>0.1</v>
      </c>
    </row>
    <row r="241" spans="2:25" x14ac:dyDescent="0.35">
      <c r="B241" s="18">
        <f t="shared" si="62"/>
        <v>222</v>
      </c>
      <c r="C241" s="85">
        <f t="shared" si="64"/>
        <v>0</v>
      </c>
      <c r="D241" s="85">
        <f t="shared" si="65"/>
        <v>0</v>
      </c>
      <c r="E241" s="84">
        <f t="shared" si="66"/>
        <v>0</v>
      </c>
      <c r="F241" s="135">
        <f t="shared" si="67"/>
        <v>0</v>
      </c>
      <c r="G241" s="413">
        <f t="shared" si="55"/>
        <v>0</v>
      </c>
      <c r="H241" s="413">
        <f t="shared" si="56"/>
        <v>0</v>
      </c>
      <c r="I241" s="275">
        <f t="shared" si="68"/>
        <v>0</v>
      </c>
      <c r="J241" s="275">
        <f t="shared" si="69"/>
        <v>0</v>
      </c>
      <c r="K241" s="137">
        <f t="shared" si="57"/>
        <v>0</v>
      </c>
      <c r="L241" s="15" t="s">
        <v>0</v>
      </c>
      <c r="M241" s="88">
        <v>0</v>
      </c>
      <c r="N241" s="88">
        <v>0</v>
      </c>
      <c r="O241" s="155">
        <v>1E+16</v>
      </c>
      <c r="P241" s="68">
        <v>109575</v>
      </c>
      <c r="Q241" s="3">
        <f t="shared" si="58"/>
        <v>64601</v>
      </c>
      <c r="R241" s="107">
        <f t="shared" si="63"/>
        <v>18.66</v>
      </c>
      <c r="S241" s="105">
        <f t="shared" si="59"/>
        <v>26311205.816876858</v>
      </c>
      <c r="T241" s="341">
        <v>0</v>
      </c>
      <c r="U241" s="341">
        <v>0</v>
      </c>
      <c r="V241" s="341">
        <v>0</v>
      </c>
      <c r="W241" s="341">
        <v>0</v>
      </c>
      <c r="X241" s="281">
        <f t="shared" si="60"/>
        <v>0.02</v>
      </c>
      <c r="Y241" s="282">
        <f t="shared" si="61"/>
        <v>0.1</v>
      </c>
    </row>
    <row r="242" spans="2:25" x14ac:dyDescent="0.35">
      <c r="B242" s="18">
        <f t="shared" si="62"/>
        <v>223</v>
      </c>
      <c r="C242" s="85">
        <f t="shared" si="64"/>
        <v>0</v>
      </c>
      <c r="D242" s="85">
        <f t="shared" si="65"/>
        <v>0</v>
      </c>
      <c r="E242" s="84">
        <f t="shared" si="66"/>
        <v>0</v>
      </c>
      <c r="F242" s="135">
        <f t="shared" si="67"/>
        <v>0</v>
      </c>
      <c r="G242" s="413">
        <f t="shared" si="55"/>
        <v>0</v>
      </c>
      <c r="H242" s="413">
        <f t="shared" si="56"/>
        <v>0</v>
      </c>
      <c r="I242" s="275">
        <f t="shared" si="68"/>
        <v>0</v>
      </c>
      <c r="J242" s="275">
        <f t="shared" si="69"/>
        <v>0</v>
      </c>
      <c r="K242" s="137">
        <f t="shared" si="57"/>
        <v>0</v>
      </c>
      <c r="L242" s="15" t="s">
        <v>0</v>
      </c>
      <c r="M242" s="88">
        <v>0</v>
      </c>
      <c r="N242" s="88">
        <v>0</v>
      </c>
      <c r="O242" s="155">
        <v>1E+16</v>
      </c>
      <c r="P242" s="68">
        <v>109575</v>
      </c>
      <c r="Q242" s="3">
        <f t="shared" si="58"/>
        <v>64601</v>
      </c>
      <c r="R242" s="107">
        <f t="shared" si="63"/>
        <v>18.66</v>
      </c>
      <c r="S242" s="105">
        <f t="shared" si="59"/>
        <v>26311205.816876858</v>
      </c>
      <c r="T242" s="341">
        <v>0</v>
      </c>
      <c r="U242" s="341">
        <v>0</v>
      </c>
      <c r="V242" s="341">
        <v>0</v>
      </c>
      <c r="W242" s="341">
        <v>0</v>
      </c>
      <c r="X242" s="281">
        <f t="shared" si="60"/>
        <v>0.02</v>
      </c>
      <c r="Y242" s="282">
        <f t="shared" si="61"/>
        <v>0.1</v>
      </c>
    </row>
    <row r="243" spans="2:25" x14ac:dyDescent="0.35">
      <c r="B243" s="18">
        <f t="shared" si="62"/>
        <v>224</v>
      </c>
      <c r="C243" s="85">
        <f t="shared" si="64"/>
        <v>0</v>
      </c>
      <c r="D243" s="85">
        <f t="shared" si="65"/>
        <v>0</v>
      </c>
      <c r="E243" s="84">
        <f t="shared" si="66"/>
        <v>0</v>
      </c>
      <c r="F243" s="135">
        <f t="shared" si="67"/>
        <v>0</v>
      </c>
      <c r="G243" s="413">
        <f t="shared" si="55"/>
        <v>0</v>
      </c>
      <c r="H243" s="413">
        <f t="shared" si="56"/>
        <v>0</v>
      </c>
      <c r="I243" s="275">
        <f t="shared" si="68"/>
        <v>0</v>
      </c>
      <c r="J243" s="275">
        <f t="shared" si="69"/>
        <v>0</v>
      </c>
      <c r="K243" s="137">
        <f t="shared" si="57"/>
        <v>0</v>
      </c>
      <c r="L243" s="15" t="s">
        <v>0</v>
      </c>
      <c r="M243" s="88">
        <v>0</v>
      </c>
      <c r="N243" s="88">
        <v>0</v>
      </c>
      <c r="O243" s="155">
        <v>1E+16</v>
      </c>
      <c r="P243" s="68">
        <v>109575</v>
      </c>
      <c r="Q243" s="3">
        <f t="shared" si="58"/>
        <v>64601</v>
      </c>
      <c r="R243" s="107">
        <f t="shared" si="63"/>
        <v>18.66</v>
      </c>
      <c r="S243" s="105">
        <f t="shared" si="59"/>
        <v>26311205.816876858</v>
      </c>
      <c r="T243" s="341">
        <v>0</v>
      </c>
      <c r="U243" s="341">
        <v>0</v>
      </c>
      <c r="V243" s="341">
        <v>0</v>
      </c>
      <c r="W243" s="341">
        <v>0</v>
      </c>
      <c r="X243" s="281">
        <f t="shared" si="60"/>
        <v>0.02</v>
      </c>
      <c r="Y243" s="282">
        <f t="shared" si="61"/>
        <v>0.1</v>
      </c>
    </row>
    <row r="244" spans="2:25" x14ac:dyDescent="0.35">
      <c r="B244" s="18">
        <f t="shared" si="62"/>
        <v>225</v>
      </c>
      <c r="C244" s="85">
        <f t="shared" si="64"/>
        <v>0</v>
      </c>
      <c r="D244" s="85">
        <f t="shared" si="65"/>
        <v>0</v>
      </c>
      <c r="E244" s="84">
        <f t="shared" si="66"/>
        <v>0</v>
      </c>
      <c r="F244" s="135">
        <f t="shared" si="67"/>
        <v>0</v>
      </c>
      <c r="G244" s="413">
        <f t="shared" si="55"/>
        <v>0</v>
      </c>
      <c r="H244" s="413">
        <f t="shared" si="56"/>
        <v>0</v>
      </c>
      <c r="I244" s="275">
        <f t="shared" si="68"/>
        <v>0</v>
      </c>
      <c r="J244" s="275">
        <f t="shared" si="69"/>
        <v>0</v>
      </c>
      <c r="K244" s="137">
        <f t="shared" si="57"/>
        <v>0</v>
      </c>
      <c r="L244" s="15" t="s">
        <v>0</v>
      </c>
      <c r="M244" s="88">
        <v>0</v>
      </c>
      <c r="N244" s="88">
        <v>0</v>
      </c>
      <c r="O244" s="155">
        <v>1E+16</v>
      </c>
      <c r="P244" s="68">
        <v>109575</v>
      </c>
      <c r="Q244" s="3">
        <f t="shared" si="58"/>
        <v>64601</v>
      </c>
      <c r="R244" s="107">
        <f t="shared" si="63"/>
        <v>18.66</v>
      </c>
      <c r="S244" s="105">
        <f t="shared" si="59"/>
        <v>26311205.816876858</v>
      </c>
      <c r="T244" s="341">
        <v>0</v>
      </c>
      <c r="U244" s="341">
        <v>0</v>
      </c>
      <c r="V244" s="341">
        <v>0</v>
      </c>
      <c r="W244" s="341">
        <v>0</v>
      </c>
      <c r="X244" s="281">
        <f t="shared" si="60"/>
        <v>0.02</v>
      </c>
      <c r="Y244" s="282">
        <f t="shared" si="61"/>
        <v>0.1</v>
      </c>
    </row>
    <row r="245" spans="2:25" x14ac:dyDescent="0.35">
      <c r="B245" s="18">
        <f t="shared" si="62"/>
        <v>226</v>
      </c>
      <c r="C245" s="85">
        <f t="shared" si="64"/>
        <v>0</v>
      </c>
      <c r="D245" s="85">
        <f t="shared" si="65"/>
        <v>0</v>
      </c>
      <c r="E245" s="84">
        <f t="shared" si="66"/>
        <v>0</v>
      </c>
      <c r="F245" s="135">
        <f t="shared" si="67"/>
        <v>0</v>
      </c>
      <c r="G245" s="413">
        <f t="shared" si="55"/>
        <v>0</v>
      </c>
      <c r="H245" s="413">
        <f t="shared" si="56"/>
        <v>0</v>
      </c>
      <c r="I245" s="275">
        <f t="shared" si="68"/>
        <v>0</v>
      </c>
      <c r="J245" s="275">
        <f t="shared" si="69"/>
        <v>0</v>
      </c>
      <c r="K245" s="137">
        <f t="shared" si="57"/>
        <v>0</v>
      </c>
      <c r="L245" s="15" t="s">
        <v>0</v>
      </c>
      <c r="M245" s="88">
        <v>0</v>
      </c>
      <c r="N245" s="88">
        <v>0</v>
      </c>
      <c r="O245" s="155">
        <v>1E+16</v>
      </c>
      <c r="P245" s="68">
        <v>109575</v>
      </c>
      <c r="Q245" s="3">
        <f t="shared" si="58"/>
        <v>64601</v>
      </c>
      <c r="R245" s="107">
        <f t="shared" si="63"/>
        <v>18.66</v>
      </c>
      <c r="S245" s="105">
        <f t="shared" si="59"/>
        <v>26311205.816876858</v>
      </c>
      <c r="T245" s="341">
        <v>0</v>
      </c>
      <c r="U245" s="341">
        <v>0</v>
      </c>
      <c r="V245" s="341">
        <v>0</v>
      </c>
      <c r="W245" s="341">
        <v>0</v>
      </c>
      <c r="X245" s="281">
        <f t="shared" si="60"/>
        <v>0.02</v>
      </c>
      <c r="Y245" s="282">
        <f t="shared" si="61"/>
        <v>0.1</v>
      </c>
    </row>
    <row r="246" spans="2:25" x14ac:dyDescent="0.35">
      <c r="B246" s="18">
        <f t="shared" si="62"/>
        <v>227</v>
      </c>
      <c r="C246" s="85">
        <f t="shared" si="64"/>
        <v>0</v>
      </c>
      <c r="D246" s="85">
        <f t="shared" si="65"/>
        <v>0</v>
      </c>
      <c r="E246" s="84">
        <f t="shared" si="66"/>
        <v>0</v>
      </c>
      <c r="F246" s="135">
        <f t="shared" si="67"/>
        <v>0</v>
      </c>
      <c r="G246" s="413">
        <f t="shared" si="55"/>
        <v>0</v>
      </c>
      <c r="H246" s="413">
        <f t="shared" si="56"/>
        <v>0</v>
      </c>
      <c r="I246" s="275">
        <f t="shared" si="68"/>
        <v>0</v>
      </c>
      <c r="J246" s="275">
        <f t="shared" si="69"/>
        <v>0</v>
      </c>
      <c r="K246" s="137">
        <f t="shared" si="57"/>
        <v>0</v>
      </c>
      <c r="L246" s="15" t="s">
        <v>0</v>
      </c>
      <c r="M246" s="88">
        <v>0</v>
      </c>
      <c r="N246" s="88">
        <v>0</v>
      </c>
      <c r="O246" s="155">
        <v>1E+16</v>
      </c>
      <c r="P246" s="68">
        <v>109575</v>
      </c>
      <c r="Q246" s="3">
        <f t="shared" si="58"/>
        <v>64601</v>
      </c>
      <c r="R246" s="107">
        <f t="shared" si="63"/>
        <v>18.66</v>
      </c>
      <c r="S246" s="105">
        <f t="shared" si="59"/>
        <v>26311205.816876858</v>
      </c>
      <c r="T246" s="341">
        <v>0</v>
      </c>
      <c r="U246" s="341">
        <v>0</v>
      </c>
      <c r="V246" s="341">
        <v>0</v>
      </c>
      <c r="W246" s="341">
        <v>0</v>
      </c>
      <c r="X246" s="281">
        <f t="shared" si="60"/>
        <v>0.02</v>
      </c>
      <c r="Y246" s="282">
        <f t="shared" si="61"/>
        <v>0.1</v>
      </c>
    </row>
    <row r="247" spans="2:25" x14ac:dyDescent="0.35">
      <c r="B247" s="18">
        <f t="shared" si="62"/>
        <v>228</v>
      </c>
      <c r="C247" s="85">
        <f t="shared" si="64"/>
        <v>0</v>
      </c>
      <c r="D247" s="85">
        <f t="shared" si="65"/>
        <v>0</v>
      </c>
      <c r="E247" s="84">
        <f t="shared" si="66"/>
        <v>0</v>
      </c>
      <c r="F247" s="135">
        <f t="shared" si="67"/>
        <v>0</v>
      </c>
      <c r="G247" s="413">
        <f t="shared" si="55"/>
        <v>0</v>
      </c>
      <c r="H247" s="413">
        <f t="shared" si="56"/>
        <v>0</v>
      </c>
      <c r="I247" s="275">
        <f t="shared" si="68"/>
        <v>0</v>
      </c>
      <c r="J247" s="275">
        <f t="shared" si="69"/>
        <v>0</v>
      </c>
      <c r="K247" s="137">
        <f t="shared" si="57"/>
        <v>0</v>
      </c>
      <c r="L247" s="15" t="s">
        <v>0</v>
      </c>
      <c r="M247" s="88">
        <v>0</v>
      </c>
      <c r="N247" s="88">
        <v>0</v>
      </c>
      <c r="O247" s="155">
        <v>1E+16</v>
      </c>
      <c r="P247" s="68">
        <v>109575</v>
      </c>
      <c r="Q247" s="3">
        <f t="shared" si="58"/>
        <v>64601</v>
      </c>
      <c r="R247" s="107">
        <f t="shared" si="63"/>
        <v>18.66</v>
      </c>
      <c r="S247" s="105">
        <f t="shared" si="59"/>
        <v>26311205.816876858</v>
      </c>
      <c r="T247" s="341">
        <v>0</v>
      </c>
      <c r="U247" s="341">
        <v>0</v>
      </c>
      <c r="V247" s="341">
        <v>0</v>
      </c>
      <c r="W247" s="341">
        <v>0</v>
      </c>
      <c r="X247" s="281">
        <f t="shared" si="60"/>
        <v>0.02</v>
      </c>
      <c r="Y247" s="282">
        <f t="shared" si="61"/>
        <v>0.1</v>
      </c>
    </row>
    <row r="248" spans="2:25" x14ac:dyDescent="0.35">
      <c r="B248" s="18">
        <f t="shared" si="62"/>
        <v>229</v>
      </c>
      <c r="C248" s="85">
        <f t="shared" si="64"/>
        <v>0</v>
      </c>
      <c r="D248" s="85">
        <f t="shared" si="65"/>
        <v>0</v>
      </c>
      <c r="E248" s="84">
        <f t="shared" si="66"/>
        <v>0</v>
      </c>
      <c r="F248" s="135">
        <f t="shared" si="67"/>
        <v>0</v>
      </c>
      <c r="G248" s="413">
        <f t="shared" si="55"/>
        <v>0</v>
      </c>
      <c r="H248" s="413">
        <f t="shared" si="56"/>
        <v>0</v>
      </c>
      <c r="I248" s="275">
        <f t="shared" si="68"/>
        <v>0</v>
      </c>
      <c r="J248" s="275">
        <f t="shared" si="69"/>
        <v>0</v>
      </c>
      <c r="K248" s="137">
        <f t="shared" si="57"/>
        <v>0</v>
      </c>
      <c r="L248" s="15" t="s">
        <v>0</v>
      </c>
      <c r="M248" s="88">
        <v>0</v>
      </c>
      <c r="N248" s="88">
        <v>0</v>
      </c>
      <c r="O248" s="155">
        <v>1E+16</v>
      </c>
      <c r="P248" s="68">
        <v>109575</v>
      </c>
      <c r="Q248" s="3">
        <f t="shared" si="58"/>
        <v>64601</v>
      </c>
      <c r="R248" s="107">
        <f t="shared" si="63"/>
        <v>18.66</v>
      </c>
      <c r="S248" s="105">
        <f t="shared" si="59"/>
        <v>26311205.816876858</v>
      </c>
      <c r="T248" s="341">
        <v>0</v>
      </c>
      <c r="U248" s="341">
        <v>0</v>
      </c>
      <c r="V248" s="341">
        <v>0</v>
      </c>
      <c r="W248" s="341">
        <v>0</v>
      </c>
      <c r="X248" s="281">
        <f t="shared" si="60"/>
        <v>0.02</v>
      </c>
      <c r="Y248" s="282">
        <f t="shared" si="61"/>
        <v>0.1</v>
      </c>
    </row>
    <row r="249" spans="2:25" x14ac:dyDescent="0.35">
      <c r="B249" s="18">
        <f t="shared" si="62"/>
        <v>230</v>
      </c>
      <c r="C249" s="85">
        <f t="shared" si="64"/>
        <v>0</v>
      </c>
      <c r="D249" s="85">
        <f t="shared" si="65"/>
        <v>0</v>
      </c>
      <c r="E249" s="84">
        <f t="shared" si="66"/>
        <v>0</v>
      </c>
      <c r="F249" s="135">
        <f t="shared" si="67"/>
        <v>0</v>
      </c>
      <c r="G249" s="413">
        <f t="shared" si="55"/>
        <v>0</v>
      </c>
      <c r="H249" s="413">
        <f t="shared" si="56"/>
        <v>0</v>
      </c>
      <c r="I249" s="275">
        <f t="shared" si="68"/>
        <v>0</v>
      </c>
      <c r="J249" s="275">
        <f t="shared" si="69"/>
        <v>0</v>
      </c>
      <c r="K249" s="137">
        <f t="shared" si="57"/>
        <v>0</v>
      </c>
      <c r="L249" s="15" t="s">
        <v>0</v>
      </c>
      <c r="M249" s="88">
        <v>0</v>
      </c>
      <c r="N249" s="88">
        <v>0</v>
      </c>
      <c r="O249" s="155">
        <v>1E+16</v>
      </c>
      <c r="P249" s="68">
        <v>109575</v>
      </c>
      <c r="Q249" s="3">
        <f t="shared" si="58"/>
        <v>64601</v>
      </c>
      <c r="R249" s="107">
        <f t="shared" si="63"/>
        <v>18.66</v>
      </c>
      <c r="S249" s="105">
        <f t="shared" si="59"/>
        <v>26311205.816876858</v>
      </c>
      <c r="T249" s="341">
        <v>0</v>
      </c>
      <c r="U249" s="341">
        <v>0</v>
      </c>
      <c r="V249" s="341">
        <v>0</v>
      </c>
      <c r="W249" s="341">
        <v>0</v>
      </c>
      <c r="X249" s="281">
        <f t="shared" si="60"/>
        <v>0.02</v>
      </c>
      <c r="Y249" s="282">
        <f t="shared" si="61"/>
        <v>0.1</v>
      </c>
    </row>
    <row r="250" spans="2:25" x14ac:dyDescent="0.35">
      <c r="B250" s="18">
        <f t="shared" si="62"/>
        <v>231</v>
      </c>
      <c r="C250" s="85">
        <f t="shared" si="64"/>
        <v>0</v>
      </c>
      <c r="D250" s="85">
        <f t="shared" si="65"/>
        <v>0</v>
      </c>
      <c r="E250" s="84">
        <f t="shared" si="66"/>
        <v>0</v>
      </c>
      <c r="F250" s="135">
        <f t="shared" si="67"/>
        <v>0</v>
      </c>
      <c r="G250" s="413">
        <f t="shared" si="55"/>
        <v>0</v>
      </c>
      <c r="H250" s="413">
        <f t="shared" si="56"/>
        <v>0</v>
      </c>
      <c r="I250" s="275">
        <f t="shared" si="68"/>
        <v>0</v>
      </c>
      <c r="J250" s="275">
        <f t="shared" si="69"/>
        <v>0</v>
      </c>
      <c r="K250" s="137">
        <f t="shared" si="57"/>
        <v>0</v>
      </c>
      <c r="L250" s="15" t="s">
        <v>0</v>
      </c>
      <c r="M250" s="88">
        <v>0</v>
      </c>
      <c r="N250" s="88">
        <v>0</v>
      </c>
      <c r="O250" s="155">
        <v>1E+16</v>
      </c>
      <c r="P250" s="68">
        <v>109575</v>
      </c>
      <c r="Q250" s="3">
        <f t="shared" si="58"/>
        <v>64601</v>
      </c>
      <c r="R250" s="107">
        <f t="shared" si="63"/>
        <v>18.66</v>
      </c>
      <c r="S250" s="105">
        <f t="shared" si="59"/>
        <v>26311205.816876858</v>
      </c>
      <c r="T250" s="341">
        <v>0</v>
      </c>
      <c r="U250" s="341">
        <v>0</v>
      </c>
      <c r="V250" s="341">
        <v>0</v>
      </c>
      <c r="W250" s="341">
        <v>0</v>
      </c>
      <c r="X250" s="281">
        <f t="shared" si="60"/>
        <v>0.02</v>
      </c>
      <c r="Y250" s="282">
        <f t="shared" si="61"/>
        <v>0.1</v>
      </c>
    </row>
    <row r="251" spans="2:25" x14ac:dyDescent="0.35">
      <c r="B251" s="18">
        <f t="shared" si="62"/>
        <v>232</v>
      </c>
      <c r="C251" s="85">
        <f t="shared" si="64"/>
        <v>0</v>
      </c>
      <c r="D251" s="85">
        <f t="shared" si="65"/>
        <v>0</v>
      </c>
      <c r="E251" s="84">
        <f t="shared" si="66"/>
        <v>0</v>
      </c>
      <c r="F251" s="135">
        <f t="shared" si="67"/>
        <v>0</v>
      </c>
      <c r="G251" s="413">
        <f t="shared" si="55"/>
        <v>0</v>
      </c>
      <c r="H251" s="413">
        <f t="shared" si="56"/>
        <v>0</v>
      </c>
      <c r="I251" s="275">
        <f t="shared" si="68"/>
        <v>0</v>
      </c>
      <c r="J251" s="275">
        <f t="shared" si="69"/>
        <v>0</v>
      </c>
      <c r="K251" s="137">
        <f t="shared" si="57"/>
        <v>0</v>
      </c>
      <c r="L251" s="15" t="s">
        <v>0</v>
      </c>
      <c r="M251" s="88">
        <v>0</v>
      </c>
      <c r="N251" s="88">
        <v>0</v>
      </c>
      <c r="O251" s="155">
        <v>1E+16</v>
      </c>
      <c r="P251" s="68">
        <v>109575</v>
      </c>
      <c r="Q251" s="3">
        <f t="shared" si="58"/>
        <v>64601</v>
      </c>
      <c r="R251" s="107">
        <f t="shared" si="63"/>
        <v>18.66</v>
      </c>
      <c r="S251" s="105">
        <f t="shared" si="59"/>
        <v>26311205.816876858</v>
      </c>
      <c r="T251" s="341">
        <v>0</v>
      </c>
      <c r="U251" s="341">
        <v>0</v>
      </c>
      <c r="V251" s="341">
        <v>0</v>
      </c>
      <c r="W251" s="341">
        <v>0</v>
      </c>
      <c r="X251" s="281">
        <f t="shared" si="60"/>
        <v>0.02</v>
      </c>
      <c r="Y251" s="282">
        <f t="shared" si="61"/>
        <v>0.1</v>
      </c>
    </row>
    <row r="252" spans="2:25" x14ac:dyDescent="0.35">
      <c r="B252" s="18">
        <f t="shared" si="62"/>
        <v>233</v>
      </c>
      <c r="C252" s="85">
        <f t="shared" si="64"/>
        <v>0</v>
      </c>
      <c r="D252" s="85">
        <f t="shared" si="65"/>
        <v>0</v>
      </c>
      <c r="E252" s="84">
        <f t="shared" si="66"/>
        <v>0</v>
      </c>
      <c r="F252" s="135">
        <f t="shared" si="67"/>
        <v>0</v>
      </c>
      <c r="G252" s="413">
        <f t="shared" si="55"/>
        <v>0</v>
      </c>
      <c r="H252" s="413">
        <f t="shared" si="56"/>
        <v>0</v>
      </c>
      <c r="I252" s="275">
        <f t="shared" si="68"/>
        <v>0</v>
      </c>
      <c r="J252" s="275">
        <f t="shared" si="69"/>
        <v>0</v>
      </c>
      <c r="K252" s="137">
        <f t="shared" si="57"/>
        <v>0</v>
      </c>
      <c r="L252" s="15" t="s">
        <v>0</v>
      </c>
      <c r="M252" s="88">
        <v>0</v>
      </c>
      <c r="N252" s="88">
        <v>0</v>
      </c>
      <c r="O252" s="155">
        <v>1E+16</v>
      </c>
      <c r="P252" s="68">
        <v>109575</v>
      </c>
      <c r="Q252" s="3">
        <f t="shared" si="58"/>
        <v>64601</v>
      </c>
      <c r="R252" s="107">
        <f t="shared" si="63"/>
        <v>18.66</v>
      </c>
      <c r="S252" s="105">
        <f t="shared" si="59"/>
        <v>26311205.816876858</v>
      </c>
      <c r="T252" s="341">
        <v>0</v>
      </c>
      <c r="U252" s="341">
        <v>0</v>
      </c>
      <c r="V252" s="341">
        <v>0</v>
      </c>
      <c r="W252" s="341">
        <v>0</v>
      </c>
      <c r="X252" s="281">
        <f t="shared" si="60"/>
        <v>0.02</v>
      </c>
      <c r="Y252" s="282">
        <f t="shared" si="61"/>
        <v>0.1</v>
      </c>
    </row>
    <row r="253" spans="2:25" x14ac:dyDescent="0.35">
      <c r="B253" s="18">
        <f t="shared" si="62"/>
        <v>234</v>
      </c>
      <c r="C253" s="85">
        <f t="shared" si="64"/>
        <v>0</v>
      </c>
      <c r="D253" s="85">
        <f t="shared" si="65"/>
        <v>0</v>
      </c>
      <c r="E253" s="84">
        <f t="shared" si="66"/>
        <v>0</v>
      </c>
      <c r="F253" s="135">
        <f t="shared" si="67"/>
        <v>0</v>
      </c>
      <c r="G253" s="413">
        <f t="shared" si="55"/>
        <v>0</v>
      </c>
      <c r="H253" s="413">
        <f t="shared" si="56"/>
        <v>0</v>
      </c>
      <c r="I253" s="275">
        <f t="shared" si="68"/>
        <v>0</v>
      </c>
      <c r="J253" s="275">
        <f t="shared" si="69"/>
        <v>0</v>
      </c>
      <c r="K253" s="137">
        <f t="shared" si="57"/>
        <v>0</v>
      </c>
      <c r="L253" s="15" t="s">
        <v>0</v>
      </c>
      <c r="M253" s="88">
        <v>0</v>
      </c>
      <c r="N253" s="88">
        <v>0</v>
      </c>
      <c r="O253" s="155">
        <v>1E+16</v>
      </c>
      <c r="P253" s="68">
        <v>109575</v>
      </c>
      <c r="Q253" s="3">
        <f t="shared" si="58"/>
        <v>64601</v>
      </c>
      <c r="R253" s="107">
        <f t="shared" si="63"/>
        <v>18.66</v>
      </c>
      <c r="S253" s="105">
        <f t="shared" si="59"/>
        <v>26311205.816876858</v>
      </c>
      <c r="T253" s="341">
        <v>0</v>
      </c>
      <c r="U253" s="341">
        <v>0</v>
      </c>
      <c r="V253" s="341">
        <v>0</v>
      </c>
      <c r="W253" s="341">
        <v>0</v>
      </c>
      <c r="X253" s="281">
        <f t="shared" si="60"/>
        <v>0.02</v>
      </c>
      <c r="Y253" s="282">
        <f t="shared" si="61"/>
        <v>0.1</v>
      </c>
    </row>
    <row r="254" spans="2:25" x14ac:dyDescent="0.35">
      <c r="B254" s="18">
        <f t="shared" si="62"/>
        <v>235</v>
      </c>
      <c r="C254" s="85">
        <f t="shared" si="64"/>
        <v>0</v>
      </c>
      <c r="D254" s="85">
        <f t="shared" si="65"/>
        <v>0</v>
      </c>
      <c r="E254" s="84">
        <f t="shared" si="66"/>
        <v>0</v>
      </c>
      <c r="F254" s="135">
        <f t="shared" si="67"/>
        <v>0</v>
      </c>
      <c r="G254" s="413">
        <f t="shared" si="55"/>
        <v>0</v>
      </c>
      <c r="H254" s="413">
        <f t="shared" si="56"/>
        <v>0</v>
      </c>
      <c r="I254" s="275">
        <f t="shared" si="68"/>
        <v>0</v>
      </c>
      <c r="J254" s="275">
        <f t="shared" si="69"/>
        <v>0</v>
      </c>
      <c r="K254" s="137">
        <f t="shared" si="57"/>
        <v>0</v>
      </c>
      <c r="L254" s="15" t="s">
        <v>0</v>
      </c>
      <c r="M254" s="88">
        <v>0</v>
      </c>
      <c r="N254" s="88">
        <v>0</v>
      </c>
      <c r="O254" s="155">
        <v>1E+16</v>
      </c>
      <c r="P254" s="68">
        <v>109575</v>
      </c>
      <c r="Q254" s="3">
        <f t="shared" si="58"/>
        <v>64601</v>
      </c>
      <c r="R254" s="107">
        <f t="shared" si="63"/>
        <v>18.66</v>
      </c>
      <c r="S254" s="105">
        <f t="shared" si="59"/>
        <v>26311205.816876858</v>
      </c>
      <c r="T254" s="341">
        <v>0</v>
      </c>
      <c r="U254" s="341">
        <v>0</v>
      </c>
      <c r="V254" s="341">
        <v>0</v>
      </c>
      <c r="W254" s="341">
        <v>0</v>
      </c>
      <c r="X254" s="281">
        <f t="shared" si="60"/>
        <v>0.02</v>
      </c>
      <c r="Y254" s="282">
        <f t="shared" si="61"/>
        <v>0.1</v>
      </c>
    </row>
    <row r="255" spans="2:25" x14ac:dyDescent="0.35">
      <c r="B255" s="18">
        <f t="shared" si="62"/>
        <v>236</v>
      </c>
      <c r="C255" s="85">
        <f t="shared" si="64"/>
        <v>0</v>
      </c>
      <c r="D255" s="85">
        <f t="shared" si="65"/>
        <v>0</v>
      </c>
      <c r="E255" s="84">
        <f t="shared" si="66"/>
        <v>0</v>
      </c>
      <c r="F255" s="135">
        <f t="shared" si="67"/>
        <v>0</v>
      </c>
      <c r="G255" s="413">
        <f t="shared" si="55"/>
        <v>0</v>
      </c>
      <c r="H255" s="413">
        <f t="shared" si="56"/>
        <v>0</v>
      </c>
      <c r="I255" s="275">
        <f t="shared" si="68"/>
        <v>0</v>
      </c>
      <c r="J255" s="275">
        <f t="shared" si="69"/>
        <v>0</v>
      </c>
      <c r="K255" s="137">
        <f t="shared" si="57"/>
        <v>0</v>
      </c>
      <c r="L255" s="15" t="s">
        <v>0</v>
      </c>
      <c r="M255" s="88">
        <v>0</v>
      </c>
      <c r="N255" s="88">
        <v>0</v>
      </c>
      <c r="O255" s="155">
        <v>1E+16</v>
      </c>
      <c r="P255" s="68">
        <v>109575</v>
      </c>
      <c r="Q255" s="3">
        <f t="shared" si="58"/>
        <v>64601</v>
      </c>
      <c r="R255" s="107">
        <f t="shared" si="63"/>
        <v>18.66</v>
      </c>
      <c r="S255" s="105">
        <f t="shared" si="59"/>
        <v>26311205.816876858</v>
      </c>
      <c r="T255" s="341">
        <v>0</v>
      </c>
      <c r="U255" s="341">
        <v>0</v>
      </c>
      <c r="V255" s="341">
        <v>0</v>
      </c>
      <c r="W255" s="341">
        <v>0</v>
      </c>
      <c r="X255" s="281">
        <f t="shared" si="60"/>
        <v>0.02</v>
      </c>
      <c r="Y255" s="282">
        <f t="shared" si="61"/>
        <v>0.1</v>
      </c>
    </row>
    <row r="256" spans="2:25" x14ac:dyDescent="0.35">
      <c r="B256" s="18">
        <f t="shared" si="62"/>
        <v>237</v>
      </c>
      <c r="C256" s="85">
        <f t="shared" si="64"/>
        <v>0</v>
      </c>
      <c r="D256" s="85">
        <f t="shared" si="65"/>
        <v>0</v>
      </c>
      <c r="E256" s="84">
        <f t="shared" si="66"/>
        <v>0</v>
      </c>
      <c r="F256" s="135">
        <f t="shared" si="67"/>
        <v>0</v>
      </c>
      <c r="G256" s="413">
        <f t="shared" si="55"/>
        <v>0</v>
      </c>
      <c r="H256" s="413">
        <f t="shared" si="56"/>
        <v>0</v>
      </c>
      <c r="I256" s="275">
        <f t="shared" si="68"/>
        <v>0</v>
      </c>
      <c r="J256" s="275">
        <f t="shared" si="69"/>
        <v>0</v>
      </c>
      <c r="K256" s="137">
        <f t="shared" si="57"/>
        <v>0</v>
      </c>
      <c r="L256" s="15" t="s">
        <v>0</v>
      </c>
      <c r="M256" s="88">
        <v>0</v>
      </c>
      <c r="N256" s="88">
        <v>0</v>
      </c>
      <c r="O256" s="155">
        <v>1E+16</v>
      </c>
      <c r="P256" s="68">
        <v>109575</v>
      </c>
      <c r="Q256" s="3">
        <f t="shared" si="58"/>
        <v>64601</v>
      </c>
      <c r="R256" s="107">
        <f t="shared" si="63"/>
        <v>18.66</v>
      </c>
      <c r="S256" s="105">
        <f t="shared" si="59"/>
        <v>26311205.816876858</v>
      </c>
      <c r="T256" s="341">
        <v>0</v>
      </c>
      <c r="U256" s="341">
        <v>0</v>
      </c>
      <c r="V256" s="341">
        <v>0</v>
      </c>
      <c r="W256" s="341">
        <v>0</v>
      </c>
      <c r="X256" s="281">
        <f t="shared" si="60"/>
        <v>0.02</v>
      </c>
      <c r="Y256" s="282">
        <f t="shared" si="61"/>
        <v>0.1</v>
      </c>
    </row>
    <row r="257" spans="2:25" x14ac:dyDescent="0.35">
      <c r="B257" s="18">
        <f t="shared" si="62"/>
        <v>238</v>
      </c>
      <c r="C257" s="85">
        <f t="shared" si="64"/>
        <v>0</v>
      </c>
      <c r="D257" s="85">
        <f t="shared" si="65"/>
        <v>0</v>
      </c>
      <c r="E257" s="84">
        <f t="shared" si="66"/>
        <v>0</v>
      </c>
      <c r="F257" s="135">
        <f t="shared" si="67"/>
        <v>0</v>
      </c>
      <c r="G257" s="413">
        <f t="shared" si="55"/>
        <v>0</v>
      </c>
      <c r="H257" s="413">
        <f t="shared" si="56"/>
        <v>0</v>
      </c>
      <c r="I257" s="275">
        <f t="shared" si="68"/>
        <v>0</v>
      </c>
      <c r="J257" s="275">
        <f t="shared" si="69"/>
        <v>0</v>
      </c>
      <c r="K257" s="137">
        <f t="shared" si="57"/>
        <v>0</v>
      </c>
      <c r="L257" s="15" t="s">
        <v>0</v>
      </c>
      <c r="M257" s="88">
        <v>0</v>
      </c>
      <c r="N257" s="88">
        <v>0</v>
      </c>
      <c r="O257" s="155">
        <v>1E+16</v>
      </c>
      <c r="P257" s="68">
        <v>109575</v>
      </c>
      <c r="Q257" s="3">
        <f t="shared" si="58"/>
        <v>64601</v>
      </c>
      <c r="R257" s="107">
        <f t="shared" si="63"/>
        <v>18.66</v>
      </c>
      <c r="S257" s="105">
        <f t="shared" si="59"/>
        <v>26311205.816876858</v>
      </c>
      <c r="T257" s="341">
        <v>0</v>
      </c>
      <c r="U257" s="341">
        <v>0</v>
      </c>
      <c r="V257" s="341">
        <v>0</v>
      </c>
      <c r="W257" s="341">
        <v>0</v>
      </c>
      <c r="X257" s="281">
        <f t="shared" si="60"/>
        <v>0.02</v>
      </c>
      <c r="Y257" s="282">
        <f t="shared" si="61"/>
        <v>0.1</v>
      </c>
    </row>
    <row r="258" spans="2:25" x14ac:dyDescent="0.35">
      <c r="B258" s="18">
        <f t="shared" si="62"/>
        <v>239</v>
      </c>
      <c r="C258" s="85">
        <f t="shared" si="64"/>
        <v>0</v>
      </c>
      <c r="D258" s="85">
        <f t="shared" si="65"/>
        <v>0</v>
      </c>
      <c r="E258" s="84">
        <f t="shared" si="66"/>
        <v>0</v>
      </c>
      <c r="F258" s="135">
        <f t="shared" si="67"/>
        <v>0</v>
      </c>
      <c r="G258" s="413">
        <f t="shared" si="55"/>
        <v>0</v>
      </c>
      <c r="H258" s="413">
        <f t="shared" si="56"/>
        <v>0</v>
      </c>
      <c r="I258" s="275">
        <f t="shared" si="68"/>
        <v>0</v>
      </c>
      <c r="J258" s="275">
        <f t="shared" si="69"/>
        <v>0</v>
      </c>
      <c r="K258" s="137">
        <f t="shared" si="57"/>
        <v>0</v>
      </c>
      <c r="L258" s="15" t="s">
        <v>0</v>
      </c>
      <c r="M258" s="88">
        <v>0</v>
      </c>
      <c r="N258" s="88">
        <v>0</v>
      </c>
      <c r="O258" s="155">
        <v>1E+16</v>
      </c>
      <c r="P258" s="68">
        <v>109575</v>
      </c>
      <c r="Q258" s="3">
        <f t="shared" si="58"/>
        <v>64601</v>
      </c>
      <c r="R258" s="107">
        <f t="shared" si="63"/>
        <v>18.66</v>
      </c>
      <c r="S258" s="105">
        <f t="shared" si="59"/>
        <v>26311205.816876858</v>
      </c>
      <c r="T258" s="341">
        <v>0</v>
      </c>
      <c r="U258" s="341">
        <v>0</v>
      </c>
      <c r="V258" s="341">
        <v>0</v>
      </c>
      <c r="W258" s="341">
        <v>0</v>
      </c>
      <c r="X258" s="281">
        <f t="shared" si="60"/>
        <v>0.02</v>
      </c>
      <c r="Y258" s="282">
        <f t="shared" si="61"/>
        <v>0.1</v>
      </c>
    </row>
    <row r="259" spans="2:25" x14ac:dyDescent="0.35">
      <c r="B259" s="18">
        <f t="shared" si="62"/>
        <v>240</v>
      </c>
      <c r="C259" s="85">
        <f t="shared" si="64"/>
        <v>0</v>
      </c>
      <c r="D259" s="85">
        <f t="shared" si="65"/>
        <v>0</v>
      </c>
      <c r="E259" s="84">
        <f t="shared" si="66"/>
        <v>0</v>
      </c>
      <c r="F259" s="135">
        <f t="shared" si="67"/>
        <v>0</v>
      </c>
      <c r="G259" s="413">
        <f t="shared" si="55"/>
        <v>0</v>
      </c>
      <c r="H259" s="413">
        <f t="shared" si="56"/>
        <v>0</v>
      </c>
      <c r="I259" s="275">
        <f t="shared" si="68"/>
        <v>0</v>
      </c>
      <c r="J259" s="275">
        <f t="shared" si="69"/>
        <v>0</v>
      </c>
      <c r="K259" s="137">
        <f t="shared" si="57"/>
        <v>0</v>
      </c>
      <c r="L259" s="15" t="s">
        <v>0</v>
      </c>
      <c r="M259" s="88">
        <v>0</v>
      </c>
      <c r="N259" s="88">
        <v>0</v>
      </c>
      <c r="O259" s="155">
        <v>1E+16</v>
      </c>
      <c r="P259" s="68">
        <v>109575</v>
      </c>
      <c r="Q259" s="3">
        <f t="shared" si="58"/>
        <v>64601</v>
      </c>
      <c r="R259" s="107">
        <f t="shared" si="63"/>
        <v>18.66</v>
      </c>
      <c r="S259" s="105">
        <f t="shared" si="59"/>
        <v>26311205.816876858</v>
      </c>
      <c r="T259" s="341">
        <v>0</v>
      </c>
      <c r="U259" s="341">
        <v>0</v>
      </c>
      <c r="V259" s="341">
        <v>0</v>
      </c>
      <c r="W259" s="341">
        <v>0</v>
      </c>
      <c r="X259" s="281">
        <f t="shared" si="60"/>
        <v>0.02</v>
      </c>
      <c r="Y259" s="282">
        <f t="shared" si="61"/>
        <v>0.1</v>
      </c>
    </row>
    <row r="260" spans="2:25" x14ac:dyDescent="0.35">
      <c r="B260" s="18">
        <f t="shared" si="62"/>
        <v>241</v>
      </c>
      <c r="C260" s="85">
        <f t="shared" si="64"/>
        <v>0</v>
      </c>
      <c r="D260" s="85">
        <f t="shared" si="65"/>
        <v>0</v>
      </c>
      <c r="E260" s="84">
        <f t="shared" si="66"/>
        <v>0</v>
      </c>
      <c r="F260" s="135">
        <f t="shared" si="67"/>
        <v>0</v>
      </c>
      <c r="G260" s="413">
        <f t="shared" si="55"/>
        <v>0</v>
      </c>
      <c r="H260" s="413">
        <f t="shared" si="56"/>
        <v>0</v>
      </c>
      <c r="I260" s="275">
        <f t="shared" si="68"/>
        <v>0</v>
      </c>
      <c r="J260" s="275">
        <f t="shared" si="69"/>
        <v>0</v>
      </c>
      <c r="K260" s="137">
        <f t="shared" si="57"/>
        <v>0</v>
      </c>
      <c r="L260" s="15" t="s">
        <v>0</v>
      </c>
      <c r="M260" s="88">
        <v>0</v>
      </c>
      <c r="N260" s="88">
        <v>0</v>
      </c>
      <c r="O260" s="155">
        <v>1E+16</v>
      </c>
      <c r="P260" s="68">
        <v>109575</v>
      </c>
      <c r="Q260" s="3">
        <f t="shared" si="58"/>
        <v>64601</v>
      </c>
      <c r="R260" s="107">
        <f t="shared" si="63"/>
        <v>18.66</v>
      </c>
      <c r="S260" s="105">
        <f t="shared" si="59"/>
        <v>26311205.816876858</v>
      </c>
      <c r="T260" s="341">
        <v>0</v>
      </c>
      <c r="U260" s="341">
        <v>0</v>
      </c>
      <c r="V260" s="341">
        <v>0</v>
      </c>
      <c r="W260" s="341">
        <v>0</v>
      </c>
      <c r="X260" s="281">
        <f t="shared" si="60"/>
        <v>0.02</v>
      </c>
      <c r="Y260" s="282">
        <f t="shared" si="61"/>
        <v>0.1</v>
      </c>
    </row>
  </sheetData>
  <mergeCells count="8">
    <mergeCell ref="R17:Y17"/>
    <mergeCell ref="F2:G2"/>
    <mergeCell ref="F3:G3"/>
    <mergeCell ref="E17:K17"/>
    <mergeCell ref="L17:Q17"/>
    <mergeCell ref="L2:M2"/>
    <mergeCell ref="L7:M7"/>
    <mergeCell ref="L12:M12"/>
  </mergeCells>
  <pageMargins left="0.75" right="0.75" top="1" bottom="1" header="0.5" footer="0.5"/>
  <pageSetup orientation="portrait" horizontalDpi="1200" verticalDpi="9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B1:AN60"/>
  <sheetViews>
    <sheetView topLeftCell="D1" zoomScale="94" zoomScaleNormal="85" workbookViewId="0">
      <selection activeCell="F23" sqref="F23"/>
    </sheetView>
  </sheetViews>
  <sheetFormatPr defaultRowHeight="12.75" x14ac:dyDescent="0.35"/>
  <cols>
    <col min="1" max="1" width="4.3984375" customWidth="1"/>
    <col min="2" max="2" width="11" customWidth="1"/>
    <col min="3" max="3" width="12.73046875" customWidth="1"/>
    <col min="4" max="4" width="17.73046875" customWidth="1"/>
    <col min="5" max="5" width="18.73046875" customWidth="1"/>
    <col min="6" max="6" width="14.265625" customWidth="1"/>
    <col min="7" max="7" width="8.59765625" customWidth="1"/>
    <col min="8" max="8" width="9.59765625" customWidth="1"/>
    <col min="9" max="9" width="12.3984375" customWidth="1"/>
    <col min="10" max="10" width="9.73046875" customWidth="1"/>
    <col min="11" max="11" width="14.1328125" customWidth="1"/>
    <col min="12" max="12" width="15.265625" customWidth="1"/>
    <col min="13" max="13" width="10.59765625" customWidth="1"/>
    <col min="14" max="14" width="11.3984375" customWidth="1"/>
    <col min="15" max="15" width="15.86328125" customWidth="1"/>
    <col min="16" max="16" width="10.1328125" customWidth="1"/>
    <col min="17" max="17" width="14" customWidth="1"/>
    <col min="18" max="18" width="10.3984375" customWidth="1"/>
    <col min="19" max="19" width="11.1328125" customWidth="1"/>
    <col min="21" max="21" width="9.59765625" bestFit="1" customWidth="1"/>
    <col min="22" max="22" width="11.3984375" customWidth="1"/>
    <col min="23" max="23" width="6.265625" customWidth="1"/>
    <col min="24" max="24" width="17.59765625" customWidth="1"/>
    <col min="26" max="26" width="10.86328125" bestFit="1" customWidth="1"/>
    <col min="28" max="28" width="12.59765625" customWidth="1"/>
    <col min="29" max="29" width="9" customWidth="1"/>
    <col min="30" max="30" width="14.265625" customWidth="1"/>
    <col min="31" max="31" width="12.59765625" bestFit="1" customWidth="1"/>
    <col min="32" max="32" width="12.1328125" customWidth="1"/>
    <col min="35" max="35" width="8" customWidth="1"/>
  </cols>
  <sheetData>
    <row r="1" spans="6:30" ht="13.15" thickBot="1" x14ac:dyDescent="0.4"/>
    <row r="2" spans="6:30" ht="13.15" thickBot="1" x14ac:dyDescent="0.4">
      <c r="F2" s="49"/>
      <c r="G2" s="49" t="s">
        <v>38</v>
      </c>
      <c r="H2" s="67">
        <v>42261</v>
      </c>
      <c r="K2" s="46" t="s">
        <v>57</v>
      </c>
      <c r="L2" s="45" t="s">
        <v>40</v>
      </c>
      <c r="M2" s="47" t="s">
        <v>41</v>
      </c>
      <c r="N2" s="99"/>
      <c r="O2" s="46" t="s">
        <v>54</v>
      </c>
      <c r="P2" s="195" t="s">
        <v>35</v>
      </c>
      <c r="Q2" s="195" t="s">
        <v>51</v>
      </c>
      <c r="R2" s="196" t="s">
        <v>53</v>
      </c>
      <c r="S2" s="197" t="s">
        <v>3</v>
      </c>
      <c r="T2" s="158"/>
    </row>
    <row r="3" spans="6:30" ht="13.15" thickBot="1" x14ac:dyDescent="0.4">
      <c r="F3" s="78"/>
      <c r="G3" s="79" t="s">
        <v>61</v>
      </c>
      <c r="H3" s="80">
        <f>Today-7</f>
        <v>42254</v>
      </c>
      <c r="K3" s="159" t="s">
        <v>47</v>
      </c>
      <c r="L3" s="160">
        <v>0.129</v>
      </c>
      <c r="M3" s="161">
        <v>0.13100000000000001</v>
      </c>
      <c r="N3" s="99"/>
      <c r="O3" s="171" t="s">
        <v>32</v>
      </c>
      <c r="P3" s="172">
        <f>AVERAGE(L3:M3)</f>
        <v>0.13</v>
      </c>
      <c r="Q3" s="173">
        <f>AVERAGE(L4:M4)</f>
        <v>0.05</v>
      </c>
      <c r="R3" s="174">
        <f>AVERAGE(L5:M5)</f>
        <v>0.1</v>
      </c>
      <c r="S3" s="162">
        <f>$I$6*EXP(-($I$10-$I$11)*365/365)</f>
        <v>14.624375413611942</v>
      </c>
      <c r="T3" s="99"/>
    </row>
    <row r="4" spans="6:30" ht="13.15" thickBot="1" x14ac:dyDescent="0.4">
      <c r="K4" s="163" t="s">
        <v>48</v>
      </c>
      <c r="L4" s="164">
        <v>4.9000000000000002E-2</v>
      </c>
      <c r="M4" s="165">
        <v>5.0999999999999997E-2</v>
      </c>
      <c r="N4" s="99"/>
      <c r="O4" s="175" t="s">
        <v>33</v>
      </c>
      <c r="P4" s="176">
        <f>AVERAGE(L8:M8)</f>
        <v>0.13</v>
      </c>
      <c r="Q4" s="177">
        <f>AVERAGE(L9:M9)</f>
        <v>0.05</v>
      </c>
      <c r="R4" s="178">
        <f>AVERAGE(L10:M10)</f>
        <v>0.1</v>
      </c>
      <c r="S4" s="166">
        <f>$I$6*EXP(-($I$10-$I$11)*5*365/365)</f>
        <v>20.13963341815715</v>
      </c>
      <c r="T4" s="99"/>
    </row>
    <row r="5" spans="6:30" ht="13.15" thickBot="1" x14ac:dyDescent="0.4">
      <c r="F5" s="46" t="s">
        <v>60</v>
      </c>
      <c r="G5" s="45" t="s">
        <v>40</v>
      </c>
      <c r="H5" s="47" t="s">
        <v>41</v>
      </c>
      <c r="I5" s="48" t="s">
        <v>44</v>
      </c>
      <c r="K5" s="167" t="s">
        <v>49</v>
      </c>
      <c r="L5" s="168">
        <v>9.5000000000000001E-2</v>
      </c>
      <c r="M5" s="169">
        <v>0.105</v>
      </c>
      <c r="N5" s="99"/>
      <c r="O5" s="179" t="s">
        <v>34</v>
      </c>
      <c r="P5" s="180">
        <f>AVERAGE(L13:M13)</f>
        <v>0.13</v>
      </c>
      <c r="Q5" s="181">
        <f>AVERAGE(L14:M14)</f>
        <v>0.05</v>
      </c>
      <c r="R5" s="182">
        <f>AVERAGE(L15:M15)</f>
        <v>0.1</v>
      </c>
      <c r="S5" s="170">
        <f>$I$6*EXP(-($I$10-$I$11)*10*365/365)</f>
        <v>30.044802534648316</v>
      </c>
      <c r="T5" s="99"/>
    </row>
    <row r="6" spans="6:30" ht="13.15" thickBot="1" x14ac:dyDescent="0.4">
      <c r="F6" s="53" t="s">
        <v>39</v>
      </c>
      <c r="G6" s="146">
        <v>13.4</v>
      </c>
      <c r="H6" s="147">
        <v>13.6</v>
      </c>
      <c r="I6" s="148">
        <f>AVERAGE(G6:H6)</f>
        <v>13.5</v>
      </c>
      <c r="K6" s="99"/>
      <c r="L6" s="99"/>
      <c r="M6" s="99"/>
      <c r="N6" s="99"/>
      <c r="O6" s="158"/>
      <c r="P6" s="158"/>
      <c r="Q6" s="158"/>
      <c r="R6" s="158"/>
      <c r="S6" s="158"/>
      <c r="T6" s="99"/>
    </row>
    <row r="7" spans="6:30" ht="13.15" thickBot="1" x14ac:dyDescent="0.4">
      <c r="F7" s="54" t="s">
        <v>45</v>
      </c>
      <c r="G7" s="61">
        <v>1.109</v>
      </c>
      <c r="H7" s="62">
        <v>1.1100000000000001</v>
      </c>
      <c r="I7" s="55">
        <f>AVERAGE(G7:H7)</f>
        <v>1.1095000000000002</v>
      </c>
      <c r="K7" s="46" t="s">
        <v>58</v>
      </c>
      <c r="L7" s="45" t="s">
        <v>40</v>
      </c>
      <c r="M7" s="47" t="s">
        <v>41</v>
      </c>
      <c r="N7" s="99"/>
      <c r="O7" s="46" t="s">
        <v>31</v>
      </c>
      <c r="P7" s="195" t="s">
        <v>36</v>
      </c>
      <c r="Q7" s="195" t="s">
        <v>35</v>
      </c>
      <c r="R7" s="196" t="s">
        <v>55</v>
      </c>
      <c r="S7" s="99"/>
      <c r="T7" s="99"/>
    </row>
    <row r="8" spans="6:30" ht="13.15" thickBot="1" x14ac:dyDescent="0.4">
      <c r="K8" s="159" t="s">
        <v>47</v>
      </c>
      <c r="L8" s="160">
        <f>L3</f>
        <v>0.129</v>
      </c>
      <c r="M8" s="161">
        <f t="shared" ref="M8:M10" si="0">M3</f>
        <v>0.13100000000000001</v>
      </c>
      <c r="N8" s="99"/>
      <c r="O8" s="171" t="str">
        <f>O3</f>
        <v>1Y</v>
      </c>
      <c r="P8" s="172">
        <f>P3-Q3/2+R3</f>
        <v>0.20500000000000002</v>
      </c>
      <c r="Q8" s="173">
        <f>P3</f>
        <v>0.13</v>
      </c>
      <c r="R8" s="183">
        <f>P3+Q3/2+R3</f>
        <v>0.255</v>
      </c>
      <c r="S8" s="99"/>
      <c r="T8" s="99"/>
    </row>
    <row r="9" spans="6:30" ht="13.15" thickBot="1" x14ac:dyDescent="0.4">
      <c r="F9" s="46" t="s">
        <v>46</v>
      </c>
      <c r="G9" s="45" t="s">
        <v>40</v>
      </c>
      <c r="H9" s="47" t="s">
        <v>41</v>
      </c>
      <c r="I9" s="48" t="s">
        <v>44</v>
      </c>
      <c r="K9" s="163" t="s">
        <v>48</v>
      </c>
      <c r="L9" s="164">
        <f t="shared" ref="L9:L10" si="1">L4</f>
        <v>4.9000000000000002E-2</v>
      </c>
      <c r="M9" s="165">
        <f t="shared" si="0"/>
        <v>5.0999999999999997E-2</v>
      </c>
      <c r="N9" s="99"/>
      <c r="O9" s="175" t="str">
        <f>O4</f>
        <v>5Y</v>
      </c>
      <c r="P9" s="176">
        <f>P4-Q4/2+R4</f>
        <v>0.20500000000000002</v>
      </c>
      <c r="Q9" s="177">
        <f>P4</f>
        <v>0.13</v>
      </c>
      <c r="R9" s="184">
        <f>P4+Q4/2+R4</f>
        <v>0.255</v>
      </c>
      <c r="S9" s="99"/>
      <c r="T9" s="99"/>
    </row>
    <row r="10" spans="6:30" ht="13.15" thickBot="1" x14ac:dyDescent="0.4">
      <c r="F10" s="56" t="s">
        <v>42</v>
      </c>
      <c r="G10" s="63">
        <v>1.9E-2</v>
      </c>
      <c r="H10" s="64">
        <v>2.1000000000000001E-2</v>
      </c>
      <c r="I10" s="57">
        <f t="shared" ref="I10:I11" si="2">AVERAGE(G10:H10)</f>
        <v>0.02</v>
      </c>
      <c r="K10" s="167" t="s">
        <v>49</v>
      </c>
      <c r="L10" s="168">
        <f t="shared" si="1"/>
        <v>9.5000000000000001E-2</v>
      </c>
      <c r="M10" s="169">
        <f t="shared" si="0"/>
        <v>0.105</v>
      </c>
      <c r="N10" s="99"/>
      <c r="O10" s="179" t="str">
        <f>O5</f>
        <v>10Y</v>
      </c>
      <c r="P10" s="180">
        <f>P5-Q5/2+R5</f>
        <v>0.20500000000000002</v>
      </c>
      <c r="Q10" s="181">
        <f>P5</f>
        <v>0.13</v>
      </c>
      <c r="R10" s="185">
        <f>P5+Q5/2+R5</f>
        <v>0.255</v>
      </c>
      <c r="S10" s="99"/>
      <c r="T10" s="99"/>
    </row>
    <row r="11" spans="6:30" ht="13.15" thickBot="1" x14ac:dyDescent="0.4">
      <c r="F11" s="58" t="s">
        <v>43</v>
      </c>
      <c r="G11" s="65">
        <v>9.9000000000000005E-2</v>
      </c>
      <c r="H11" s="66">
        <v>0.10100000000000001</v>
      </c>
      <c r="I11" s="59">
        <f t="shared" si="2"/>
        <v>0.1</v>
      </c>
      <c r="K11" s="99"/>
      <c r="L11" s="99"/>
      <c r="M11" s="99"/>
      <c r="N11" s="99"/>
      <c r="O11" s="158"/>
      <c r="P11" s="158"/>
      <c r="Q11" s="158"/>
      <c r="R11" s="158"/>
      <c r="S11" s="99"/>
      <c r="T11" s="99"/>
    </row>
    <row r="12" spans="6:30" ht="13.15" thickBot="1" x14ac:dyDescent="0.4">
      <c r="F12" s="50"/>
      <c r="G12" s="51"/>
      <c r="H12" s="52"/>
      <c r="I12" s="1"/>
      <c r="K12" s="46" t="s">
        <v>59</v>
      </c>
      <c r="L12" s="45" t="s">
        <v>40</v>
      </c>
      <c r="M12" s="47" t="s">
        <v>41</v>
      </c>
      <c r="N12" s="99"/>
      <c r="O12" s="46" t="s">
        <v>56</v>
      </c>
      <c r="P12" s="195" t="s">
        <v>36</v>
      </c>
      <c r="Q12" s="195" t="s">
        <v>35</v>
      </c>
      <c r="R12" s="196" t="s">
        <v>55</v>
      </c>
      <c r="S12" s="99"/>
      <c r="T12" s="99"/>
    </row>
    <row r="13" spans="6:30" x14ac:dyDescent="0.35">
      <c r="F13" s="50"/>
      <c r="G13" s="51"/>
      <c r="H13" s="52"/>
      <c r="I13" s="1"/>
      <c r="K13" s="159" t="s">
        <v>47</v>
      </c>
      <c r="L13" s="160">
        <f t="shared" ref="L13:M15" si="3">L8</f>
        <v>0.129</v>
      </c>
      <c r="M13" s="161">
        <f t="shared" si="3"/>
        <v>0.13100000000000001</v>
      </c>
      <c r="N13" s="99"/>
      <c r="O13" s="171" t="str">
        <f>O8</f>
        <v>1Y</v>
      </c>
      <c r="P13" s="186" t="e">
        <f ca="1">1/BSDelta2Strike("C",1/$S3,365,0,$P8,0.1)</f>
        <v>#NAME?</v>
      </c>
      <c r="Q13" s="187" t="e">
        <f ca="1">1/BSDelta2Strike("P",1/$S3,365,0,$Q8,-0.5)</f>
        <v>#NAME?</v>
      </c>
      <c r="R13" s="188" t="e">
        <f ca="1">1/BSDelta2Strike("P",1/$S3,365,0,$R8,-0.1)</f>
        <v>#NAME?</v>
      </c>
      <c r="S13" s="99"/>
      <c r="T13" s="99"/>
    </row>
    <row r="14" spans="6:30" x14ac:dyDescent="0.35">
      <c r="F14" s="50"/>
      <c r="G14" s="51"/>
      <c r="H14" s="76"/>
      <c r="I14" s="77"/>
      <c r="K14" s="163" t="s">
        <v>48</v>
      </c>
      <c r="L14" s="164">
        <f t="shared" si="3"/>
        <v>4.9000000000000002E-2</v>
      </c>
      <c r="M14" s="165">
        <f t="shared" si="3"/>
        <v>5.0999999999999997E-2</v>
      </c>
      <c r="N14" s="99"/>
      <c r="O14" s="175" t="str">
        <f>O9</f>
        <v>5Y</v>
      </c>
      <c r="P14" s="189" t="e">
        <f ca="1">1/BSDelta2Strike("C",1/$S4,5*365,0,$P9,0.1)</f>
        <v>#NAME?</v>
      </c>
      <c r="Q14" s="190" t="e">
        <f ca="1">1/BSDelta2Strike("P",1/$S4,5*365,0,$Q9,-0.5)</f>
        <v>#NAME?</v>
      </c>
      <c r="R14" s="191" t="e">
        <f ca="1">1/BSDelta2Strike("P",1/$S4,5*365,0,$R9,-0.1)</f>
        <v>#NAME?</v>
      </c>
      <c r="S14" s="99"/>
      <c r="T14" s="99"/>
    </row>
    <row r="15" spans="6:30" ht="13.15" thickBot="1" x14ac:dyDescent="0.4">
      <c r="F15" s="50"/>
      <c r="G15" s="51"/>
      <c r="H15" s="76"/>
      <c r="I15" s="1"/>
      <c r="K15" s="167" t="s">
        <v>49</v>
      </c>
      <c r="L15" s="168">
        <f t="shared" si="3"/>
        <v>9.5000000000000001E-2</v>
      </c>
      <c r="M15" s="169">
        <f t="shared" si="3"/>
        <v>0.105</v>
      </c>
      <c r="N15" s="99"/>
      <c r="O15" s="179" t="str">
        <f>O10</f>
        <v>10Y</v>
      </c>
      <c r="P15" s="192" t="e">
        <f ca="1">1/BSDelta2Strike("C",1/$S5,10*365,0,$P10,0.1)</f>
        <v>#NAME?</v>
      </c>
      <c r="Q15" s="193" t="e">
        <f ca="1">1/BSDelta2Strike("P",1/$S5,10*365,0,$Q10,-0.5)</f>
        <v>#NAME?</v>
      </c>
      <c r="R15" s="194" t="e">
        <f ca="1">1/BSDelta2Strike("P",1/$S5,10*365,0,$R10,-0.1)</f>
        <v>#NAME?</v>
      </c>
      <c r="S15" s="99"/>
      <c r="T15" s="99"/>
      <c r="AD15" s="71"/>
    </row>
    <row r="16" spans="6:30" ht="13.15" thickBot="1" x14ac:dyDescent="0.4">
      <c r="I16" s="110"/>
      <c r="K16" s="99"/>
      <c r="L16" s="99"/>
      <c r="M16" s="99"/>
      <c r="N16" s="99"/>
      <c r="O16" s="99"/>
      <c r="P16" s="99"/>
      <c r="Q16" s="99"/>
      <c r="R16" s="99"/>
      <c r="S16" s="99"/>
      <c r="T16" s="99"/>
      <c r="X16" s="40" t="s">
        <v>62</v>
      </c>
      <c r="Y16" s="82" t="str">
        <f>TEXT(H3,"mmm-dd")</f>
        <v>Sep-07</v>
      </c>
    </row>
    <row r="17" spans="2:40" ht="13.15" thickBot="1" x14ac:dyDescent="0.4">
      <c r="B17" s="1"/>
      <c r="C17" s="1"/>
      <c r="D17" s="129"/>
      <c r="E17" s="569" t="s">
        <v>16</v>
      </c>
      <c r="F17" s="570"/>
      <c r="G17" s="570"/>
      <c r="H17" s="570"/>
      <c r="I17" s="571"/>
      <c r="J17" s="130" t="s">
        <v>15</v>
      </c>
      <c r="K17" s="131"/>
      <c r="L17" s="131"/>
      <c r="M17" s="131"/>
      <c r="N17" s="131"/>
      <c r="O17" s="132"/>
      <c r="P17" s="145" t="s">
        <v>37</v>
      </c>
      <c r="Q17" s="74"/>
      <c r="R17" s="74"/>
      <c r="S17" s="74"/>
      <c r="T17" s="74"/>
      <c r="U17" s="74"/>
      <c r="V17" s="133"/>
      <c r="X17" t="s">
        <v>17</v>
      </c>
      <c r="AB17" t="s">
        <v>70</v>
      </c>
      <c r="AC17" s="23"/>
      <c r="AG17" t="s">
        <v>18</v>
      </c>
    </row>
    <row r="18" spans="2:40" ht="27" customHeight="1" thickBot="1" x14ac:dyDescent="0.4">
      <c r="B18" s="17" t="s">
        <v>19</v>
      </c>
      <c r="C18" s="17" t="s">
        <v>70</v>
      </c>
      <c r="D18" s="17" t="s">
        <v>12</v>
      </c>
      <c r="E18" s="19" t="s">
        <v>4</v>
      </c>
      <c r="F18" s="91" t="s">
        <v>65</v>
      </c>
      <c r="G18" s="91" t="s">
        <v>9</v>
      </c>
      <c r="H18" s="199" t="s">
        <v>14</v>
      </c>
      <c r="I18" s="4" t="s">
        <v>68</v>
      </c>
      <c r="J18" s="9" t="s">
        <v>10</v>
      </c>
      <c r="K18" s="9" t="s">
        <v>63</v>
      </c>
      <c r="L18" s="9" t="s">
        <v>64</v>
      </c>
      <c r="M18" s="5" t="s">
        <v>2</v>
      </c>
      <c r="N18" s="5" t="s">
        <v>5</v>
      </c>
      <c r="O18" s="5" t="s">
        <v>6</v>
      </c>
      <c r="P18" s="6" t="s">
        <v>13</v>
      </c>
      <c r="Q18" s="7" t="s">
        <v>3</v>
      </c>
      <c r="R18" s="60" t="s">
        <v>50</v>
      </c>
      <c r="S18" s="60" t="s">
        <v>35</v>
      </c>
      <c r="T18" s="60" t="s">
        <v>51</v>
      </c>
      <c r="U18" s="60" t="s">
        <v>52</v>
      </c>
      <c r="V18" s="198" t="s">
        <v>7</v>
      </c>
      <c r="X18" s="12" t="s">
        <v>11</v>
      </c>
      <c r="Y18" s="149" t="s">
        <v>69</v>
      </c>
      <c r="Z18" s="114" t="s">
        <v>26</v>
      </c>
      <c r="AA18" s="115" t="s">
        <v>28</v>
      </c>
      <c r="AB18" s="21" t="s">
        <v>20</v>
      </c>
      <c r="AC18" s="114" t="s">
        <v>30</v>
      </c>
      <c r="AD18" s="114" t="s">
        <v>29</v>
      </c>
      <c r="AE18" s="24" t="s">
        <v>22</v>
      </c>
      <c r="AF18" s="22" t="s">
        <v>21</v>
      </c>
      <c r="AG18" s="25" t="str">
        <f t="shared" ref="AG18:AM18" si="4">P18</f>
        <v>Spot</v>
      </c>
      <c r="AH18" s="25" t="str">
        <f t="shared" si="4"/>
        <v>Fwd</v>
      </c>
      <c r="AI18" s="25" t="str">
        <f t="shared" si="4"/>
        <v>Vol To Use</v>
      </c>
      <c r="AJ18" s="25" t="str">
        <f t="shared" si="4"/>
        <v>ATMF</v>
      </c>
      <c r="AK18" s="25" t="str">
        <f t="shared" si="4"/>
        <v>RR</v>
      </c>
      <c r="AL18" s="25" t="str">
        <f t="shared" si="4"/>
        <v>Fly</v>
      </c>
      <c r="AM18" s="25" t="str">
        <f t="shared" si="4"/>
        <v>Disc Rate</v>
      </c>
      <c r="AN18" s="38" t="s">
        <v>23</v>
      </c>
    </row>
    <row r="19" spans="2:40" ht="13.5" thickBot="1" x14ac:dyDescent="0.45">
      <c r="B19" s="8"/>
      <c r="C19" s="86" t="e">
        <f ca="1">SUM(C20:C30)</f>
        <v>#REF!</v>
      </c>
      <c r="D19" s="86" t="e">
        <f ca="1">SUM(D20:D31)</f>
        <v>#REF!</v>
      </c>
      <c r="E19" s="87" t="e">
        <f ca="1">SUM(E20:E31)</f>
        <v>#REF!</v>
      </c>
      <c r="F19" s="83" t="e">
        <f ca="1">SUM(F20:F31)</f>
        <v>#REF!</v>
      </c>
      <c r="G19" s="93">
        <f>SUM(G20:G31)</f>
        <v>0</v>
      </c>
      <c r="H19" s="94">
        <f>SUM(H20:H31)</f>
        <v>0</v>
      </c>
      <c r="I19" s="129" t="e">
        <f ca="1">SUM(I20:I30)</f>
        <v>#REF!</v>
      </c>
      <c r="J19" s="2"/>
      <c r="K19" s="2"/>
      <c r="L19" s="2"/>
      <c r="M19" s="2"/>
      <c r="N19" s="2"/>
      <c r="O19" s="2"/>
      <c r="Q19" s="2"/>
      <c r="R19" s="100"/>
      <c r="S19" s="100"/>
      <c r="T19" s="100"/>
      <c r="U19" s="100"/>
      <c r="V19" s="2"/>
      <c r="X19" s="129" t="e">
        <f ca="1">SUM(X20:X239)</f>
        <v>#REF!</v>
      </c>
      <c r="Y19" s="20" t="e">
        <f ca="1">SUM(Y20:Y239)</f>
        <v>#REF!</v>
      </c>
      <c r="Z19" s="116" t="e">
        <f ca="1">SUM(Z20:Z239)</f>
        <v>#REF!</v>
      </c>
      <c r="AA19" s="117" t="e">
        <f ca="1">SUM(AA20:AA239)</f>
        <v>#REF!</v>
      </c>
      <c r="AB19" s="129">
        <f>SUM(AB20:AB31)</f>
        <v>0</v>
      </c>
      <c r="AC19" s="117">
        <f>SUM(AC20:AC31)</f>
        <v>0</v>
      </c>
      <c r="AD19" s="120">
        <f>SUM(AD20:AD31)</f>
        <v>0</v>
      </c>
      <c r="AE19" s="129" t="e">
        <f ca="1">SUM(AE20:AE30)</f>
        <v>#REF!</v>
      </c>
      <c r="AF19" s="129" t="e">
        <f ca="1">SUM(AF20:AF30)</f>
        <v>#REF!</v>
      </c>
      <c r="AN19" s="20"/>
    </row>
    <row r="20" spans="2:40" x14ac:dyDescent="0.35">
      <c r="B20" s="138" t="s">
        <v>66</v>
      </c>
      <c r="C20" s="139" t="e">
        <f ca="1">AF20</f>
        <v>#REF!</v>
      </c>
      <c r="D20" s="139" t="e">
        <f t="shared" ref="D20:D22" ca="1" si="5">E20-X20</f>
        <v>#REF!</v>
      </c>
      <c r="E20" s="139" t="e">
        <f ca="1">L20*BSPrice(J20,1/Q20,1/M20,O20,V20,R20)*1000000</f>
        <v>#REF!</v>
      </c>
      <c r="F20" s="140">
        <v>0</v>
      </c>
      <c r="G20" s="141">
        <v>0</v>
      </c>
      <c r="H20" s="142">
        <v>0</v>
      </c>
      <c r="I20" s="143" t="e">
        <f ca="1">(E20-L20*EXP(-($I$10-$I$11)*1/365)*BSPrice(J20,1/(Q20*EXP(-($I$10-$I$11)*1/365)),1/M20,O20+1,V20,R20)*1000000)*(1)</f>
        <v>#REF!</v>
      </c>
      <c r="J20" s="13" t="s">
        <v>0</v>
      </c>
      <c r="K20" s="200" t="e">
        <f ca="1">INDIRECT("'"&amp; $Y$16 &amp;"'!"&amp; ADDRESS(ROW(K20),COLUMN(K20),4))</f>
        <v>#REF!</v>
      </c>
      <c r="L20" s="201" t="e">
        <f ca="1">K20*Q20</f>
        <v>#REF!</v>
      </c>
      <c r="M20" s="202" t="e">
        <f t="shared" ref="M20:N22" ca="1" si="6">INDIRECT("'"&amp; $Y$16 &amp;"'!"&amp; ADDRESS(ROW(M20),COLUMN(M20),4))</f>
        <v>#REF!</v>
      </c>
      <c r="N20" s="70" t="e">
        <f t="shared" ca="1" si="6"/>
        <v>#REF!</v>
      </c>
      <c r="O20" s="14" t="e">
        <f ca="1">(N20-$H$2)</f>
        <v>#REF!</v>
      </c>
      <c r="P20" s="106">
        <f t="shared" ref="P20:P23" si="7">$I$6</f>
        <v>13.5</v>
      </c>
      <c r="Q20" s="104" t="e">
        <f ca="1">P20*EXP(-($I$10-$I$11)*O20/365)</f>
        <v>#REF!</v>
      </c>
      <c r="R20" s="101">
        <v>0</v>
      </c>
      <c r="S20" s="101">
        <v>0.13</v>
      </c>
      <c r="T20" s="101">
        <v>0.13</v>
      </c>
      <c r="U20" s="101">
        <v>0.13</v>
      </c>
      <c r="V20" s="10">
        <f t="shared" ref="V20:V23" si="8">$I$10</f>
        <v>0.02</v>
      </c>
      <c r="X20" s="108" t="e">
        <f t="shared" ref="X20:AA25" ca="1" si="9">INDIRECT("'"&amp; $Y$16 &amp;"'!"&amp; ADDRESS(ROW(E20),COLUMN(E20),4))</f>
        <v>#REF!</v>
      </c>
      <c r="Y20" s="111" t="e">
        <f t="shared" ca="1" si="9"/>
        <v>#REF!</v>
      </c>
      <c r="Z20" s="118" t="e">
        <f t="shared" ca="1" si="9"/>
        <v>#REF!</v>
      </c>
      <c r="AA20" s="241" t="e">
        <f t="shared" ca="1" si="9"/>
        <v>#REF!</v>
      </c>
      <c r="AB20" s="124">
        <v>0</v>
      </c>
      <c r="AC20" s="121">
        <v>0</v>
      </c>
      <c r="AD20" s="121">
        <v>0</v>
      </c>
      <c r="AE20" s="124" t="e">
        <f ca="1">(E20-L20*EXP(-($I$10-$I$11)*1/365)*BSPrice(J20,1/(Q20*EXP(-($I$10-$I$11)*1/365)),1/M20,O20+1,V20,R20)*1000000)*(Today-$H$3)</f>
        <v>#REF!</v>
      </c>
      <c r="AF20" s="127" t="e">
        <f t="shared" ref="AF20:AF22" ca="1" si="10">AD20+AC20+AB20+AE20</f>
        <v>#REF!</v>
      </c>
      <c r="AG20" s="35" t="e">
        <f t="shared" ref="AG20:AG30" ca="1" si="11">INDIRECT("'"&amp; $Y$16 &amp;"'!"&amp; ADDRESS(ROW(P20),COLUMN(P20),4))</f>
        <v>#REF!</v>
      </c>
      <c r="AH20" s="26" t="e">
        <f t="shared" ref="AH20:AH30" ca="1" si="12">INDIRECT("'"&amp; $Y$16 &amp;"'!"&amp; ADDRESS(ROW(Q20),COLUMN(Q20),4))</f>
        <v>#REF!</v>
      </c>
      <c r="AI20" s="27" t="e">
        <f t="shared" ref="AI20:AI30" ca="1" si="13">INDIRECT("'"&amp; $Y$16 &amp;"'!"&amp; ADDRESS(ROW(R20),COLUMN(R20),4))</f>
        <v>#REF!</v>
      </c>
      <c r="AJ20" s="27" t="e">
        <f t="shared" ref="AJ20:AJ30" ca="1" si="14">INDIRECT("'"&amp; $Y$16 &amp;"'!"&amp; ADDRESS(ROW(S20),COLUMN(S20),4))</f>
        <v>#REF!</v>
      </c>
      <c r="AK20" s="27" t="e">
        <f t="shared" ref="AK20:AK30" ca="1" si="15">INDIRECT("'"&amp; $Y$16 &amp;"'!"&amp; ADDRESS(ROW(T20),COLUMN(T20),4))</f>
        <v>#REF!</v>
      </c>
      <c r="AL20" s="27" t="e">
        <f t="shared" ref="AL20:AL30" ca="1" si="16">INDIRECT("'"&amp; $Y$16 &amp;"'!"&amp; ADDRESS(ROW(U20),COLUMN(U20),4))</f>
        <v>#REF!</v>
      </c>
      <c r="AM20" s="28" t="e">
        <f t="shared" ref="AM20:AM30" ca="1" si="17">INDIRECT("'"&amp; $Y$16 &amp;"'!"&amp; ADDRESS(ROW(V20),COLUMN(V20),4))</f>
        <v>#REF!</v>
      </c>
      <c r="AN20" s="152" t="e">
        <f t="shared" ref="AN20:AN22" ca="1" si="18">Z20*((1/P20-1/AG20))</f>
        <v>#REF!</v>
      </c>
    </row>
    <row r="21" spans="2:40" x14ac:dyDescent="0.35">
      <c r="B21" s="144" t="s">
        <v>67</v>
      </c>
      <c r="C21" s="92" t="e">
        <f t="shared" ref="C21:C22" ca="1" si="19">AF21</f>
        <v>#REF!</v>
      </c>
      <c r="D21" s="92" t="e">
        <f t="shared" ca="1" si="5"/>
        <v>#REF!</v>
      </c>
      <c r="E21" s="92" t="e">
        <f t="shared" ref="E21:E22" ca="1" si="20">L21*BSPrice(J21,1/Q21,1/M21,O21,V21,R21)*1000000</f>
        <v>#REF!</v>
      </c>
      <c r="F21" s="134" t="e">
        <f ca="1">L21*BSDelta(J21,1/Q21,1/M21,O21,V21,R21)/P21</f>
        <v>#REF!</v>
      </c>
      <c r="G21" s="95">
        <v>0</v>
      </c>
      <c r="H21" s="96">
        <v>0</v>
      </c>
      <c r="I21" s="136" t="e">
        <f ca="1">(E21-L21*BSPrice(J21,1/(Q21*EXP(-($I$10-$I$11)*1/365)),1/M21,O21+1,V21,R21)*1000000)*(1)</f>
        <v>#REF!</v>
      </c>
      <c r="J21" s="15" t="s">
        <v>1</v>
      </c>
      <c r="K21" s="126" t="e">
        <f ca="1">INDIRECT("'"&amp; $Y$16 &amp;"'!"&amp; ADDRESS(ROW(K21),COLUMN(K21),4))</f>
        <v>#REF!</v>
      </c>
      <c r="L21" s="88" t="e">
        <f ca="1">INDIRECT("'"&amp; $Y$16 &amp;"'!"&amp; ADDRESS(ROW(L21),COLUMN(L21),4))</f>
        <v>#REF!</v>
      </c>
      <c r="M21" s="203" t="e">
        <f t="shared" ca="1" si="6"/>
        <v>#REF!</v>
      </c>
      <c r="N21" s="204" t="e">
        <f t="shared" ca="1" si="6"/>
        <v>#REF!</v>
      </c>
      <c r="O21" s="3" t="e">
        <f t="shared" ref="O21:O22" ca="1" si="21">(N21-$H$2)</f>
        <v>#REF!</v>
      </c>
      <c r="P21" s="107">
        <f t="shared" si="7"/>
        <v>13.5</v>
      </c>
      <c r="Q21" s="105" t="e">
        <f t="shared" ref="Q21:Q23" ca="1" si="22">P21*EXP(-($I$10-$I$11)*O21/365)</f>
        <v>#REF!</v>
      </c>
      <c r="R21" s="102">
        <v>0</v>
      </c>
      <c r="S21" s="102">
        <v>9.9199999999999997E-2</v>
      </c>
      <c r="T21" s="102">
        <v>9.9199999999999997E-2</v>
      </c>
      <c r="U21" s="102">
        <v>9.9199999999999997E-2</v>
      </c>
      <c r="V21" s="11">
        <f t="shared" si="8"/>
        <v>0.02</v>
      </c>
      <c r="X21" s="109" t="e">
        <f t="shared" ca="1" si="9"/>
        <v>#REF!</v>
      </c>
      <c r="Y21" s="112" t="e">
        <f t="shared" ca="1" si="9"/>
        <v>#REF!</v>
      </c>
      <c r="Z21" s="119" t="e">
        <f t="shared" ca="1" si="9"/>
        <v>#REF!</v>
      </c>
      <c r="AA21" s="242" t="e">
        <f t="shared" ca="1" si="9"/>
        <v>#REF!</v>
      </c>
      <c r="AB21" s="125">
        <v>0</v>
      </c>
      <c r="AC21" s="122">
        <v>0</v>
      </c>
      <c r="AD21" s="122">
        <v>0</v>
      </c>
      <c r="AE21" s="125" t="e">
        <f t="shared" ref="AE21:AE22" ca="1" si="23">(E21-L21*BSPrice(J21,1/(Q21*EXP(-($I$10-$I$11)*1/365)),1/M21,O21+1,V21,R21)*1000000)*(Today-$H$3)</f>
        <v>#REF!</v>
      </c>
      <c r="AF21" s="128" t="e">
        <f t="shared" ca="1" si="10"/>
        <v>#REF!</v>
      </c>
      <c r="AG21" s="36" t="e">
        <f t="shared" ca="1" si="11"/>
        <v>#REF!</v>
      </c>
      <c r="AH21" s="29" t="e">
        <f t="shared" ca="1" si="12"/>
        <v>#REF!</v>
      </c>
      <c r="AI21" s="30" t="e">
        <f t="shared" ca="1" si="13"/>
        <v>#REF!</v>
      </c>
      <c r="AJ21" s="30" t="e">
        <f t="shared" ca="1" si="14"/>
        <v>#REF!</v>
      </c>
      <c r="AK21" s="30" t="e">
        <f t="shared" ca="1" si="15"/>
        <v>#REF!</v>
      </c>
      <c r="AL21" s="30" t="e">
        <f t="shared" ca="1" si="16"/>
        <v>#REF!</v>
      </c>
      <c r="AM21" s="31" t="e">
        <f t="shared" ca="1" si="17"/>
        <v>#REF!</v>
      </c>
      <c r="AN21" s="153" t="e">
        <f t="shared" ca="1" si="18"/>
        <v>#REF!</v>
      </c>
    </row>
    <row r="22" spans="2:40" ht="13.15" thickBot="1" x14ac:dyDescent="0.4">
      <c r="B22" s="18">
        <v>3</v>
      </c>
      <c r="C22" s="85" t="e">
        <f t="shared" ca="1" si="19"/>
        <v>#REF!</v>
      </c>
      <c r="D22" s="85" t="e">
        <f t="shared" ca="1" si="5"/>
        <v>#REF!</v>
      </c>
      <c r="E22" s="84" t="e">
        <f t="shared" ca="1" si="20"/>
        <v>#REF!</v>
      </c>
      <c r="F22" s="135" t="e">
        <f t="shared" ref="F22" ca="1" si="24">L22*BSDelta(J22,1/Q22,1/M22,O22,V22,R22)/P22</f>
        <v>#REF!</v>
      </c>
      <c r="G22" s="97">
        <v>0</v>
      </c>
      <c r="H22" s="98">
        <v>0</v>
      </c>
      <c r="I22" s="137" t="e">
        <f t="shared" ref="I22" ca="1" si="25">(E22-L22*BSPrice(J22,1/(Q22*EXP(-($I$10-$I$11)*1/365)),1/M22,O22+1,V22,R22)*1000000)*(1)</f>
        <v>#REF!</v>
      </c>
      <c r="J22" s="15" t="s">
        <v>8</v>
      </c>
      <c r="K22" s="126" t="e">
        <f ca="1">INDIRECT("'"&amp; $Y$16 &amp;"'!"&amp; ADDRESS(ROW(K22),COLUMN(K22),4))</f>
        <v>#REF!</v>
      </c>
      <c r="L22" s="88" t="e">
        <f ca="1">INDIRECT("'"&amp; $Y$16 &amp;"'!"&amp; ADDRESS(ROW(L22),COLUMN(L22),4))</f>
        <v>#REF!</v>
      </c>
      <c r="M22" s="155" t="e">
        <f t="shared" ca="1" si="6"/>
        <v>#REF!</v>
      </c>
      <c r="N22" s="204" t="e">
        <f t="shared" ca="1" si="6"/>
        <v>#REF!</v>
      </c>
      <c r="O22" s="3" t="e">
        <f t="shared" ca="1" si="21"/>
        <v>#REF!</v>
      </c>
      <c r="P22" s="107">
        <f t="shared" si="7"/>
        <v>13.5</v>
      </c>
      <c r="Q22" s="105" t="e">
        <f t="shared" ca="1" si="22"/>
        <v>#REF!</v>
      </c>
      <c r="R22" s="102">
        <v>0</v>
      </c>
      <c r="S22" s="102">
        <v>9.1899999999999996E-2</v>
      </c>
      <c r="T22" s="102">
        <v>9.1899999999999996E-2</v>
      </c>
      <c r="U22" s="102">
        <v>9.1899999999999996E-2</v>
      </c>
      <c r="V22" s="11">
        <f t="shared" si="8"/>
        <v>0.02</v>
      </c>
      <c r="X22" s="109" t="e">
        <f t="shared" ca="1" si="9"/>
        <v>#REF!</v>
      </c>
      <c r="Y22" s="112" t="e">
        <f t="shared" ca="1" si="9"/>
        <v>#REF!</v>
      </c>
      <c r="Z22" s="119" t="e">
        <f t="shared" ca="1" si="9"/>
        <v>#REF!</v>
      </c>
      <c r="AA22" s="242" t="e">
        <f t="shared" ca="1" si="9"/>
        <v>#REF!</v>
      </c>
      <c r="AB22" s="125">
        <v>0</v>
      </c>
      <c r="AC22" s="122">
        <v>0</v>
      </c>
      <c r="AD22" s="122">
        <v>0</v>
      </c>
      <c r="AE22" s="125" t="e">
        <f t="shared" ca="1" si="23"/>
        <v>#REF!</v>
      </c>
      <c r="AF22" s="128" t="e">
        <f t="shared" ca="1" si="10"/>
        <v>#REF!</v>
      </c>
      <c r="AG22" s="36" t="e">
        <f t="shared" ca="1" si="11"/>
        <v>#REF!</v>
      </c>
      <c r="AH22" s="29" t="e">
        <f t="shared" ca="1" si="12"/>
        <v>#REF!</v>
      </c>
      <c r="AI22" s="30" t="e">
        <f t="shared" ca="1" si="13"/>
        <v>#REF!</v>
      </c>
      <c r="AJ22" s="30" t="e">
        <f t="shared" ca="1" si="14"/>
        <v>#REF!</v>
      </c>
      <c r="AK22" s="30" t="e">
        <f t="shared" ca="1" si="15"/>
        <v>#REF!</v>
      </c>
      <c r="AL22" s="30" t="e">
        <f t="shared" ca="1" si="16"/>
        <v>#REF!</v>
      </c>
      <c r="AM22" s="31" t="e">
        <f t="shared" ca="1" si="17"/>
        <v>#REF!</v>
      </c>
      <c r="AN22" s="153" t="e">
        <f t="shared" ca="1" si="18"/>
        <v>#REF!</v>
      </c>
    </row>
    <row r="23" spans="2:40" x14ac:dyDescent="0.35">
      <c r="B23" s="18">
        <v>5</v>
      </c>
      <c r="C23" s="85">
        <v>0</v>
      </c>
      <c r="D23" s="85">
        <v>0</v>
      </c>
      <c r="E23" s="84">
        <v>0</v>
      </c>
      <c r="F23" s="135">
        <v>0</v>
      </c>
      <c r="G23" s="97">
        <v>0</v>
      </c>
      <c r="H23" s="98">
        <v>0</v>
      </c>
      <c r="I23" s="137">
        <v>0</v>
      </c>
      <c r="J23" s="15"/>
      <c r="K23" s="126"/>
      <c r="L23" s="88"/>
      <c r="M23" s="156"/>
      <c r="N23" s="70"/>
      <c r="O23" s="3"/>
      <c r="P23" s="107">
        <f t="shared" si="7"/>
        <v>13.5</v>
      </c>
      <c r="Q23" s="105">
        <f t="shared" si="22"/>
        <v>13.5</v>
      </c>
      <c r="R23" s="102">
        <v>0</v>
      </c>
      <c r="S23" s="102">
        <v>9.4200000000000006E-2</v>
      </c>
      <c r="T23" s="102">
        <v>9.4200000000000006E-2</v>
      </c>
      <c r="U23" s="102">
        <v>9.4200000000000006E-2</v>
      </c>
      <c r="V23" s="11">
        <f t="shared" si="8"/>
        <v>0.02</v>
      </c>
      <c r="X23" s="109" t="e">
        <f t="shared" ca="1" si="9"/>
        <v>#REF!</v>
      </c>
      <c r="Y23" s="112" t="e">
        <f t="shared" ca="1" si="9"/>
        <v>#REF!</v>
      </c>
      <c r="Z23" s="119" t="e">
        <f t="shared" ca="1" si="9"/>
        <v>#REF!</v>
      </c>
      <c r="AA23" s="242" t="e">
        <f t="shared" ca="1" si="9"/>
        <v>#REF!</v>
      </c>
      <c r="AB23" s="125">
        <v>0</v>
      </c>
      <c r="AC23" s="122">
        <v>0</v>
      </c>
      <c r="AD23" s="122">
        <v>0</v>
      </c>
      <c r="AE23" s="125">
        <v>0</v>
      </c>
      <c r="AF23" s="128">
        <v>0</v>
      </c>
      <c r="AG23" s="36" t="e">
        <f t="shared" ca="1" si="11"/>
        <v>#REF!</v>
      </c>
      <c r="AH23" s="29" t="e">
        <f t="shared" ca="1" si="12"/>
        <v>#REF!</v>
      </c>
      <c r="AI23" s="30" t="e">
        <f t="shared" ca="1" si="13"/>
        <v>#REF!</v>
      </c>
      <c r="AJ23" s="30" t="e">
        <f t="shared" ca="1" si="14"/>
        <v>#REF!</v>
      </c>
      <c r="AK23" s="30" t="e">
        <f t="shared" ca="1" si="15"/>
        <v>#REF!</v>
      </c>
      <c r="AL23" s="30" t="e">
        <f t="shared" ca="1" si="16"/>
        <v>#REF!</v>
      </c>
      <c r="AM23" s="31" t="e">
        <f t="shared" ca="1" si="17"/>
        <v>#REF!</v>
      </c>
      <c r="AN23" s="153">
        <v>0</v>
      </c>
    </row>
    <row r="24" spans="2:40" x14ac:dyDescent="0.35">
      <c r="B24" s="18">
        <v>6</v>
      </c>
      <c r="C24" s="85">
        <v>0</v>
      </c>
      <c r="D24" s="85">
        <v>0</v>
      </c>
      <c r="E24" s="84">
        <v>0</v>
      </c>
      <c r="F24" s="135">
        <v>0</v>
      </c>
      <c r="G24" s="97">
        <v>0</v>
      </c>
      <c r="H24" s="98">
        <v>0</v>
      </c>
      <c r="I24" s="137">
        <v>0</v>
      </c>
      <c r="J24" s="206" t="s">
        <v>77</v>
      </c>
      <c r="K24" s="208" t="s">
        <v>73</v>
      </c>
      <c r="L24" s="211" t="s">
        <v>78</v>
      </c>
      <c r="M24" s="214" t="s">
        <v>2</v>
      </c>
      <c r="N24" s="217" t="s">
        <v>82</v>
      </c>
      <c r="O24" s="222" t="s">
        <v>85</v>
      </c>
      <c r="P24" s="238" t="s">
        <v>109</v>
      </c>
      <c r="Q24" s="214" t="s">
        <v>113</v>
      </c>
      <c r="R24" s="214" t="s">
        <v>117</v>
      </c>
      <c r="S24" s="102">
        <v>9.9699999999999997E-2</v>
      </c>
      <c r="T24" s="102">
        <v>9.9699999999999997E-2</v>
      </c>
      <c r="U24" s="102">
        <v>9.9699999999999997E-2</v>
      </c>
      <c r="V24" s="239" t="s">
        <v>120</v>
      </c>
      <c r="X24" s="109" t="e">
        <f t="shared" ca="1" si="9"/>
        <v>#REF!</v>
      </c>
      <c r="Y24" s="112" t="e">
        <f t="shared" ca="1" si="9"/>
        <v>#REF!</v>
      </c>
      <c r="Z24" s="119" t="e">
        <f t="shared" ca="1" si="9"/>
        <v>#REF!</v>
      </c>
      <c r="AA24" s="242" t="e">
        <f t="shared" ca="1" si="9"/>
        <v>#REF!</v>
      </c>
      <c r="AB24" s="125">
        <v>0</v>
      </c>
      <c r="AC24" s="122">
        <v>0</v>
      </c>
      <c r="AD24" s="122">
        <v>0</v>
      </c>
      <c r="AE24" s="125">
        <v>0</v>
      </c>
      <c r="AF24" s="128">
        <v>0</v>
      </c>
      <c r="AG24" s="36" t="e">
        <f t="shared" ca="1" si="11"/>
        <v>#REF!</v>
      </c>
      <c r="AH24" s="29" t="e">
        <f t="shared" ca="1" si="12"/>
        <v>#REF!</v>
      </c>
      <c r="AI24" s="30" t="e">
        <f t="shared" ca="1" si="13"/>
        <v>#REF!</v>
      </c>
      <c r="AJ24" s="30" t="e">
        <f t="shared" ca="1" si="14"/>
        <v>#REF!</v>
      </c>
      <c r="AK24" s="30" t="e">
        <f t="shared" ca="1" si="15"/>
        <v>#REF!</v>
      </c>
      <c r="AL24" s="30" t="e">
        <f t="shared" ca="1" si="16"/>
        <v>#REF!</v>
      </c>
      <c r="AM24" s="31" t="e">
        <f t="shared" ca="1" si="17"/>
        <v>#REF!</v>
      </c>
      <c r="AN24" s="153">
        <v>0</v>
      </c>
    </row>
    <row r="25" spans="2:40" x14ac:dyDescent="0.35">
      <c r="B25" s="18">
        <v>8</v>
      </c>
      <c r="C25" s="85">
        <v>0</v>
      </c>
      <c r="D25" s="85">
        <v>0</v>
      </c>
      <c r="E25" s="84">
        <v>0</v>
      </c>
      <c r="F25" s="135">
        <v>0</v>
      </c>
      <c r="G25" s="97">
        <v>0</v>
      </c>
      <c r="H25" s="98">
        <v>0</v>
      </c>
      <c r="I25" s="137">
        <v>0</v>
      </c>
      <c r="J25" s="206" t="s">
        <v>71</v>
      </c>
      <c r="K25" s="208" t="s">
        <v>74</v>
      </c>
      <c r="L25" s="211" t="s">
        <v>79</v>
      </c>
      <c r="M25" s="214" t="s">
        <v>80</v>
      </c>
      <c r="N25" s="217" t="s">
        <v>83</v>
      </c>
      <c r="O25" s="222" t="s">
        <v>86</v>
      </c>
      <c r="P25" s="238" t="s">
        <v>110</v>
      </c>
      <c r="Q25" s="214" t="s">
        <v>114</v>
      </c>
      <c r="R25" s="214" t="s">
        <v>118</v>
      </c>
      <c r="S25" s="102">
        <v>0.11219999999999999</v>
      </c>
      <c r="T25" s="102">
        <v>0.11219999999999999</v>
      </c>
      <c r="U25" s="102">
        <v>0.11219999999999999</v>
      </c>
      <c r="V25" s="239" t="s">
        <v>121</v>
      </c>
      <c r="X25" s="109" t="e">
        <f t="shared" ca="1" si="9"/>
        <v>#REF!</v>
      </c>
      <c r="Y25" s="112" t="e">
        <f t="shared" ca="1" si="9"/>
        <v>#REF!</v>
      </c>
      <c r="Z25" s="119" t="e">
        <f t="shared" ca="1" si="9"/>
        <v>#REF!</v>
      </c>
      <c r="AA25" s="242" t="e">
        <f t="shared" ca="1" si="9"/>
        <v>#REF!</v>
      </c>
      <c r="AB25" s="125">
        <v>0</v>
      </c>
      <c r="AC25" s="122">
        <v>0</v>
      </c>
      <c r="AD25" s="122">
        <v>0</v>
      </c>
      <c r="AE25" s="125">
        <v>0</v>
      </c>
      <c r="AF25" s="128">
        <v>0</v>
      </c>
      <c r="AG25" s="36" t="e">
        <f t="shared" ca="1" si="11"/>
        <v>#REF!</v>
      </c>
      <c r="AH25" s="29" t="e">
        <f t="shared" ca="1" si="12"/>
        <v>#REF!</v>
      </c>
      <c r="AI25" s="30" t="e">
        <f t="shared" ca="1" si="13"/>
        <v>#REF!</v>
      </c>
      <c r="AJ25" s="30" t="e">
        <f t="shared" ca="1" si="14"/>
        <v>#REF!</v>
      </c>
      <c r="AK25" s="30" t="e">
        <f t="shared" ca="1" si="15"/>
        <v>#REF!</v>
      </c>
      <c r="AL25" s="30" t="e">
        <f t="shared" ca="1" si="16"/>
        <v>#REF!</v>
      </c>
      <c r="AM25" s="31" t="e">
        <f t="shared" ca="1" si="17"/>
        <v>#REF!</v>
      </c>
      <c r="AN25" s="153">
        <v>0</v>
      </c>
    </row>
    <row r="26" spans="2:40" x14ac:dyDescent="0.35">
      <c r="B26" s="224" t="s">
        <v>87</v>
      </c>
      <c r="C26" s="227" t="s">
        <v>93</v>
      </c>
      <c r="D26" s="227" t="s">
        <v>90</v>
      </c>
      <c r="E26" s="227" t="s">
        <v>94</v>
      </c>
      <c r="F26" s="230" t="s">
        <v>97</v>
      </c>
      <c r="G26" s="222" t="s">
        <v>99</v>
      </c>
      <c r="H26" s="231" t="s">
        <v>102</v>
      </c>
      <c r="I26" s="232" t="s">
        <v>105</v>
      </c>
      <c r="J26" s="206" t="s">
        <v>72</v>
      </c>
      <c r="K26" s="208" t="s">
        <v>75</v>
      </c>
      <c r="L26" s="212"/>
      <c r="M26" s="214" t="s">
        <v>81</v>
      </c>
      <c r="N26" s="217" t="s">
        <v>84</v>
      </c>
      <c r="O26" s="220"/>
      <c r="P26" s="238" t="s">
        <v>111</v>
      </c>
      <c r="Q26" s="214" t="s">
        <v>115</v>
      </c>
      <c r="R26" s="214" t="s">
        <v>119</v>
      </c>
      <c r="S26" s="102">
        <v>0.1036</v>
      </c>
      <c r="T26" s="102">
        <v>0.1036</v>
      </c>
      <c r="U26" s="102">
        <v>0.1036</v>
      </c>
      <c r="V26" s="239" t="s">
        <v>122</v>
      </c>
      <c r="X26" s="243"/>
      <c r="Y26" s="211"/>
      <c r="Z26" s="222"/>
      <c r="AA26" s="244"/>
      <c r="AB26" s="125">
        <v>0</v>
      </c>
      <c r="AC26" s="122">
        <v>0</v>
      </c>
      <c r="AD26" s="122">
        <v>0</v>
      </c>
      <c r="AE26" s="125">
        <v>0</v>
      </c>
      <c r="AF26" s="128">
        <v>0</v>
      </c>
      <c r="AG26" s="36" t="e">
        <f t="shared" ca="1" si="11"/>
        <v>#REF!</v>
      </c>
      <c r="AH26" s="29" t="e">
        <f t="shared" ca="1" si="12"/>
        <v>#REF!</v>
      </c>
      <c r="AI26" s="30" t="e">
        <f t="shared" ca="1" si="13"/>
        <v>#REF!</v>
      </c>
      <c r="AJ26" s="30" t="e">
        <f t="shared" ca="1" si="14"/>
        <v>#REF!</v>
      </c>
      <c r="AK26" s="30" t="e">
        <f t="shared" ca="1" si="15"/>
        <v>#REF!</v>
      </c>
      <c r="AL26" s="30" t="e">
        <f t="shared" ca="1" si="16"/>
        <v>#REF!</v>
      </c>
      <c r="AM26" s="31" t="e">
        <f t="shared" ca="1" si="17"/>
        <v>#REF!</v>
      </c>
      <c r="AN26" s="153">
        <v>0</v>
      </c>
    </row>
    <row r="27" spans="2:40" x14ac:dyDescent="0.35">
      <c r="B27" s="224" t="s">
        <v>88</v>
      </c>
      <c r="C27" s="227" t="s">
        <v>12</v>
      </c>
      <c r="D27" s="227" t="s">
        <v>91</v>
      </c>
      <c r="E27" s="227" t="s">
        <v>95</v>
      </c>
      <c r="F27" s="230" t="s">
        <v>98</v>
      </c>
      <c r="G27" s="222" t="s">
        <v>100</v>
      </c>
      <c r="H27" s="231" t="s">
        <v>103</v>
      </c>
      <c r="I27" s="232" t="s">
        <v>106</v>
      </c>
      <c r="J27" s="206"/>
      <c r="K27" s="208" t="s">
        <v>76</v>
      </c>
      <c r="L27" s="212"/>
      <c r="M27" s="215"/>
      <c r="N27" s="218"/>
      <c r="O27" s="220"/>
      <c r="P27" s="238" t="s">
        <v>112</v>
      </c>
      <c r="Q27" s="214" t="s">
        <v>116</v>
      </c>
      <c r="R27" s="214"/>
      <c r="S27" s="102">
        <v>8.5699999999999998E-2</v>
      </c>
      <c r="T27" s="102">
        <v>8.5699999999999998E-2</v>
      </c>
      <c r="U27" s="102">
        <v>8.5699999999999998E-2</v>
      </c>
      <c r="V27" s="239" t="s">
        <v>123</v>
      </c>
      <c r="X27" s="248" t="s">
        <v>127</v>
      </c>
      <c r="Y27" s="211"/>
      <c r="Z27" s="222"/>
      <c r="AA27" s="244"/>
      <c r="AB27" s="125">
        <v>0</v>
      </c>
      <c r="AC27" s="122">
        <v>0</v>
      </c>
      <c r="AD27" s="122">
        <v>0</v>
      </c>
      <c r="AE27" s="125">
        <v>0</v>
      </c>
      <c r="AF27" s="128">
        <v>0</v>
      </c>
      <c r="AG27" s="36" t="e">
        <f t="shared" ca="1" si="11"/>
        <v>#REF!</v>
      </c>
      <c r="AH27" s="29" t="e">
        <f t="shared" ca="1" si="12"/>
        <v>#REF!</v>
      </c>
      <c r="AI27" s="30" t="e">
        <f t="shared" ca="1" si="13"/>
        <v>#REF!</v>
      </c>
      <c r="AJ27" s="30" t="e">
        <f t="shared" ca="1" si="14"/>
        <v>#REF!</v>
      </c>
      <c r="AK27" s="30" t="e">
        <f t="shared" ca="1" si="15"/>
        <v>#REF!</v>
      </c>
      <c r="AL27" s="30" t="e">
        <f t="shared" ca="1" si="16"/>
        <v>#REF!</v>
      </c>
      <c r="AM27" s="31" t="e">
        <f t="shared" ca="1" si="17"/>
        <v>#REF!</v>
      </c>
      <c r="AN27" s="153">
        <v>0</v>
      </c>
    </row>
    <row r="28" spans="2:40" x14ac:dyDescent="0.35">
      <c r="B28" s="224" t="s">
        <v>89</v>
      </c>
      <c r="C28" s="225"/>
      <c r="D28" s="227" t="s">
        <v>92</v>
      </c>
      <c r="E28" s="227" t="s">
        <v>96</v>
      </c>
      <c r="F28" s="228"/>
      <c r="G28" s="222" t="s">
        <v>24</v>
      </c>
      <c r="H28" s="231" t="s">
        <v>104</v>
      </c>
      <c r="I28" s="232" t="s">
        <v>107</v>
      </c>
      <c r="J28" s="206"/>
      <c r="K28" s="209"/>
      <c r="L28" s="212"/>
      <c r="M28" s="215"/>
      <c r="N28" s="218"/>
      <c r="O28" s="220"/>
      <c r="P28" s="236"/>
      <c r="Q28" s="215"/>
      <c r="R28" s="215"/>
      <c r="S28" s="102">
        <v>0.1099</v>
      </c>
      <c r="T28" s="102">
        <v>0.1099</v>
      </c>
      <c r="U28" s="102">
        <v>0.1099</v>
      </c>
      <c r="V28" s="239" t="s">
        <v>125</v>
      </c>
      <c r="X28" s="248" t="s">
        <v>128</v>
      </c>
      <c r="Y28" s="212"/>
      <c r="Z28" s="222"/>
      <c r="AA28" s="244"/>
      <c r="AB28" s="125">
        <v>0</v>
      </c>
      <c r="AC28" s="122">
        <v>0</v>
      </c>
      <c r="AD28" s="122">
        <v>0</v>
      </c>
      <c r="AE28" s="125">
        <v>0</v>
      </c>
      <c r="AF28" s="128">
        <v>0</v>
      </c>
      <c r="AG28" s="36" t="e">
        <f t="shared" ca="1" si="11"/>
        <v>#REF!</v>
      </c>
      <c r="AH28" s="29" t="e">
        <f t="shared" ca="1" si="12"/>
        <v>#REF!</v>
      </c>
      <c r="AI28" s="30" t="e">
        <f t="shared" ca="1" si="13"/>
        <v>#REF!</v>
      </c>
      <c r="AJ28" s="30" t="e">
        <f t="shared" ca="1" si="14"/>
        <v>#REF!</v>
      </c>
      <c r="AK28" s="30" t="e">
        <f t="shared" ca="1" si="15"/>
        <v>#REF!</v>
      </c>
      <c r="AL28" s="30" t="e">
        <f t="shared" ca="1" si="16"/>
        <v>#REF!</v>
      </c>
      <c r="AM28" s="31" t="e">
        <f t="shared" ca="1" si="17"/>
        <v>#REF!</v>
      </c>
      <c r="AN28" s="153">
        <v>0</v>
      </c>
    </row>
    <row r="29" spans="2:40" x14ac:dyDescent="0.35">
      <c r="B29" s="224" t="s">
        <v>81</v>
      </c>
      <c r="C29" s="225"/>
      <c r="D29" s="225"/>
      <c r="E29" s="225"/>
      <c r="F29" s="228"/>
      <c r="G29" s="222" t="s">
        <v>101</v>
      </c>
      <c r="H29" s="231"/>
      <c r="I29" s="232" t="s">
        <v>108</v>
      </c>
      <c r="J29" s="206"/>
      <c r="K29" s="209"/>
      <c r="L29" s="212"/>
      <c r="M29" s="215"/>
      <c r="N29" s="218"/>
      <c r="O29" s="220"/>
      <c r="P29" s="236"/>
      <c r="Q29" s="215"/>
      <c r="R29" s="215"/>
      <c r="S29" s="102">
        <v>0.11849999999999999</v>
      </c>
      <c r="T29" s="102">
        <v>0.11849999999999999</v>
      </c>
      <c r="U29" s="102">
        <v>0.11849999999999999</v>
      </c>
      <c r="V29" s="239" t="s">
        <v>126</v>
      </c>
      <c r="X29" s="245"/>
      <c r="Y29" s="212"/>
      <c r="Z29" s="222"/>
      <c r="AA29" s="244"/>
      <c r="AB29" s="125">
        <v>0</v>
      </c>
      <c r="AC29" s="122">
        <v>0</v>
      </c>
      <c r="AD29" s="122">
        <v>0</v>
      </c>
      <c r="AE29" s="125">
        <v>0</v>
      </c>
      <c r="AF29" s="128">
        <v>0</v>
      </c>
      <c r="AG29" s="36" t="e">
        <f t="shared" ca="1" si="11"/>
        <v>#REF!</v>
      </c>
      <c r="AH29" s="29" t="e">
        <f t="shared" ca="1" si="12"/>
        <v>#REF!</v>
      </c>
      <c r="AI29" s="30" t="e">
        <f t="shared" ca="1" si="13"/>
        <v>#REF!</v>
      </c>
      <c r="AJ29" s="30" t="e">
        <f t="shared" ca="1" si="14"/>
        <v>#REF!</v>
      </c>
      <c r="AK29" s="30" t="e">
        <f t="shared" ca="1" si="15"/>
        <v>#REF!</v>
      </c>
      <c r="AL29" s="30" t="e">
        <f t="shared" ca="1" si="16"/>
        <v>#REF!</v>
      </c>
      <c r="AM29" s="31" t="e">
        <f t="shared" ca="1" si="17"/>
        <v>#REF!</v>
      </c>
      <c r="AN29" s="153">
        <v>0</v>
      </c>
    </row>
    <row r="30" spans="2:40" ht="13.15" thickBot="1" x14ac:dyDescent="0.4">
      <c r="B30" s="223"/>
      <c r="C30" s="226"/>
      <c r="D30" s="226"/>
      <c r="E30" s="226"/>
      <c r="F30" s="229"/>
      <c r="G30" s="233"/>
      <c r="H30" s="234"/>
      <c r="I30" s="235"/>
      <c r="J30" s="207"/>
      <c r="K30" s="210"/>
      <c r="L30" s="213"/>
      <c r="M30" s="216"/>
      <c r="N30" s="219"/>
      <c r="O30" s="221"/>
      <c r="P30" s="237"/>
      <c r="Q30" s="216"/>
      <c r="R30" s="216"/>
      <c r="S30" s="103">
        <v>0.1076</v>
      </c>
      <c r="T30" s="103">
        <v>0.1076</v>
      </c>
      <c r="U30" s="103">
        <v>0.1076</v>
      </c>
      <c r="V30" s="240" t="s">
        <v>124</v>
      </c>
      <c r="X30" s="246"/>
      <c r="Y30" s="213"/>
      <c r="Z30" s="233"/>
      <c r="AA30" s="247"/>
      <c r="AB30" s="150">
        <v>0</v>
      </c>
      <c r="AC30" s="123">
        <v>0</v>
      </c>
      <c r="AD30" s="123">
        <v>0</v>
      </c>
      <c r="AE30" s="150">
        <v>0</v>
      </c>
      <c r="AF30" s="151">
        <v>0</v>
      </c>
      <c r="AG30" s="37" t="e">
        <f t="shared" ca="1" si="11"/>
        <v>#REF!</v>
      </c>
      <c r="AH30" s="32" t="e">
        <f t="shared" ca="1" si="12"/>
        <v>#REF!</v>
      </c>
      <c r="AI30" s="33" t="e">
        <f t="shared" ca="1" si="13"/>
        <v>#REF!</v>
      </c>
      <c r="AJ30" s="33" t="e">
        <f t="shared" ca="1" si="14"/>
        <v>#REF!</v>
      </c>
      <c r="AK30" s="33" t="e">
        <f t="shared" ca="1" si="15"/>
        <v>#REF!</v>
      </c>
      <c r="AL30" s="33" t="e">
        <f t="shared" ca="1" si="16"/>
        <v>#REF!</v>
      </c>
      <c r="AM30" s="34" t="e">
        <f t="shared" ca="1" si="17"/>
        <v>#REF!</v>
      </c>
      <c r="AN30" s="154">
        <v>0</v>
      </c>
    </row>
    <row r="31" spans="2:40" x14ac:dyDescent="0.35">
      <c r="E31" s="44"/>
      <c r="G31" s="99"/>
      <c r="H31" s="99"/>
      <c r="K31" s="44"/>
      <c r="L31" s="44"/>
      <c r="P31" s="23"/>
      <c r="Q31" s="23"/>
      <c r="R31" s="99"/>
      <c r="S31" s="99"/>
      <c r="T31" s="99"/>
      <c r="U31" s="99"/>
      <c r="X31" s="110"/>
      <c r="Y31" s="113"/>
      <c r="Z31" s="99"/>
    </row>
    <row r="32" spans="2:40" ht="20.25" x14ac:dyDescent="0.55000000000000004">
      <c r="J32" s="205"/>
      <c r="K32" s="43"/>
    </row>
    <row r="33" spans="5:26" ht="17.649999999999999" x14ac:dyDescent="0.5">
      <c r="E33" s="249" t="s">
        <v>129</v>
      </c>
      <c r="F33" s="250"/>
      <c r="G33" s="250"/>
      <c r="H33" s="250"/>
      <c r="I33" s="250"/>
      <c r="J33" s="251"/>
      <c r="K33" s="250"/>
      <c r="L33" s="250" t="s">
        <v>177</v>
      </c>
    </row>
    <row r="34" spans="5:26" ht="13.15" x14ac:dyDescent="0.4">
      <c r="E34" s="252" t="s">
        <v>130</v>
      </c>
      <c r="F34" s="250"/>
      <c r="G34" s="250"/>
      <c r="H34" s="250"/>
      <c r="I34" s="250"/>
      <c r="J34" s="250"/>
      <c r="K34" s="250"/>
      <c r="L34" s="250"/>
    </row>
    <row r="35" spans="5:26" x14ac:dyDescent="0.35">
      <c r="E35" s="253" t="s">
        <v>131</v>
      </c>
      <c r="F35" s="250"/>
      <c r="G35" s="250"/>
      <c r="H35" s="250"/>
      <c r="I35" s="254"/>
      <c r="J35" s="255"/>
      <c r="K35" s="250"/>
      <c r="L35" s="250"/>
      <c r="Z35" s="81"/>
    </row>
    <row r="36" spans="5:26" x14ac:dyDescent="0.35">
      <c r="E36" s="253" t="s">
        <v>132</v>
      </c>
      <c r="F36" s="250"/>
      <c r="G36" s="250"/>
      <c r="H36" s="256"/>
      <c r="I36" s="250"/>
      <c r="J36" s="250"/>
      <c r="K36" s="250"/>
      <c r="L36" s="250"/>
    </row>
    <row r="37" spans="5:26" x14ac:dyDescent="0.35">
      <c r="E37" s="250"/>
      <c r="F37" s="250"/>
      <c r="G37" s="250"/>
      <c r="H37" s="250"/>
      <c r="I37" s="250"/>
      <c r="J37" s="250"/>
      <c r="K37" s="250"/>
      <c r="L37" s="250"/>
    </row>
    <row r="38" spans="5:26" ht="13.15" x14ac:dyDescent="0.4">
      <c r="E38" s="252" t="s">
        <v>134</v>
      </c>
      <c r="F38" s="250"/>
      <c r="G38" s="250"/>
      <c r="H38" s="250"/>
      <c r="I38" s="250"/>
      <c r="J38" s="250"/>
      <c r="K38" s="250"/>
      <c r="L38" s="250"/>
    </row>
    <row r="39" spans="5:26" x14ac:dyDescent="0.35">
      <c r="E39" s="253" t="s">
        <v>135</v>
      </c>
      <c r="F39" s="250"/>
      <c r="G39" s="250"/>
      <c r="H39" s="250"/>
      <c r="I39" s="250"/>
      <c r="J39" s="250"/>
      <c r="K39" s="250"/>
      <c r="L39" s="250"/>
    </row>
    <row r="40" spans="5:26" x14ac:dyDescent="0.35">
      <c r="E40" s="250"/>
      <c r="F40" s="250"/>
      <c r="G40" s="250"/>
      <c r="H40" s="250"/>
      <c r="I40" s="250"/>
      <c r="J40" s="250"/>
      <c r="K40" s="250"/>
      <c r="L40" s="250"/>
    </row>
    <row r="41" spans="5:26" ht="13.15" x14ac:dyDescent="0.4">
      <c r="E41" s="252" t="s">
        <v>136</v>
      </c>
      <c r="F41" s="250"/>
      <c r="G41" s="250"/>
      <c r="H41" s="250"/>
      <c r="I41" s="250"/>
      <c r="J41" s="250"/>
      <c r="K41" s="250"/>
      <c r="L41" s="250"/>
    </row>
    <row r="42" spans="5:26" x14ac:dyDescent="0.35">
      <c r="E42" s="253" t="s">
        <v>133</v>
      </c>
      <c r="F42" s="250"/>
      <c r="G42" s="250"/>
      <c r="H42" s="250"/>
      <c r="I42" s="250"/>
      <c r="J42" s="250"/>
      <c r="K42" s="250"/>
      <c r="L42" s="250"/>
    </row>
    <row r="43" spans="5:26" x14ac:dyDescent="0.35">
      <c r="E43" s="250"/>
      <c r="F43" s="250"/>
      <c r="G43" s="250"/>
      <c r="H43" s="250"/>
      <c r="I43" s="250"/>
      <c r="J43" s="250"/>
      <c r="K43" s="250"/>
      <c r="L43" s="250"/>
    </row>
    <row r="44" spans="5:26" x14ac:dyDescent="0.35">
      <c r="E44" s="250"/>
      <c r="F44" s="250"/>
      <c r="G44" s="250"/>
      <c r="H44" s="250"/>
      <c r="I44" s="250"/>
      <c r="J44" s="250"/>
      <c r="K44" s="250"/>
      <c r="L44" s="250"/>
    </row>
    <row r="45" spans="5:26" x14ac:dyDescent="0.35">
      <c r="E45" s="250"/>
      <c r="F45" s="250"/>
      <c r="G45" s="250"/>
      <c r="H45" s="250"/>
      <c r="I45" s="250"/>
      <c r="J45" s="250"/>
      <c r="K45" s="250"/>
      <c r="L45" s="250"/>
    </row>
    <row r="46" spans="5:26" x14ac:dyDescent="0.35">
      <c r="E46" s="250"/>
      <c r="F46" s="250"/>
      <c r="G46" s="250"/>
      <c r="H46" s="250"/>
      <c r="I46" s="250"/>
      <c r="J46" s="250"/>
      <c r="K46" s="250"/>
      <c r="L46" s="250"/>
    </row>
    <row r="47" spans="5:26" x14ac:dyDescent="0.35">
      <c r="E47" s="250"/>
      <c r="F47" s="250"/>
      <c r="G47" s="250"/>
      <c r="H47" s="250"/>
      <c r="I47" s="250"/>
      <c r="J47" s="250"/>
      <c r="K47" s="250"/>
      <c r="L47" s="250"/>
    </row>
    <row r="48" spans="5:26" x14ac:dyDescent="0.35">
      <c r="E48" s="250"/>
      <c r="F48" s="250"/>
      <c r="G48" s="250"/>
      <c r="H48" s="250"/>
      <c r="I48" s="250"/>
      <c r="J48" s="250"/>
      <c r="K48" s="250"/>
      <c r="L48" s="250"/>
    </row>
    <row r="49" spans="5:12" x14ac:dyDescent="0.35">
      <c r="E49" s="250"/>
      <c r="F49" s="250"/>
      <c r="G49" s="250"/>
      <c r="H49" s="250"/>
      <c r="I49" s="250"/>
      <c r="J49" s="250"/>
      <c r="K49" s="250"/>
      <c r="L49" s="250"/>
    </row>
    <row r="60" spans="5:12" ht="13.15" x14ac:dyDescent="0.4">
      <c r="G60" s="42"/>
      <c r="H60" s="42"/>
      <c r="I60" s="42"/>
      <c r="J60" s="42"/>
      <c r="K60" s="42"/>
    </row>
  </sheetData>
  <mergeCells count="1">
    <mergeCell ref="E17:I17"/>
  </mergeCells>
  <pageMargins left="0.75" right="0.75" top="1" bottom="1" header="0.5" footer="0.5"/>
  <pageSetup orientation="portrait" horizontalDpi="1200" verticalDpi="9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7C112-F665-41D0-B4C8-6F059B56D8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Blotter</vt:lpstr>
      <vt:lpstr>Mar-07</vt:lpstr>
      <vt:lpstr>Mar-02</vt:lpstr>
      <vt:lpstr>Feb-28</vt:lpstr>
      <vt:lpstr>Feb-21</vt:lpstr>
      <vt:lpstr>Feb-17</vt:lpstr>
      <vt:lpstr>Gral Instructions</vt:lpstr>
      <vt:lpstr>'Feb-17'!Today</vt:lpstr>
      <vt:lpstr>'Feb-21'!Today</vt:lpstr>
      <vt:lpstr>'Feb-28'!Today</vt:lpstr>
      <vt:lpstr>'Gral Instructions'!Today</vt:lpstr>
      <vt:lpstr>'Mar-02'!Today</vt:lpstr>
      <vt:lpstr>'Mar-07'!Today</vt:lpstr>
    </vt:vector>
  </TitlesOfParts>
  <Company>Baruch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Max chellew</cp:lastModifiedBy>
  <dcterms:created xsi:type="dcterms:W3CDTF">2007-11-01T00:27:36Z</dcterms:created>
  <dcterms:modified xsi:type="dcterms:W3CDTF">2023-03-16T11:42:47Z</dcterms:modified>
</cp:coreProperties>
</file>